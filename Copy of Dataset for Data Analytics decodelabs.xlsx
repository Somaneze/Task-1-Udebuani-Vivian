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13" yWindow="-113" windowWidth="24267" windowHeight="13023" activeTab="1"/>
  </bookViews>
  <sheets>
    <sheet name="Original dataset" sheetId="2" r:id="rId1"/>
    <sheet name="My Worksheet" sheetId="1" r:id="rId2"/>
  </sheets>
  <definedNames>
    <definedName name="ExternalData_1" localSheetId="0" hidden="1">'Original dataset'!$A$1:$S$1201</definedName>
  </definedNames>
  <calcPr calcId="144525"/>
</workbook>
</file>

<file path=xl/calcChain.xml><?xml version="1.0" encoding="utf-8"?>
<calcChain xmlns="http://schemas.openxmlformats.org/spreadsheetml/2006/main">
  <c r="O2" i="1" l="1"/>
  <c r="S2" i="1" l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R8" i="1"/>
  <c r="R805" i="1"/>
  <c r="R571" i="1"/>
  <c r="R398" i="1"/>
  <c r="R1128" i="1"/>
  <c r="R410" i="1"/>
  <c r="R1178" i="1"/>
  <c r="R180" i="1"/>
  <c r="R1085" i="1"/>
  <c r="R448" i="1"/>
  <c r="R508" i="1"/>
  <c r="R556" i="1"/>
  <c r="R878" i="1"/>
  <c r="R346" i="1"/>
  <c r="R122" i="1"/>
  <c r="R274" i="1"/>
  <c r="R37" i="1"/>
  <c r="R578" i="1"/>
  <c r="R1075" i="1"/>
  <c r="R34" i="1"/>
  <c r="R173" i="1"/>
  <c r="R910" i="1"/>
  <c r="R45" i="1"/>
  <c r="R1093" i="1"/>
  <c r="R894" i="1"/>
  <c r="R776" i="1"/>
  <c r="R582" i="1"/>
  <c r="R561" i="1"/>
  <c r="R449" i="1"/>
  <c r="R847" i="1"/>
  <c r="R1070" i="1"/>
  <c r="R252" i="1"/>
  <c r="R160" i="1"/>
  <c r="R216" i="1"/>
  <c r="R13" i="1"/>
  <c r="R937" i="1"/>
  <c r="R1129" i="1"/>
  <c r="R877" i="1"/>
  <c r="R955" i="1"/>
  <c r="R1030" i="1"/>
  <c r="R320" i="1"/>
  <c r="R473" i="1"/>
  <c r="R663" i="1"/>
  <c r="R488" i="1"/>
  <c r="R1107" i="1"/>
  <c r="R552" i="1"/>
  <c r="R741" i="1"/>
  <c r="R279" i="1"/>
  <c r="R337" i="1"/>
  <c r="R389" i="1"/>
  <c r="R296" i="1"/>
  <c r="R970" i="1"/>
  <c r="R831" i="1"/>
  <c r="R677" i="1"/>
  <c r="R1077" i="1"/>
  <c r="R1189" i="1"/>
  <c r="R194" i="1"/>
  <c r="R31" i="1"/>
  <c r="R26" i="1"/>
  <c r="R838" i="1"/>
  <c r="R802" i="1"/>
  <c r="R603" i="1"/>
  <c r="R330" i="1"/>
  <c r="R998" i="1"/>
  <c r="R1194" i="1"/>
  <c r="R511" i="1"/>
  <c r="R908" i="1"/>
  <c r="R940" i="1"/>
  <c r="R479" i="1"/>
  <c r="R178" i="1"/>
  <c r="R199" i="1"/>
  <c r="R1167" i="1"/>
  <c r="R962" i="1"/>
  <c r="R165" i="1"/>
  <c r="R244" i="1"/>
  <c r="R371" i="1"/>
  <c r="R610" i="1"/>
  <c r="R682" i="1"/>
  <c r="R796" i="1"/>
  <c r="R1051" i="1"/>
  <c r="R246" i="1"/>
  <c r="R223" i="1"/>
  <c r="R515" i="1"/>
  <c r="R331" i="1"/>
  <c r="R341" i="1"/>
  <c r="R834" i="1"/>
  <c r="R729" i="1"/>
  <c r="R874" i="1"/>
  <c r="R1157" i="1"/>
  <c r="R1026" i="1"/>
  <c r="R365" i="1"/>
  <c r="R106" i="1"/>
  <c r="R715" i="1"/>
  <c r="R23" i="1"/>
  <c r="R58" i="1"/>
  <c r="R117" i="1"/>
  <c r="R696" i="1"/>
  <c r="R984" i="1"/>
  <c r="R24" i="1"/>
  <c r="R1096" i="1"/>
  <c r="R69" i="1"/>
  <c r="R454" i="1"/>
  <c r="R92" i="1"/>
  <c r="R990" i="1"/>
  <c r="R791" i="1"/>
  <c r="R887" i="1"/>
  <c r="R358" i="1"/>
  <c r="R123" i="1"/>
  <c r="R969" i="1"/>
  <c r="R364" i="1"/>
  <c r="R648" i="1"/>
  <c r="R1126" i="1"/>
  <c r="R2" i="1"/>
  <c r="R530" i="1"/>
  <c r="R993" i="1"/>
  <c r="R459" i="1"/>
  <c r="R110" i="1"/>
  <c r="R93" i="1"/>
  <c r="R393" i="1"/>
  <c r="R1169" i="1"/>
  <c r="R140" i="1"/>
  <c r="R463" i="1"/>
  <c r="R634" i="1"/>
  <c r="R260" i="1"/>
  <c r="R787" i="1"/>
  <c r="R899" i="1"/>
  <c r="R1118" i="1"/>
  <c r="R308" i="1"/>
  <c r="R70" i="1"/>
  <c r="R417" i="1"/>
  <c r="R986" i="1"/>
  <c r="R15" i="1"/>
  <c r="R126" i="1"/>
  <c r="R1181" i="1"/>
  <c r="R1187" i="1"/>
  <c r="R302" i="1"/>
  <c r="R658" i="1"/>
  <c r="R924" i="1"/>
  <c r="R496" i="1"/>
  <c r="R138" i="1"/>
  <c r="R1150" i="1"/>
  <c r="R443" i="1"/>
  <c r="R356" i="1"/>
  <c r="R720" i="1"/>
  <c r="R303" i="1"/>
  <c r="R579" i="1"/>
  <c r="R1115" i="1"/>
  <c r="R1123" i="1"/>
  <c r="R948" i="1"/>
  <c r="R503" i="1"/>
  <c r="R484" i="1"/>
  <c r="R466" i="1"/>
  <c r="R972" i="1"/>
  <c r="R953" i="1"/>
  <c r="R282" i="1"/>
  <c r="R82" i="1"/>
  <c r="R901" i="1"/>
  <c r="R1022" i="1"/>
  <c r="R675" i="1"/>
  <c r="R421" i="1"/>
  <c r="R71" i="1"/>
  <c r="R609" i="1"/>
  <c r="R292" i="1"/>
  <c r="R1190" i="1"/>
  <c r="R505" i="1"/>
  <c r="R840" i="1"/>
  <c r="R1040" i="1"/>
  <c r="R202" i="1"/>
  <c r="R976" i="1"/>
  <c r="R616" i="1"/>
  <c r="R1087" i="1"/>
  <c r="R316" i="1"/>
  <c r="R1088" i="1"/>
  <c r="R604" i="1"/>
  <c r="R638" i="1"/>
  <c r="R1008" i="1"/>
  <c r="R1196" i="1"/>
  <c r="R304" i="1"/>
  <c r="R629" i="1"/>
  <c r="R917" i="1"/>
  <c r="R108" i="1"/>
  <c r="R815" i="1"/>
  <c r="R1067" i="1"/>
  <c r="R642" i="1"/>
  <c r="R612" i="1"/>
  <c r="R999" i="1"/>
  <c r="R474" i="1"/>
  <c r="R56" i="1"/>
  <c r="R1059" i="1"/>
  <c r="R257" i="1"/>
  <c r="R816" i="1"/>
  <c r="R1049" i="1"/>
  <c r="R310" i="1"/>
  <c r="R284" i="1"/>
  <c r="R706" i="1"/>
  <c r="R649" i="1"/>
  <c r="R989" i="1"/>
  <c r="R339" i="1"/>
  <c r="R716" i="1"/>
  <c r="R987" i="1"/>
  <c r="R1161" i="1"/>
  <c r="R239" i="1"/>
  <c r="R1004" i="1"/>
  <c r="R985" i="1"/>
  <c r="R354" i="1"/>
  <c r="R89" i="1"/>
  <c r="R639" i="1"/>
  <c r="R1066" i="1"/>
  <c r="R872" i="1"/>
  <c r="R343" i="1"/>
  <c r="R934" i="1"/>
  <c r="R974" i="1"/>
  <c r="R240" i="1"/>
  <c r="R146" i="1"/>
  <c r="R803" i="1"/>
  <c r="R309" i="1"/>
  <c r="R1098" i="1"/>
  <c r="R678" i="1"/>
  <c r="R156" i="1"/>
  <c r="R1116" i="1"/>
  <c r="R276" i="1"/>
  <c r="R563" i="1"/>
  <c r="R169" i="1"/>
  <c r="R839" i="1"/>
  <c r="R368" i="1"/>
  <c r="R591" i="1"/>
  <c r="R1195" i="1"/>
  <c r="R425" i="1"/>
  <c r="R185" i="1"/>
  <c r="R1078" i="1"/>
  <c r="R489" i="1"/>
  <c r="R428" i="1"/>
  <c r="R191" i="1"/>
  <c r="R807" i="1"/>
  <c r="R925" i="1"/>
  <c r="R74" i="1"/>
  <c r="R3" i="1"/>
  <c r="R594" i="1"/>
  <c r="R946" i="1"/>
  <c r="R943" i="1"/>
  <c r="R268" i="1"/>
  <c r="R183" i="1"/>
  <c r="R175" i="1"/>
  <c r="R1130" i="1"/>
  <c r="R64" i="1"/>
  <c r="R1106" i="1"/>
  <c r="R813" i="1"/>
  <c r="R283" i="1"/>
  <c r="R255" i="1"/>
  <c r="R548" i="1"/>
  <c r="R131" i="1"/>
  <c r="R1138" i="1"/>
  <c r="R848" i="1"/>
  <c r="R601" i="1"/>
  <c r="R502" i="1"/>
  <c r="R672" i="1"/>
  <c r="R1200" i="1"/>
  <c r="R651" i="1"/>
  <c r="R569" i="1"/>
  <c r="R226" i="1"/>
  <c r="R186" i="1"/>
  <c r="R1148" i="1"/>
  <c r="R18" i="1"/>
  <c r="R118" i="1"/>
  <c r="R792" i="1"/>
  <c r="R497" i="1"/>
  <c r="R707" i="1"/>
  <c r="R1101" i="1"/>
  <c r="R311" i="1"/>
  <c r="R455" i="1"/>
  <c r="R214" i="1"/>
  <c r="R127" i="1"/>
  <c r="R366" i="1"/>
  <c r="R892" i="1"/>
  <c r="R52" i="1"/>
  <c r="R427" i="1"/>
  <c r="R1081" i="1"/>
  <c r="R835" i="1"/>
  <c r="R911" i="1"/>
  <c r="R407" i="1"/>
  <c r="R124" i="1"/>
  <c r="R293" i="1"/>
  <c r="R1108" i="1"/>
  <c r="R1032" i="1"/>
  <c r="R65" i="1"/>
  <c r="R1168" i="1"/>
  <c r="R1090" i="1"/>
  <c r="R451" i="1"/>
  <c r="R100" i="1"/>
  <c r="R291" i="1"/>
  <c r="R170" i="1"/>
  <c r="R670" i="1"/>
  <c r="R979" i="1"/>
  <c r="R66" i="1"/>
  <c r="R1084" i="1"/>
  <c r="R39" i="1"/>
  <c r="R730" i="1"/>
  <c r="R77" i="1"/>
  <c r="R493" i="1"/>
  <c r="R533" i="1"/>
  <c r="R820" i="1"/>
  <c r="R179" i="1"/>
  <c r="R184" i="1"/>
  <c r="R938" i="1"/>
  <c r="R882" i="1"/>
  <c r="R456" i="1"/>
  <c r="R704" i="1"/>
  <c r="R254" i="1"/>
  <c r="R480" i="1"/>
  <c r="R382" i="1"/>
  <c r="R565" i="1"/>
  <c r="R1140" i="1"/>
  <c r="R1145" i="1"/>
  <c r="R265" i="1"/>
  <c r="R383" i="1"/>
  <c r="R1133" i="1"/>
  <c r="R378" i="1"/>
  <c r="R139" i="1"/>
  <c r="R786" i="1"/>
  <c r="R469" i="1"/>
  <c r="R956" i="1"/>
  <c r="R307" i="1"/>
  <c r="R724" i="1"/>
  <c r="R991" i="1"/>
  <c r="R721" i="1"/>
  <c r="R250" i="1"/>
  <c r="R749" i="1"/>
  <c r="R289" i="1"/>
  <c r="R84" i="1"/>
  <c r="R966" i="1"/>
  <c r="R697" i="1"/>
  <c r="R143" i="1"/>
  <c r="R752" i="1"/>
  <c r="R640" i="1"/>
  <c r="R605" i="1"/>
  <c r="R1039" i="1"/>
  <c r="R509" i="1"/>
  <c r="R206" i="1"/>
  <c r="R430" i="1"/>
  <c r="R627" i="1"/>
  <c r="R152" i="1"/>
  <c r="R853" i="1"/>
  <c r="R1191" i="1"/>
  <c r="R80" i="1"/>
  <c r="R1045" i="1"/>
  <c r="R475" i="1"/>
  <c r="R936" i="1"/>
  <c r="R545" i="1"/>
  <c r="R592" i="1"/>
  <c r="R464" i="1"/>
  <c r="R212" i="1"/>
  <c r="R1016" i="1"/>
  <c r="R347" i="1"/>
  <c r="R1079" i="1"/>
  <c r="R267" i="1"/>
  <c r="R1155" i="1"/>
  <c r="R171" i="1"/>
  <c r="R263" i="1"/>
  <c r="R617" i="1"/>
  <c r="R224" i="1"/>
  <c r="R702" i="1"/>
  <c r="R746" i="1"/>
  <c r="R247" i="1"/>
  <c r="R683" i="1"/>
  <c r="R452" i="1"/>
  <c r="R1014" i="1"/>
  <c r="R57" i="1"/>
  <c r="R655" i="1"/>
  <c r="R161" i="1"/>
  <c r="R963" i="1"/>
  <c r="R1119" i="1"/>
  <c r="R10" i="1"/>
  <c r="R1015" i="1"/>
  <c r="R5" i="1"/>
  <c r="R843" i="1"/>
  <c r="R980" i="1"/>
  <c r="R335" i="1"/>
  <c r="R770" i="1"/>
  <c r="R544" i="1"/>
  <c r="R850" i="1"/>
  <c r="R646" i="1"/>
  <c r="R219" i="1"/>
  <c r="R997" i="1"/>
  <c r="R28" i="1"/>
  <c r="R918" i="1"/>
  <c r="R422" i="1"/>
  <c r="R157" i="1"/>
  <c r="R742" i="1"/>
  <c r="R506" i="1"/>
  <c r="R490" i="1"/>
  <c r="R272" i="1"/>
  <c r="R981" i="1"/>
  <c r="R573" i="1"/>
  <c r="R760" i="1"/>
  <c r="R258" i="1"/>
  <c r="R1111" i="1"/>
  <c r="R467" i="1"/>
  <c r="R374" i="1"/>
  <c r="R824" i="1"/>
  <c r="R517" i="1"/>
  <c r="R858" i="1"/>
  <c r="R1094" i="1"/>
  <c r="R137" i="1"/>
  <c r="R902" i="1"/>
  <c r="R94" i="1"/>
  <c r="R992" i="1"/>
  <c r="R478" i="1"/>
  <c r="R313" i="1"/>
  <c r="R971" i="1"/>
  <c r="R248" i="1"/>
  <c r="R531" i="1"/>
  <c r="R731" i="1"/>
  <c r="R1095" i="1"/>
  <c r="R391" i="1"/>
  <c r="R1122" i="1"/>
  <c r="R1089" i="1"/>
  <c r="R277" i="1"/>
  <c r="R413" i="1"/>
  <c r="R19" i="1"/>
  <c r="R641" i="1"/>
  <c r="R928" i="1"/>
  <c r="R399" i="1"/>
  <c r="R217" i="1"/>
  <c r="R767" i="1"/>
  <c r="R141" i="1"/>
  <c r="R95" i="1"/>
  <c r="R1065" i="1"/>
  <c r="R954" i="1"/>
  <c r="R926" i="1"/>
  <c r="R957" i="1"/>
  <c r="R220" i="1"/>
  <c r="R868" i="1"/>
  <c r="R351" i="1"/>
  <c r="R338" i="1"/>
  <c r="R408" i="1"/>
  <c r="R203" i="1"/>
  <c r="R59" i="1"/>
  <c r="R643" i="1"/>
  <c r="R975" i="1"/>
  <c r="R832" i="1"/>
  <c r="R898" i="1"/>
  <c r="R485" i="1"/>
  <c r="R664" i="1"/>
  <c r="R673" i="1"/>
  <c r="R708" i="1"/>
  <c r="R602" i="1"/>
  <c r="R406" i="1"/>
  <c r="R618" i="1"/>
  <c r="R352" i="1"/>
  <c r="R809" i="1"/>
  <c r="R526" i="1"/>
  <c r="R129" i="1"/>
  <c r="R285" i="1"/>
  <c r="R1117" i="1"/>
  <c r="R927" i="1"/>
  <c r="R606" i="1"/>
  <c r="R245" i="1"/>
  <c r="R1146" i="1"/>
  <c r="R750" i="1"/>
  <c r="R777" i="1"/>
  <c r="R869" i="1"/>
  <c r="R709" i="1"/>
  <c r="R1083" i="1"/>
  <c r="R200" i="1"/>
  <c r="R103" i="1"/>
  <c r="R570" i="1"/>
  <c r="R278" i="1"/>
  <c r="R814" i="1"/>
  <c r="R1183" i="1"/>
  <c r="R457" i="1"/>
  <c r="R375" i="1"/>
  <c r="R1104" i="1"/>
  <c r="R12" i="1"/>
  <c r="R1027" i="1"/>
  <c r="R440" i="1"/>
  <c r="R1105" i="1"/>
  <c r="R527" i="1"/>
  <c r="R1042" i="1"/>
  <c r="R895" i="1"/>
  <c r="R73" i="1"/>
  <c r="R235" i="1"/>
  <c r="R153" i="1"/>
  <c r="R1037" i="1"/>
  <c r="R27" i="1"/>
  <c r="R690" i="1"/>
  <c r="R298" i="1"/>
  <c r="R51" i="1"/>
  <c r="R96" i="1"/>
  <c r="R935" i="1"/>
  <c r="R355" i="1"/>
  <c r="R771" i="1"/>
  <c r="R11" i="1"/>
  <c r="R414" i="1"/>
  <c r="R995" i="1"/>
  <c r="R280" i="1"/>
  <c r="R1158" i="1"/>
  <c r="R1057" i="1"/>
  <c r="R888" i="1"/>
  <c r="R269" i="1"/>
  <c r="R133" i="1"/>
  <c r="R619" i="1"/>
  <c r="R546" i="1"/>
  <c r="R193" i="1"/>
  <c r="R348" i="1"/>
  <c r="R1170" i="1"/>
  <c r="R227" i="1"/>
  <c r="R290" i="1"/>
  <c r="R259" i="1"/>
  <c r="R1137" i="1"/>
  <c r="R63" i="1"/>
  <c r="R949" i="1"/>
  <c r="R595" i="1"/>
  <c r="R857" i="1"/>
  <c r="R1009" i="1"/>
  <c r="R144" i="1"/>
  <c r="R104" i="1"/>
  <c r="R620" i="1"/>
  <c r="R624" i="1"/>
  <c r="R1172" i="1"/>
  <c r="R1131" i="1"/>
  <c r="R98" i="1"/>
  <c r="R566" i="1"/>
  <c r="R647" i="1"/>
  <c r="R1019" i="1"/>
  <c r="R415" i="1"/>
  <c r="R471" i="1"/>
  <c r="R575" i="1"/>
  <c r="R801" i="1"/>
  <c r="R1029" i="1"/>
  <c r="R621" i="1"/>
  <c r="R764" i="1"/>
  <c r="R751" i="1"/>
  <c r="R1120" i="1"/>
  <c r="R91" i="1"/>
  <c r="R703" i="1"/>
  <c r="R778" i="1"/>
  <c r="R711" i="1"/>
  <c r="R1073" i="1"/>
  <c r="R684" i="1"/>
  <c r="R1020" i="1"/>
  <c r="R541" i="1"/>
  <c r="R306" i="1"/>
  <c r="R438" i="1"/>
  <c r="R585" i="1"/>
  <c r="R586" i="1"/>
  <c r="R494" i="1"/>
  <c r="R576" i="1"/>
  <c r="R321" i="1"/>
  <c r="R516" i="1"/>
  <c r="R1028" i="1"/>
  <c r="R419" i="1"/>
  <c r="R188" i="1"/>
  <c r="R377" i="1"/>
  <c r="R332" i="1"/>
  <c r="R1149" i="1"/>
  <c r="R14" i="1"/>
  <c r="R42" i="1"/>
  <c r="R251" i="1"/>
  <c r="R762" i="1"/>
  <c r="R635" i="1"/>
  <c r="R47" i="1"/>
  <c r="R48" i="1"/>
  <c r="R386" i="1"/>
  <c r="R482" i="1"/>
  <c r="R1091" i="1"/>
  <c r="R182" i="1"/>
  <c r="R644" i="1"/>
  <c r="R862" i="1"/>
  <c r="R99" i="1"/>
  <c r="R1071" i="1"/>
  <c r="R968" i="1"/>
  <c r="R915" i="1"/>
  <c r="R434" i="1"/>
  <c r="R40" i="1"/>
  <c r="R538" i="1"/>
  <c r="R221" i="1"/>
  <c r="R691" i="1"/>
  <c r="R32" i="1"/>
  <c r="R875" i="1"/>
  <c r="R215" i="1"/>
  <c r="R439" i="1"/>
  <c r="R905" i="1"/>
  <c r="R558" i="1"/>
  <c r="R1176" i="1"/>
  <c r="R1068" i="1"/>
  <c r="R322" i="1"/>
  <c r="R903" i="1"/>
  <c r="R230" i="1"/>
  <c r="R942" i="1"/>
  <c r="R1010" i="1"/>
  <c r="R361" i="1"/>
  <c r="R912" i="1"/>
  <c r="R652" i="1"/>
  <c r="R299" i="1"/>
  <c r="R559" i="1"/>
  <c r="R977" i="1"/>
  <c r="R231" i="1"/>
  <c r="R923" i="1"/>
  <c r="R657" i="1"/>
  <c r="R253" i="1"/>
  <c r="R201" i="1"/>
  <c r="R379" i="1"/>
  <c r="R581" i="1"/>
  <c r="R866" i="1"/>
  <c r="R1185" i="1"/>
  <c r="R668" i="1"/>
  <c r="R900" i="1"/>
  <c r="R1151" i="1"/>
  <c r="R779" i="1"/>
  <c r="R994" i="1"/>
  <c r="R726" i="1"/>
  <c r="R149" i="1"/>
  <c r="R210" i="1"/>
  <c r="R958" i="1"/>
  <c r="R584" i="1"/>
  <c r="R1046" i="1"/>
  <c r="R881" i="1"/>
  <c r="R549" i="1"/>
  <c r="R821" i="1"/>
  <c r="R763" i="1"/>
  <c r="R608" i="1"/>
  <c r="R409" i="1"/>
  <c r="R897" i="1"/>
  <c r="R236" i="1"/>
  <c r="R528" i="1"/>
  <c r="R369" i="1"/>
  <c r="R577" i="1"/>
  <c r="R305" i="1"/>
  <c r="R119" i="1"/>
  <c r="R262" i="1"/>
  <c r="R242" i="1"/>
  <c r="R817" i="1"/>
  <c r="R163" i="1"/>
  <c r="R628" i="1"/>
  <c r="R656" i="1"/>
  <c r="R486" i="1"/>
  <c r="R384" i="1"/>
  <c r="R860" i="1"/>
  <c r="R400" i="1"/>
  <c r="R29" i="1"/>
  <c r="R572" i="1"/>
  <c r="R748" i="1"/>
  <c r="R661" i="1"/>
  <c r="R810" i="1"/>
  <c r="R441" i="1"/>
  <c r="R6" i="1"/>
  <c r="R418" i="1"/>
  <c r="R1110" i="1"/>
  <c r="R982" i="1"/>
  <c r="R498" i="1"/>
  <c r="R189" i="1"/>
  <c r="R907" i="1"/>
  <c r="R701" i="1"/>
  <c r="R567" i="1"/>
  <c r="R232" i="1"/>
  <c r="R105" i="1"/>
  <c r="R532" i="1"/>
  <c r="R500" i="1"/>
  <c r="R1102" i="1"/>
  <c r="R891" i="1"/>
  <c r="R885" i="1"/>
  <c r="R1033" i="1"/>
  <c r="R43" i="1"/>
  <c r="R636" i="1"/>
  <c r="R959" i="1"/>
  <c r="R164" i="1"/>
  <c r="R818" i="1"/>
  <c r="R166" i="1"/>
  <c r="R755" i="1"/>
  <c r="R53" i="1"/>
  <c r="R645" i="1"/>
  <c r="R234" i="1"/>
  <c r="R176" i="1"/>
  <c r="R76" i="1"/>
  <c r="R520" i="1"/>
  <c r="R797" i="1"/>
  <c r="R1188" i="1"/>
  <c r="R1086" i="1"/>
  <c r="R919" i="1"/>
  <c r="R49" i="1"/>
  <c r="R340" i="1"/>
  <c r="R543" i="1"/>
  <c r="R286" i="1"/>
  <c r="R1142" i="1"/>
  <c r="R851" i="1"/>
  <c r="R1005" i="1"/>
  <c r="R394" i="1"/>
  <c r="R363" i="1"/>
  <c r="R583" i="1"/>
  <c r="R344" i="1"/>
  <c r="R758" i="1"/>
  <c r="R920" i="1"/>
  <c r="R35" i="1"/>
  <c r="R1053" i="1"/>
  <c r="R380" i="1"/>
  <c r="R916" i="1"/>
  <c r="R256" i="1"/>
  <c r="R1000" i="1"/>
  <c r="R9" i="1"/>
  <c r="R437" i="1"/>
  <c r="R856" i="1"/>
  <c r="R737" i="1"/>
  <c r="R712" i="1"/>
  <c r="R115" i="1"/>
  <c r="R213" i="1"/>
  <c r="R1082" i="1"/>
  <c r="R1038" i="1"/>
  <c r="R896" i="1"/>
  <c r="R1041" i="1"/>
  <c r="R939" i="1"/>
  <c r="R772" i="1"/>
  <c r="R753" i="1"/>
  <c r="R521" i="1"/>
  <c r="R1184" i="1"/>
  <c r="R150" i="1"/>
  <c r="R784" i="1"/>
  <c r="R722" i="1"/>
  <c r="R401" i="1"/>
  <c r="R135" i="1"/>
  <c r="R534" i="1"/>
  <c r="R367" i="1"/>
  <c r="R598" i="1"/>
  <c r="R909" i="1"/>
  <c r="R477" i="1"/>
  <c r="R883" i="1"/>
  <c r="R101" i="1"/>
  <c r="R890" i="1"/>
  <c r="R861" i="1"/>
  <c r="R789" i="1"/>
  <c r="R359" i="1"/>
  <c r="R1023" i="1"/>
  <c r="R705" i="1"/>
  <c r="R1047" i="1"/>
  <c r="R472" i="1"/>
  <c r="R536" i="1"/>
  <c r="R745" i="1"/>
  <c r="R551" i="1"/>
  <c r="R514" i="1"/>
  <c r="R1156" i="1"/>
  <c r="R723" i="1"/>
  <c r="R768" i="1"/>
  <c r="R988" i="1"/>
  <c r="R929" i="1"/>
  <c r="R863" i="1"/>
  <c r="R718" i="1"/>
  <c r="R86" i="1"/>
  <c r="R1024" i="1"/>
  <c r="R1054" i="1"/>
  <c r="R761" i="1"/>
  <c r="R1097" i="1"/>
  <c r="R25" i="1"/>
  <c r="R38" i="1"/>
  <c r="R864" i="1"/>
  <c r="R654" i="1"/>
  <c r="R1152" i="1"/>
  <c r="R233" i="1"/>
  <c r="R743" i="1"/>
  <c r="R562" i="1"/>
  <c r="R120" i="1"/>
  <c r="R287" i="1"/>
  <c r="R1021" i="1"/>
  <c r="R211" i="1"/>
  <c r="R844" i="1"/>
  <c r="R134" i="1"/>
  <c r="R587" i="1"/>
  <c r="R387" i="1"/>
  <c r="R33" i="1"/>
  <c r="R1103" i="1"/>
  <c r="R353" i="1"/>
  <c r="R261" i="1"/>
  <c r="R553" i="1"/>
  <c r="R719" i="1"/>
  <c r="R788" i="1"/>
  <c r="R1197" i="1"/>
  <c r="R1099" i="1"/>
  <c r="R90" i="1"/>
  <c r="R328" i="1"/>
  <c r="R1069" i="1"/>
  <c r="R158" i="1"/>
  <c r="R468" i="1"/>
  <c r="R611" i="1"/>
  <c r="R522" i="1"/>
  <c r="R798" i="1"/>
  <c r="R1147" i="1"/>
  <c r="R1139" i="1"/>
  <c r="R295" i="1"/>
  <c r="R333" i="1"/>
  <c r="R596" i="1"/>
  <c r="R426" i="1"/>
  <c r="R317" i="1"/>
  <c r="R841" i="1"/>
  <c r="R524" i="1"/>
  <c r="R237" i="1"/>
  <c r="R637" i="1"/>
  <c r="R97" i="1"/>
  <c r="R914" i="1"/>
  <c r="R1114" i="1"/>
  <c r="R83" i="1"/>
  <c r="R1143" i="1"/>
  <c r="R145" i="1"/>
  <c r="R1080" i="1"/>
  <c r="R167" i="1"/>
  <c r="R557" i="1"/>
  <c r="R323" i="1"/>
  <c r="R512" i="1"/>
  <c r="R879" i="1"/>
  <c r="R349" i="1"/>
  <c r="R904" i="1"/>
  <c r="R554" i="1"/>
  <c r="R625" i="1"/>
  <c r="R207" i="1"/>
  <c r="R429" i="1"/>
  <c r="R539" i="1"/>
  <c r="R1060" i="1"/>
  <c r="R944" i="1"/>
  <c r="R794" i="1"/>
  <c r="R560" i="1"/>
  <c r="R385" i="1"/>
  <c r="R87" i="1"/>
  <c r="R859" i="1"/>
  <c r="R204" i="1"/>
  <c r="R947" i="1"/>
  <c r="R1061" i="1"/>
  <c r="R870" i="1"/>
  <c r="R345" i="1"/>
  <c r="R1076" i="1"/>
  <c r="R1050" i="1"/>
  <c r="R197" i="1"/>
  <c r="R780" i="1"/>
  <c r="R54" i="1"/>
  <c r="R945" i="1"/>
  <c r="R491" i="1"/>
  <c r="R590" i="1"/>
  <c r="R1058" i="1"/>
  <c r="R630" i="1"/>
  <c r="R607" i="1"/>
  <c r="R50" i="1"/>
  <c r="R1174" i="1"/>
  <c r="R631" i="1"/>
  <c r="R336" i="1"/>
  <c r="R525" i="1"/>
  <c r="R845" i="1"/>
  <c r="R1127" i="1"/>
  <c r="R1135" i="1"/>
  <c r="R933" i="1"/>
  <c r="R392" i="1"/>
  <c r="R754" i="1"/>
  <c r="R913" i="1"/>
  <c r="R4" i="1"/>
  <c r="R1164" i="1"/>
  <c r="R1113" i="1"/>
  <c r="R483" i="1"/>
  <c r="R889" i="1"/>
  <c r="R402" i="1"/>
  <c r="R1173" i="1"/>
  <c r="R198" i="1"/>
  <c r="R698" i="1"/>
  <c r="R588" i="1"/>
  <c r="R324" i="1"/>
  <c r="R812" i="1"/>
  <c r="R537" i="1"/>
  <c r="R111" i="1"/>
  <c r="R470" i="1"/>
  <c r="R679" i="1"/>
  <c r="R168" i="1"/>
  <c r="R159" i="1"/>
  <c r="R785" i="1"/>
  <c r="R686" i="1"/>
  <c r="R747" i="1"/>
  <c r="R597" i="1"/>
  <c r="R1153" i="1"/>
  <c r="R676" i="1"/>
  <c r="R266" i="1"/>
  <c r="R671" i="1"/>
  <c r="R423" i="1"/>
  <c r="R300" i="1"/>
  <c r="R713" i="1"/>
  <c r="R781" i="1"/>
  <c r="R209" i="1"/>
  <c r="R1092" i="1"/>
  <c r="R1055" i="1"/>
  <c r="R7" i="1"/>
  <c r="R1198" i="1"/>
  <c r="R1136" i="1"/>
  <c r="R674" i="1"/>
  <c r="R622" i="1"/>
  <c r="R416" i="1"/>
  <c r="R960" i="1"/>
  <c r="R775" i="1"/>
  <c r="R893" i="1"/>
  <c r="R312" i="1"/>
  <c r="R435" i="1"/>
  <c r="R700" i="1"/>
  <c r="R114" i="1"/>
  <c r="R196" i="1"/>
  <c r="R431" i="1"/>
  <c r="R884" i="1"/>
  <c r="R822" i="1"/>
  <c r="R1043" i="1"/>
  <c r="R1109" i="1"/>
  <c r="R1006" i="1"/>
  <c r="R659" i="1"/>
  <c r="R759" i="1"/>
  <c r="R187" i="1"/>
  <c r="R1003" i="1"/>
  <c r="R450" i="1"/>
  <c r="R823" i="1"/>
  <c r="R795" i="1"/>
  <c r="R1124" i="1"/>
  <c r="R687" i="1"/>
  <c r="R693" i="1"/>
  <c r="R799" i="1"/>
  <c r="R535" i="1"/>
  <c r="R67" i="1"/>
  <c r="R1011" i="1"/>
  <c r="R555" i="1"/>
  <c r="R735" i="1"/>
  <c r="R983" i="1"/>
  <c r="R1192" i="1"/>
  <c r="R1007" i="1"/>
  <c r="R1056" i="1"/>
  <c r="R288" i="1"/>
  <c r="R728" i="1"/>
  <c r="R60" i="1"/>
  <c r="R1072" i="1"/>
  <c r="R961" i="1"/>
  <c r="R599" i="1"/>
  <c r="R62" i="1"/>
  <c r="R666" i="1"/>
  <c r="R880" i="1"/>
  <c r="R950" i="1"/>
  <c r="R513" i="1"/>
  <c r="R121" i="1"/>
  <c r="R41" i="1"/>
  <c r="R1154" i="1"/>
  <c r="R453" i="1"/>
  <c r="R523" i="1"/>
  <c r="R529" i="1"/>
  <c r="R270" i="1"/>
  <c r="R1100" i="1"/>
  <c r="R125" i="1"/>
  <c r="R275" i="1"/>
  <c r="R376" i="1"/>
  <c r="R504" i="1"/>
  <c r="R951" i="1"/>
  <c r="R325" i="1"/>
  <c r="R662" i="1"/>
  <c r="R357" i="1"/>
  <c r="R736" i="1"/>
  <c r="R432" i="1"/>
  <c r="R694" i="1"/>
  <c r="R773" i="1"/>
  <c r="R1031" i="1"/>
  <c r="R55" i="1"/>
  <c r="R886" i="1"/>
  <c r="R36" i="1"/>
  <c r="R632" i="1"/>
  <c r="R21" i="1"/>
  <c r="R181" i="1"/>
  <c r="R633" i="1"/>
  <c r="R481" i="1"/>
  <c r="R906" i="1"/>
  <c r="R826" i="1"/>
  <c r="R589" i="1"/>
  <c r="R326" i="1"/>
  <c r="R1179" i="1"/>
  <c r="R1144" i="1"/>
  <c r="R1125" i="1"/>
  <c r="R550" i="1"/>
  <c r="R1159" i="1"/>
  <c r="R829" i="1"/>
  <c r="R688" i="1"/>
  <c r="R714" i="1"/>
  <c r="R1165" i="1"/>
  <c r="R372" i="1"/>
  <c r="R190" i="1"/>
  <c r="R613" i="1"/>
  <c r="R44" i="1"/>
  <c r="R739" i="1"/>
  <c r="R208" i="1"/>
  <c r="R396" i="1"/>
  <c r="R458" i="1"/>
  <c r="R827" i="1"/>
  <c r="R921" i="1"/>
  <c r="R1034" i="1"/>
  <c r="R769" i="1"/>
  <c r="R830" i="1"/>
  <c r="R1160" i="1"/>
  <c r="R1001" i="1"/>
  <c r="R116" i="1"/>
  <c r="R446" i="1"/>
  <c r="R667" i="1"/>
  <c r="R811" i="1"/>
  <c r="R614" i="1"/>
  <c r="R744" i="1"/>
  <c r="R444" i="1"/>
  <c r="R660" i="1"/>
  <c r="R460" i="1"/>
  <c r="R192" i="1"/>
  <c r="R501" i="1"/>
  <c r="R241" i="1"/>
  <c r="R476" i="1"/>
  <c r="R1180" i="1"/>
  <c r="R20" i="1"/>
  <c r="R1166" i="1"/>
  <c r="R88" i="1"/>
  <c r="R689" i="1"/>
  <c r="R600" i="1"/>
  <c r="R22" i="1"/>
  <c r="R350" i="1"/>
  <c r="R128" i="1"/>
  <c r="R931" i="1"/>
  <c r="R932" i="1"/>
  <c r="R1112" i="1"/>
  <c r="R547" i="1"/>
  <c r="R540" i="1"/>
  <c r="R510" i="1"/>
  <c r="R808" i="1"/>
  <c r="R264" i="1"/>
  <c r="R615" i="1"/>
  <c r="R650" i="1"/>
  <c r="R411" i="1"/>
  <c r="R1025" i="1"/>
  <c r="R854" i="1"/>
  <c r="R542" i="1"/>
  <c r="R1141" i="1"/>
  <c r="R162" i="1"/>
  <c r="R681" i="1"/>
  <c r="R72" i="1"/>
  <c r="R1035" i="1"/>
  <c r="R381" i="1"/>
  <c r="R85" i="1"/>
  <c r="R147" i="1"/>
  <c r="R965" i="1"/>
  <c r="R727" i="1"/>
  <c r="R436" i="1"/>
  <c r="R695" i="1"/>
  <c r="R487" i="1"/>
  <c r="R1062" i="1"/>
  <c r="R1199" i="1"/>
  <c r="R442" i="1"/>
  <c r="R61" i="1"/>
  <c r="R941" i="1"/>
  <c r="R978" i="1"/>
  <c r="R1186" i="1"/>
  <c r="R849" i="1"/>
  <c r="R871" i="1"/>
  <c r="R243" i="1"/>
  <c r="R836" i="1"/>
  <c r="R765" i="1"/>
  <c r="R327" i="1"/>
  <c r="R1044" i="1"/>
  <c r="R362" i="1"/>
  <c r="R842" i="1"/>
  <c r="R462" i="1"/>
  <c r="R412" i="1"/>
  <c r="R725" i="1"/>
  <c r="R855" i="1"/>
  <c r="R360" i="1"/>
  <c r="R852" i="1"/>
  <c r="R665" i="1"/>
  <c r="R996" i="1"/>
  <c r="R334" i="1"/>
  <c r="R732" i="1"/>
  <c r="R1013" i="1"/>
  <c r="R420" i="1"/>
  <c r="R495" i="1"/>
  <c r="R218" i="1"/>
  <c r="R793" i="1"/>
  <c r="R78" i="1"/>
  <c r="R828" i="1"/>
  <c r="R1193" i="1"/>
  <c r="R81" i="1"/>
  <c r="R876" i="1"/>
  <c r="R669" i="1"/>
  <c r="R819" i="1"/>
  <c r="R174" i="1"/>
  <c r="R1048" i="1"/>
  <c r="R109" i="1"/>
  <c r="R733" i="1"/>
  <c r="R30" i="1"/>
  <c r="R151" i="1"/>
  <c r="R388" i="1"/>
  <c r="R757" i="1"/>
  <c r="R16" i="1"/>
  <c r="R195" i="1"/>
  <c r="R499" i="1"/>
  <c r="R1074" i="1"/>
  <c r="R465" i="1"/>
  <c r="R1063" i="1"/>
  <c r="R79" i="1"/>
  <c r="R873" i="1"/>
  <c r="R329" i="1"/>
  <c r="R225" i="1"/>
  <c r="R249" i="1"/>
  <c r="R653" i="1"/>
  <c r="R1121" i="1"/>
  <c r="R967" i="1"/>
  <c r="R238" i="1"/>
  <c r="R846" i="1"/>
  <c r="R318" i="1"/>
  <c r="R1162" i="1"/>
  <c r="R699" i="1"/>
  <c r="R154" i="1"/>
  <c r="R782" i="1"/>
  <c r="R518" i="1"/>
  <c r="R102" i="1"/>
  <c r="R1201" i="1"/>
  <c r="R113" i="1"/>
  <c r="R623" i="1"/>
  <c r="R568" i="1"/>
  <c r="R172" i="1"/>
  <c r="R395" i="1"/>
  <c r="R112" i="1"/>
  <c r="R107" i="1"/>
  <c r="R1182" i="1"/>
  <c r="R397" i="1"/>
  <c r="R680" i="1"/>
  <c r="R685" i="1"/>
  <c r="R922" i="1"/>
  <c r="R1132" i="1"/>
  <c r="R205" i="1"/>
  <c r="R222" i="1"/>
  <c r="R142" i="1"/>
  <c r="R177" i="1"/>
  <c r="R403" i="1"/>
  <c r="R774" i="1"/>
  <c r="R1064" i="1"/>
  <c r="R319" i="1"/>
  <c r="R228" i="1"/>
  <c r="R1017" i="1"/>
  <c r="R766" i="1"/>
  <c r="R930" i="1"/>
  <c r="R626" i="1"/>
  <c r="R710" i="1"/>
  <c r="R507" i="1"/>
  <c r="R370" i="1"/>
  <c r="R790" i="1"/>
  <c r="R492" i="1"/>
  <c r="R1036" i="1"/>
  <c r="R738" i="1"/>
  <c r="R1018" i="1"/>
  <c r="R806" i="1"/>
  <c r="R130" i="1"/>
  <c r="R68" i="1"/>
  <c r="R1134" i="1"/>
  <c r="R865" i="1"/>
  <c r="R973" i="1"/>
  <c r="R740" i="1"/>
  <c r="R783" i="1"/>
  <c r="R75" i="1"/>
  <c r="R46" i="1"/>
  <c r="R433" i="1"/>
  <c r="R952" i="1"/>
  <c r="R1171" i="1"/>
  <c r="R314" i="1"/>
  <c r="R281" i="1"/>
  <c r="R692" i="1"/>
  <c r="R148" i="1"/>
  <c r="R564" i="1"/>
  <c r="R825" i="1"/>
  <c r="R404" i="1"/>
  <c r="R1052" i="1"/>
  <c r="R717" i="1"/>
  <c r="R519" i="1"/>
  <c r="R273" i="1"/>
  <c r="R297" i="1"/>
  <c r="R405" i="1"/>
  <c r="R136" i="1"/>
  <c r="R964" i="1"/>
  <c r="R301" i="1"/>
  <c r="R342" i="1"/>
  <c r="R1002" i="1"/>
  <c r="R867" i="1"/>
  <c r="R461" i="1"/>
  <c r="R837" i="1"/>
  <c r="R315" i="1"/>
  <c r="R155" i="1"/>
  <c r="R833" i="1"/>
  <c r="R17" i="1"/>
  <c r="R424" i="1"/>
  <c r="R294" i="1"/>
  <c r="R1175" i="1"/>
  <c r="R132" i="1"/>
  <c r="R373" i="1"/>
  <c r="R756" i="1"/>
  <c r="R445" i="1"/>
  <c r="R593" i="1"/>
  <c r="R390" i="1"/>
  <c r="R800" i="1"/>
  <c r="R1163" i="1"/>
  <c r="R1012" i="1"/>
  <c r="R574" i="1"/>
  <c r="R1177" i="1"/>
  <c r="R447" i="1"/>
  <c r="R734" i="1"/>
  <c r="R580" i="1"/>
  <c r="R271" i="1"/>
  <c r="R804" i="1"/>
  <c r="R229" i="1"/>
  <c r="Q8" i="1"/>
  <c r="Q805" i="1"/>
  <c r="Q571" i="1"/>
  <c r="Q398" i="1"/>
  <c r="Q1128" i="1"/>
  <c r="Q410" i="1"/>
  <c r="Q1178" i="1"/>
  <c r="Q180" i="1"/>
  <c r="Q1085" i="1"/>
  <c r="Q448" i="1"/>
  <c r="Q508" i="1"/>
  <c r="Q556" i="1"/>
  <c r="Q878" i="1"/>
  <c r="Q346" i="1"/>
  <c r="Q122" i="1"/>
  <c r="Q274" i="1"/>
  <c r="Q37" i="1"/>
  <c r="Q578" i="1"/>
  <c r="Q1075" i="1"/>
  <c r="Q34" i="1"/>
  <c r="Q173" i="1"/>
  <c r="Q910" i="1"/>
  <c r="Q45" i="1"/>
  <c r="Q1093" i="1"/>
  <c r="Q894" i="1"/>
  <c r="Q776" i="1"/>
  <c r="Q582" i="1"/>
  <c r="Q561" i="1"/>
  <c r="Q449" i="1"/>
  <c r="Q847" i="1"/>
  <c r="Q1070" i="1"/>
  <c r="Q252" i="1"/>
  <c r="Q160" i="1"/>
  <c r="Q216" i="1"/>
  <c r="Q13" i="1"/>
  <c r="Q937" i="1"/>
  <c r="Q1129" i="1"/>
  <c r="Q877" i="1"/>
  <c r="Q955" i="1"/>
  <c r="Q1030" i="1"/>
  <c r="Q320" i="1"/>
  <c r="Q473" i="1"/>
  <c r="Q663" i="1"/>
  <c r="Q488" i="1"/>
  <c r="Q1107" i="1"/>
  <c r="Q552" i="1"/>
  <c r="Q741" i="1"/>
  <c r="Q279" i="1"/>
  <c r="Q337" i="1"/>
  <c r="Q389" i="1"/>
  <c r="Q296" i="1"/>
  <c r="Q970" i="1"/>
  <c r="Q831" i="1"/>
  <c r="Q677" i="1"/>
  <c r="Q1077" i="1"/>
  <c r="Q1189" i="1"/>
  <c r="Q194" i="1"/>
  <c r="Q31" i="1"/>
  <c r="Q26" i="1"/>
  <c r="Q838" i="1"/>
  <c r="Q802" i="1"/>
  <c r="Q603" i="1"/>
  <c r="Q330" i="1"/>
  <c r="Q998" i="1"/>
  <c r="Q1194" i="1"/>
  <c r="Q511" i="1"/>
  <c r="Q908" i="1"/>
  <c r="Q940" i="1"/>
  <c r="Q479" i="1"/>
  <c r="Q178" i="1"/>
  <c r="Q199" i="1"/>
  <c r="Q1167" i="1"/>
  <c r="Q962" i="1"/>
  <c r="Q165" i="1"/>
  <c r="Q244" i="1"/>
  <c r="Q371" i="1"/>
  <c r="Q610" i="1"/>
  <c r="Q682" i="1"/>
  <c r="Q796" i="1"/>
  <c r="Q1051" i="1"/>
  <c r="Q246" i="1"/>
  <c r="Q223" i="1"/>
  <c r="Q515" i="1"/>
  <c r="Q331" i="1"/>
  <c r="Q341" i="1"/>
  <c r="Q834" i="1"/>
  <c r="Q729" i="1"/>
  <c r="Q874" i="1"/>
  <c r="Q1157" i="1"/>
  <c r="Q1026" i="1"/>
  <c r="Q365" i="1"/>
  <c r="Q106" i="1"/>
  <c r="Q715" i="1"/>
  <c r="Q23" i="1"/>
  <c r="Q58" i="1"/>
  <c r="Q117" i="1"/>
  <c r="Q696" i="1"/>
  <c r="Q984" i="1"/>
  <c r="Q24" i="1"/>
  <c r="Q1096" i="1"/>
  <c r="Q69" i="1"/>
  <c r="Q454" i="1"/>
  <c r="Q92" i="1"/>
  <c r="Q990" i="1"/>
  <c r="Q791" i="1"/>
  <c r="Q887" i="1"/>
  <c r="Q358" i="1"/>
  <c r="Q123" i="1"/>
  <c r="Q969" i="1"/>
  <c r="Q364" i="1"/>
  <c r="Q648" i="1"/>
  <c r="Q1126" i="1"/>
  <c r="Q2" i="1"/>
  <c r="Q530" i="1"/>
  <c r="Q993" i="1"/>
  <c r="Q459" i="1"/>
  <c r="Q110" i="1"/>
  <c r="Q93" i="1"/>
  <c r="Q393" i="1"/>
  <c r="Q1169" i="1"/>
  <c r="Q140" i="1"/>
  <c r="Q463" i="1"/>
  <c r="Q634" i="1"/>
  <c r="Q260" i="1"/>
  <c r="Q787" i="1"/>
  <c r="Q899" i="1"/>
  <c r="Q1118" i="1"/>
  <c r="Q308" i="1"/>
  <c r="Q70" i="1"/>
  <c r="Q417" i="1"/>
  <c r="Q986" i="1"/>
  <c r="Q15" i="1"/>
  <c r="Q126" i="1"/>
  <c r="Q1181" i="1"/>
  <c r="Q1187" i="1"/>
  <c r="Q302" i="1"/>
  <c r="Q658" i="1"/>
  <c r="Q924" i="1"/>
  <c r="Q496" i="1"/>
  <c r="Q138" i="1"/>
  <c r="Q1150" i="1"/>
  <c r="Q443" i="1"/>
  <c r="Q356" i="1"/>
  <c r="Q720" i="1"/>
  <c r="Q303" i="1"/>
  <c r="Q579" i="1"/>
  <c r="Q1115" i="1"/>
  <c r="Q1123" i="1"/>
  <c r="Q948" i="1"/>
  <c r="Q503" i="1"/>
  <c r="Q484" i="1"/>
  <c r="Q466" i="1"/>
  <c r="Q972" i="1"/>
  <c r="Q953" i="1"/>
  <c r="Q282" i="1"/>
  <c r="Q82" i="1"/>
  <c r="Q901" i="1"/>
  <c r="Q1022" i="1"/>
  <c r="Q675" i="1"/>
  <c r="Q421" i="1"/>
  <c r="Q71" i="1"/>
  <c r="Q609" i="1"/>
  <c r="Q292" i="1"/>
  <c r="Q1190" i="1"/>
  <c r="Q505" i="1"/>
  <c r="Q840" i="1"/>
  <c r="Q1040" i="1"/>
  <c r="Q202" i="1"/>
  <c r="Q976" i="1"/>
  <c r="Q616" i="1"/>
  <c r="Q1087" i="1"/>
  <c r="Q316" i="1"/>
  <c r="Q1088" i="1"/>
  <c r="Q604" i="1"/>
  <c r="Q638" i="1"/>
  <c r="Q1008" i="1"/>
  <c r="Q1196" i="1"/>
  <c r="Q304" i="1"/>
  <c r="Q629" i="1"/>
  <c r="Q917" i="1"/>
  <c r="Q108" i="1"/>
  <c r="Q815" i="1"/>
  <c r="Q1067" i="1"/>
  <c r="Q642" i="1"/>
  <c r="Q612" i="1"/>
  <c r="Q999" i="1"/>
  <c r="Q474" i="1"/>
  <c r="Q56" i="1"/>
  <c r="Q1059" i="1"/>
  <c r="Q257" i="1"/>
  <c r="Q816" i="1"/>
  <c r="Q1049" i="1"/>
  <c r="Q310" i="1"/>
  <c r="Q284" i="1"/>
  <c r="Q706" i="1"/>
  <c r="Q649" i="1"/>
  <c r="Q989" i="1"/>
  <c r="Q339" i="1"/>
  <c r="Q716" i="1"/>
  <c r="Q987" i="1"/>
  <c r="Q1161" i="1"/>
  <c r="Q239" i="1"/>
  <c r="Q1004" i="1"/>
  <c r="Q985" i="1"/>
  <c r="Q354" i="1"/>
  <c r="Q89" i="1"/>
  <c r="Q639" i="1"/>
  <c r="Q1066" i="1"/>
  <c r="Q872" i="1"/>
  <c r="Q343" i="1"/>
  <c r="Q934" i="1"/>
  <c r="Q974" i="1"/>
  <c r="Q240" i="1"/>
  <c r="Q146" i="1"/>
  <c r="Q803" i="1"/>
  <c r="Q309" i="1"/>
  <c r="Q1098" i="1"/>
  <c r="Q678" i="1"/>
  <c r="Q156" i="1"/>
  <c r="Q1116" i="1"/>
  <c r="Q276" i="1"/>
  <c r="Q563" i="1"/>
  <c r="Q169" i="1"/>
  <c r="Q839" i="1"/>
  <c r="Q368" i="1"/>
  <c r="Q591" i="1"/>
  <c r="Q1195" i="1"/>
  <c r="Q425" i="1"/>
  <c r="Q185" i="1"/>
  <c r="Q1078" i="1"/>
  <c r="Q489" i="1"/>
  <c r="Q428" i="1"/>
  <c r="Q191" i="1"/>
  <c r="Q807" i="1"/>
  <c r="Q925" i="1"/>
  <c r="Q74" i="1"/>
  <c r="Q3" i="1"/>
  <c r="Q594" i="1"/>
  <c r="Q946" i="1"/>
  <c r="Q943" i="1"/>
  <c r="Q268" i="1"/>
  <c r="Q183" i="1"/>
  <c r="Q175" i="1"/>
  <c r="Q1130" i="1"/>
  <c r="Q64" i="1"/>
  <c r="Q1106" i="1"/>
  <c r="Q813" i="1"/>
  <c r="Q283" i="1"/>
  <c r="Q255" i="1"/>
  <c r="Q548" i="1"/>
  <c r="Q131" i="1"/>
  <c r="Q1138" i="1"/>
  <c r="Q848" i="1"/>
  <c r="Q601" i="1"/>
  <c r="Q502" i="1"/>
  <c r="Q672" i="1"/>
  <c r="Q1200" i="1"/>
  <c r="Q651" i="1"/>
  <c r="Q569" i="1"/>
  <c r="Q226" i="1"/>
  <c r="Q186" i="1"/>
  <c r="Q1148" i="1"/>
  <c r="Q18" i="1"/>
  <c r="Q118" i="1"/>
  <c r="Q792" i="1"/>
  <c r="Q497" i="1"/>
  <c r="Q707" i="1"/>
  <c r="Q1101" i="1"/>
  <c r="Q311" i="1"/>
  <c r="Q455" i="1"/>
  <c r="Q214" i="1"/>
  <c r="Q127" i="1"/>
  <c r="Q366" i="1"/>
  <c r="Q892" i="1"/>
  <c r="Q52" i="1"/>
  <c r="Q427" i="1"/>
  <c r="Q1081" i="1"/>
  <c r="Q835" i="1"/>
  <c r="Q911" i="1"/>
  <c r="Q407" i="1"/>
  <c r="Q124" i="1"/>
  <c r="Q293" i="1"/>
  <c r="Q1108" i="1"/>
  <c r="Q1032" i="1"/>
  <c r="Q65" i="1"/>
  <c r="Q1168" i="1"/>
  <c r="Q1090" i="1"/>
  <c r="Q451" i="1"/>
  <c r="Q100" i="1"/>
  <c r="Q291" i="1"/>
  <c r="Q170" i="1"/>
  <c r="Q670" i="1"/>
  <c r="Q979" i="1"/>
  <c r="Q66" i="1"/>
  <c r="Q1084" i="1"/>
  <c r="Q39" i="1"/>
  <c r="Q730" i="1"/>
  <c r="Q77" i="1"/>
  <c r="Q493" i="1"/>
  <c r="Q533" i="1"/>
  <c r="Q820" i="1"/>
  <c r="Q179" i="1"/>
  <c r="Q184" i="1"/>
  <c r="Q938" i="1"/>
  <c r="Q882" i="1"/>
  <c r="Q456" i="1"/>
  <c r="Q704" i="1"/>
  <c r="Q254" i="1"/>
  <c r="Q480" i="1"/>
  <c r="Q382" i="1"/>
  <c r="Q565" i="1"/>
  <c r="Q1140" i="1"/>
  <c r="Q1145" i="1"/>
  <c r="Q265" i="1"/>
  <c r="Q383" i="1"/>
  <c r="Q1133" i="1"/>
  <c r="Q378" i="1"/>
  <c r="Q139" i="1"/>
  <c r="Q786" i="1"/>
  <c r="Q469" i="1"/>
  <c r="Q956" i="1"/>
  <c r="Q307" i="1"/>
  <c r="Q724" i="1"/>
  <c r="Q991" i="1"/>
  <c r="Q721" i="1"/>
  <c r="Q250" i="1"/>
  <c r="Q749" i="1"/>
  <c r="Q289" i="1"/>
  <c r="Q84" i="1"/>
  <c r="Q966" i="1"/>
  <c r="Q697" i="1"/>
  <c r="Q143" i="1"/>
  <c r="Q752" i="1"/>
  <c r="Q640" i="1"/>
  <c r="Q605" i="1"/>
  <c r="Q1039" i="1"/>
  <c r="Q509" i="1"/>
  <c r="Q206" i="1"/>
  <c r="Q430" i="1"/>
  <c r="Q627" i="1"/>
  <c r="Q152" i="1"/>
  <c r="Q853" i="1"/>
  <c r="Q1191" i="1"/>
  <c r="Q80" i="1"/>
  <c r="Q1045" i="1"/>
  <c r="Q475" i="1"/>
  <c r="Q936" i="1"/>
  <c r="Q545" i="1"/>
  <c r="Q592" i="1"/>
  <c r="Q464" i="1"/>
  <c r="Q212" i="1"/>
  <c r="Q1016" i="1"/>
  <c r="Q347" i="1"/>
  <c r="Q1079" i="1"/>
  <c r="Q267" i="1"/>
  <c r="Q1155" i="1"/>
  <c r="Q171" i="1"/>
  <c r="Q263" i="1"/>
  <c r="Q617" i="1"/>
  <c r="Q224" i="1"/>
  <c r="Q702" i="1"/>
  <c r="Q746" i="1"/>
  <c r="Q247" i="1"/>
  <c r="Q683" i="1"/>
  <c r="Q452" i="1"/>
  <c r="Q1014" i="1"/>
  <c r="Q57" i="1"/>
  <c r="Q655" i="1"/>
  <c r="Q161" i="1"/>
  <c r="Q963" i="1"/>
  <c r="Q1119" i="1"/>
  <c r="Q10" i="1"/>
  <c r="Q1015" i="1"/>
  <c r="Q5" i="1"/>
  <c r="Q843" i="1"/>
  <c r="Q980" i="1"/>
  <c r="Q335" i="1"/>
  <c r="Q770" i="1"/>
  <c r="Q544" i="1"/>
  <c r="Q850" i="1"/>
  <c r="Q646" i="1"/>
  <c r="Q219" i="1"/>
  <c r="Q997" i="1"/>
  <c r="Q28" i="1"/>
  <c r="Q918" i="1"/>
  <c r="Q422" i="1"/>
  <c r="Q157" i="1"/>
  <c r="Q742" i="1"/>
  <c r="Q506" i="1"/>
  <c r="Q490" i="1"/>
  <c r="Q272" i="1"/>
  <c r="Q981" i="1"/>
  <c r="Q573" i="1"/>
  <c r="Q760" i="1"/>
  <c r="Q258" i="1"/>
  <c r="Q1111" i="1"/>
  <c r="Q467" i="1"/>
  <c r="Q374" i="1"/>
  <c r="Q824" i="1"/>
  <c r="Q517" i="1"/>
  <c r="Q858" i="1"/>
  <c r="Q1094" i="1"/>
  <c r="Q137" i="1"/>
  <c r="Q902" i="1"/>
  <c r="Q94" i="1"/>
  <c r="Q992" i="1"/>
  <c r="Q478" i="1"/>
  <c r="Q313" i="1"/>
  <c r="Q971" i="1"/>
  <c r="Q248" i="1"/>
  <c r="Q531" i="1"/>
  <c r="Q731" i="1"/>
  <c r="Q1095" i="1"/>
  <c r="Q391" i="1"/>
  <c r="Q1122" i="1"/>
  <c r="Q1089" i="1"/>
  <c r="Q277" i="1"/>
  <c r="Q413" i="1"/>
  <c r="Q19" i="1"/>
  <c r="Q641" i="1"/>
  <c r="Q928" i="1"/>
  <c r="Q399" i="1"/>
  <c r="Q217" i="1"/>
  <c r="Q767" i="1"/>
  <c r="Q141" i="1"/>
  <c r="Q95" i="1"/>
  <c r="Q1065" i="1"/>
  <c r="Q954" i="1"/>
  <c r="Q926" i="1"/>
  <c r="Q957" i="1"/>
  <c r="Q220" i="1"/>
  <c r="Q868" i="1"/>
  <c r="Q351" i="1"/>
  <c r="Q338" i="1"/>
  <c r="Q408" i="1"/>
  <c r="Q203" i="1"/>
  <c r="Q59" i="1"/>
  <c r="Q643" i="1"/>
  <c r="Q975" i="1"/>
  <c r="Q832" i="1"/>
  <c r="Q898" i="1"/>
  <c r="Q485" i="1"/>
  <c r="Q664" i="1"/>
  <c r="Q673" i="1"/>
  <c r="Q708" i="1"/>
  <c r="Q602" i="1"/>
  <c r="Q406" i="1"/>
  <c r="Q618" i="1"/>
  <c r="Q352" i="1"/>
  <c r="Q809" i="1"/>
  <c r="Q526" i="1"/>
  <c r="Q129" i="1"/>
  <c r="Q285" i="1"/>
  <c r="Q1117" i="1"/>
  <c r="Q927" i="1"/>
  <c r="Q606" i="1"/>
  <c r="Q245" i="1"/>
  <c r="Q1146" i="1"/>
  <c r="Q750" i="1"/>
  <c r="Q777" i="1"/>
  <c r="Q869" i="1"/>
  <c r="Q709" i="1"/>
  <c r="Q1083" i="1"/>
  <c r="Q200" i="1"/>
  <c r="Q103" i="1"/>
  <c r="Q570" i="1"/>
  <c r="Q278" i="1"/>
  <c r="Q814" i="1"/>
  <c r="Q1183" i="1"/>
  <c r="Q457" i="1"/>
  <c r="Q375" i="1"/>
  <c r="Q1104" i="1"/>
  <c r="Q12" i="1"/>
  <c r="Q1027" i="1"/>
  <c r="Q440" i="1"/>
  <c r="Q1105" i="1"/>
  <c r="Q527" i="1"/>
  <c r="Q1042" i="1"/>
  <c r="Q895" i="1"/>
  <c r="Q73" i="1"/>
  <c r="Q235" i="1"/>
  <c r="Q153" i="1"/>
  <c r="Q1037" i="1"/>
  <c r="Q27" i="1"/>
  <c r="Q690" i="1"/>
  <c r="Q298" i="1"/>
  <c r="Q51" i="1"/>
  <c r="Q96" i="1"/>
  <c r="Q935" i="1"/>
  <c r="Q355" i="1"/>
  <c r="Q771" i="1"/>
  <c r="Q11" i="1"/>
  <c r="Q414" i="1"/>
  <c r="Q995" i="1"/>
  <c r="Q280" i="1"/>
  <c r="Q1158" i="1"/>
  <c r="Q1057" i="1"/>
  <c r="Q888" i="1"/>
  <c r="Q269" i="1"/>
  <c r="Q133" i="1"/>
  <c r="Q619" i="1"/>
  <c r="Q546" i="1"/>
  <c r="Q193" i="1"/>
  <c r="Q348" i="1"/>
  <c r="Q1170" i="1"/>
  <c r="Q227" i="1"/>
  <c r="Q290" i="1"/>
  <c r="Q259" i="1"/>
  <c r="Q1137" i="1"/>
  <c r="Q63" i="1"/>
  <c r="Q949" i="1"/>
  <c r="Q595" i="1"/>
  <c r="Q857" i="1"/>
  <c r="Q1009" i="1"/>
  <c r="Q144" i="1"/>
  <c r="Q104" i="1"/>
  <c r="Q620" i="1"/>
  <c r="Q624" i="1"/>
  <c r="Q1172" i="1"/>
  <c r="Q1131" i="1"/>
  <c r="Q98" i="1"/>
  <c r="Q566" i="1"/>
  <c r="Q647" i="1"/>
  <c r="Q1019" i="1"/>
  <c r="Q415" i="1"/>
  <c r="Q471" i="1"/>
  <c r="Q575" i="1"/>
  <c r="Q801" i="1"/>
  <c r="Q1029" i="1"/>
  <c r="Q621" i="1"/>
  <c r="Q764" i="1"/>
  <c r="Q751" i="1"/>
  <c r="Q1120" i="1"/>
  <c r="Q91" i="1"/>
  <c r="Q703" i="1"/>
  <c r="Q778" i="1"/>
  <c r="Q711" i="1"/>
  <c r="Q1073" i="1"/>
  <c r="Q684" i="1"/>
  <c r="Q1020" i="1"/>
  <c r="Q541" i="1"/>
  <c r="Q306" i="1"/>
  <c r="Q438" i="1"/>
  <c r="Q585" i="1"/>
  <c r="Q586" i="1"/>
  <c r="Q494" i="1"/>
  <c r="Q576" i="1"/>
  <c r="Q321" i="1"/>
  <c r="Q516" i="1"/>
  <c r="Q1028" i="1"/>
  <c r="Q419" i="1"/>
  <c r="Q188" i="1"/>
  <c r="Q377" i="1"/>
  <c r="Q332" i="1"/>
  <c r="Q1149" i="1"/>
  <c r="Q14" i="1"/>
  <c r="Q42" i="1"/>
  <c r="Q251" i="1"/>
  <c r="Q762" i="1"/>
  <c r="Q635" i="1"/>
  <c r="Q47" i="1"/>
  <c r="Q48" i="1"/>
  <c r="Q386" i="1"/>
  <c r="Q482" i="1"/>
  <c r="Q1091" i="1"/>
  <c r="Q182" i="1"/>
  <c r="Q644" i="1"/>
  <c r="Q862" i="1"/>
  <c r="Q99" i="1"/>
  <c r="Q1071" i="1"/>
  <c r="Q968" i="1"/>
  <c r="Q915" i="1"/>
  <c r="Q434" i="1"/>
  <c r="Q40" i="1"/>
  <c r="Q538" i="1"/>
  <c r="Q221" i="1"/>
  <c r="Q691" i="1"/>
  <c r="Q32" i="1"/>
  <c r="Q875" i="1"/>
  <c r="Q215" i="1"/>
  <c r="Q439" i="1"/>
  <c r="Q905" i="1"/>
  <c r="Q558" i="1"/>
  <c r="Q1176" i="1"/>
  <c r="Q1068" i="1"/>
  <c r="Q322" i="1"/>
  <c r="Q903" i="1"/>
  <c r="Q230" i="1"/>
  <c r="Q942" i="1"/>
  <c r="Q1010" i="1"/>
  <c r="Q361" i="1"/>
  <c r="Q912" i="1"/>
  <c r="Q652" i="1"/>
  <c r="Q299" i="1"/>
  <c r="Q559" i="1"/>
  <c r="Q977" i="1"/>
  <c r="Q231" i="1"/>
  <c r="Q923" i="1"/>
  <c r="Q657" i="1"/>
  <c r="Q253" i="1"/>
  <c r="Q201" i="1"/>
  <c r="Q379" i="1"/>
  <c r="Q581" i="1"/>
  <c r="Q866" i="1"/>
  <c r="Q1185" i="1"/>
  <c r="Q668" i="1"/>
  <c r="Q900" i="1"/>
  <c r="Q1151" i="1"/>
  <c r="Q779" i="1"/>
  <c r="Q994" i="1"/>
  <c r="Q726" i="1"/>
  <c r="Q149" i="1"/>
  <c r="Q210" i="1"/>
  <c r="Q958" i="1"/>
  <c r="Q584" i="1"/>
  <c r="Q1046" i="1"/>
  <c r="Q881" i="1"/>
  <c r="Q549" i="1"/>
  <c r="Q821" i="1"/>
  <c r="Q763" i="1"/>
  <c r="Q608" i="1"/>
  <c r="Q409" i="1"/>
  <c r="Q897" i="1"/>
  <c r="Q236" i="1"/>
  <c r="Q528" i="1"/>
  <c r="Q369" i="1"/>
  <c r="Q577" i="1"/>
  <c r="Q305" i="1"/>
  <c r="Q119" i="1"/>
  <c r="Q262" i="1"/>
  <c r="Q242" i="1"/>
  <c r="Q817" i="1"/>
  <c r="Q163" i="1"/>
  <c r="Q628" i="1"/>
  <c r="Q656" i="1"/>
  <c r="Q486" i="1"/>
  <c r="Q384" i="1"/>
  <c r="Q860" i="1"/>
  <c r="Q400" i="1"/>
  <c r="Q29" i="1"/>
  <c r="Q572" i="1"/>
  <c r="Q748" i="1"/>
  <c r="Q661" i="1"/>
  <c r="Q810" i="1"/>
  <c r="Q441" i="1"/>
  <c r="Q6" i="1"/>
  <c r="Q418" i="1"/>
  <c r="Q1110" i="1"/>
  <c r="Q982" i="1"/>
  <c r="Q498" i="1"/>
  <c r="Q189" i="1"/>
  <c r="Q907" i="1"/>
  <c r="Q701" i="1"/>
  <c r="Q567" i="1"/>
  <c r="Q232" i="1"/>
  <c r="Q105" i="1"/>
  <c r="Q532" i="1"/>
  <c r="Q500" i="1"/>
  <c r="Q1102" i="1"/>
  <c r="Q891" i="1"/>
  <c r="Q885" i="1"/>
  <c r="Q1033" i="1"/>
  <c r="Q43" i="1"/>
  <c r="Q636" i="1"/>
  <c r="Q959" i="1"/>
  <c r="Q164" i="1"/>
  <c r="Q818" i="1"/>
  <c r="Q166" i="1"/>
  <c r="Q755" i="1"/>
  <c r="Q53" i="1"/>
  <c r="Q645" i="1"/>
  <c r="Q234" i="1"/>
  <c r="Q176" i="1"/>
  <c r="Q76" i="1"/>
  <c r="Q520" i="1"/>
  <c r="Q797" i="1"/>
  <c r="Q1188" i="1"/>
  <c r="Q1086" i="1"/>
  <c r="Q919" i="1"/>
  <c r="Q49" i="1"/>
  <c r="Q340" i="1"/>
  <c r="Q543" i="1"/>
  <c r="Q286" i="1"/>
  <c r="Q1142" i="1"/>
  <c r="Q851" i="1"/>
  <c r="Q1005" i="1"/>
  <c r="Q394" i="1"/>
  <c r="Q363" i="1"/>
  <c r="Q583" i="1"/>
  <c r="Q344" i="1"/>
  <c r="Q758" i="1"/>
  <c r="Q920" i="1"/>
  <c r="Q35" i="1"/>
  <c r="Q1053" i="1"/>
  <c r="Q380" i="1"/>
  <c r="Q916" i="1"/>
  <c r="Q256" i="1"/>
  <c r="Q1000" i="1"/>
  <c r="Q9" i="1"/>
  <c r="Q437" i="1"/>
  <c r="Q856" i="1"/>
  <c r="Q737" i="1"/>
  <c r="Q712" i="1"/>
  <c r="Q115" i="1"/>
  <c r="Q213" i="1"/>
  <c r="Q1082" i="1"/>
  <c r="Q1038" i="1"/>
  <c r="Q896" i="1"/>
  <c r="Q1041" i="1"/>
  <c r="Q939" i="1"/>
  <c r="Q772" i="1"/>
  <c r="Q753" i="1"/>
  <c r="Q521" i="1"/>
  <c r="Q1184" i="1"/>
  <c r="Q150" i="1"/>
  <c r="Q784" i="1"/>
  <c r="Q722" i="1"/>
  <c r="Q401" i="1"/>
  <c r="Q135" i="1"/>
  <c r="Q534" i="1"/>
  <c r="Q367" i="1"/>
  <c r="Q598" i="1"/>
  <c r="Q909" i="1"/>
  <c r="Q477" i="1"/>
  <c r="Q883" i="1"/>
  <c r="Q101" i="1"/>
  <c r="Q890" i="1"/>
  <c r="Q861" i="1"/>
  <c r="Q789" i="1"/>
  <c r="Q359" i="1"/>
  <c r="Q1023" i="1"/>
  <c r="Q705" i="1"/>
  <c r="Q1047" i="1"/>
  <c r="Q472" i="1"/>
  <c r="Q536" i="1"/>
  <c r="Q745" i="1"/>
  <c r="Q551" i="1"/>
  <c r="Q514" i="1"/>
  <c r="Q1156" i="1"/>
  <c r="Q723" i="1"/>
  <c r="Q768" i="1"/>
  <c r="Q988" i="1"/>
  <c r="Q929" i="1"/>
  <c r="Q863" i="1"/>
  <c r="Q718" i="1"/>
  <c r="Q86" i="1"/>
  <c r="Q1024" i="1"/>
  <c r="Q1054" i="1"/>
  <c r="Q761" i="1"/>
  <c r="Q1097" i="1"/>
  <c r="Q25" i="1"/>
  <c r="Q38" i="1"/>
  <c r="Q864" i="1"/>
  <c r="Q654" i="1"/>
  <c r="Q1152" i="1"/>
  <c r="Q233" i="1"/>
  <c r="Q743" i="1"/>
  <c r="Q562" i="1"/>
  <c r="Q120" i="1"/>
  <c r="Q287" i="1"/>
  <c r="Q1021" i="1"/>
  <c r="Q211" i="1"/>
  <c r="Q844" i="1"/>
  <c r="Q134" i="1"/>
  <c r="Q587" i="1"/>
  <c r="Q387" i="1"/>
  <c r="Q33" i="1"/>
  <c r="Q1103" i="1"/>
  <c r="Q353" i="1"/>
  <c r="Q261" i="1"/>
  <c r="Q553" i="1"/>
  <c r="Q719" i="1"/>
  <c r="Q788" i="1"/>
  <c r="Q1197" i="1"/>
  <c r="Q1099" i="1"/>
  <c r="Q90" i="1"/>
  <c r="Q328" i="1"/>
  <c r="Q1069" i="1"/>
  <c r="Q158" i="1"/>
  <c r="Q468" i="1"/>
  <c r="Q611" i="1"/>
  <c r="Q522" i="1"/>
  <c r="Q798" i="1"/>
  <c r="Q1147" i="1"/>
  <c r="Q1139" i="1"/>
  <c r="Q295" i="1"/>
  <c r="Q333" i="1"/>
  <c r="Q596" i="1"/>
  <c r="Q426" i="1"/>
  <c r="Q317" i="1"/>
  <c r="Q841" i="1"/>
  <c r="Q524" i="1"/>
  <c r="Q237" i="1"/>
  <c r="Q637" i="1"/>
  <c r="Q97" i="1"/>
  <c r="Q914" i="1"/>
  <c r="Q1114" i="1"/>
  <c r="Q83" i="1"/>
  <c r="Q1143" i="1"/>
  <c r="Q145" i="1"/>
  <c r="Q1080" i="1"/>
  <c r="Q167" i="1"/>
  <c r="Q557" i="1"/>
  <c r="Q323" i="1"/>
  <c r="Q512" i="1"/>
  <c r="Q879" i="1"/>
  <c r="Q349" i="1"/>
  <c r="Q904" i="1"/>
  <c r="Q554" i="1"/>
  <c r="Q625" i="1"/>
  <c r="Q207" i="1"/>
  <c r="Q429" i="1"/>
  <c r="Q539" i="1"/>
  <c r="Q1060" i="1"/>
  <c r="Q944" i="1"/>
  <c r="Q794" i="1"/>
  <c r="Q560" i="1"/>
  <c r="Q385" i="1"/>
  <c r="Q87" i="1"/>
  <c r="Q859" i="1"/>
  <c r="Q204" i="1"/>
  <c r="Q947" i="1"/>
  <c r="Q1061" i="1"/>
  <c r="Q870" i="1"/>
  <c r="Q345" i="1"/>
  <c r="Q1076" i="1"/>
  <c r="Q1050" i="1"/>
  <c r="Q197" i="1"/>
  <c r="Q780" i="1"/>
  <c r="Q54" i="1"/>
  <c r="Q945" i="1"/>
  <c r="Q491" i="1"/>
  <c r="Q590" i="1"/>
  <c r="Q1058" i="1"/>
  <c r="Q630" i="1"/>
  <c r="Q607" i="1"/>
  <c r="Q50" i="1"/>
  <c r="Q1174" i="1"/>
  <c r="Q631" i="1"/>
  <c r="Q336" i="1"/>
  <c r="Q525" i="1"/>
  <c r="Q845" i="1"/>
  <c r="Q1127" i="1"/>
  <c r="Q1135" i="1"/>
  <c r="Q933" i="1"/>
  <c r="Q392" i="1"/>
  <c r="Q754" i="1"/>
  <c r="Q913" i="1"/>
  <c r="Q4" i="1"/>
  <c r="Q1164" i="1"/>
  <c r="Q1113" i="1"/>
  <c r="Q483" i="1"/>
  <c r="Q889" i="1"/>
  <c r="Q402" i="1"/>
  <c r="Q1173" i="1"/>
  <c r="Q198" i="1"/>
  <c r="Q698" i="1"/>
  <c r="Q588" i="1"/>
  <c r="Q324" i="1"/>
  <c r="Q812" i="1"/>
  <c r="Q537" i="1"/>
  <c r="Q111" i="1"/>
  <c r="Q470" i="1"/>
  <c r="Q679" i="1"/>
  <c r="Q168" i="1"/>
  <c r="Q159" i="1"/>
  <c r="Q785" i="1"/>
  <c r="Q686" i="1"/>
  <c r="Q747" i="1"/>
  <c r="Q597" i="1"/>
  <c r="Q1153" i="1"/>
  <c r="Q676" i="1"/>
  <c r="Q266" i="1"/>
  <c r="Q671" i="1"/>
  <c r="Q423" i="1"/>
  <c r="Q300" i="1"/>
  <c r="Q713" i="1"/>
  <c r="Q781" i="1"/>
  <c r="Q209" i="1"/>
  <c r="Q1092" i="1"/>
  <c r="Q1055" i="1"/>
  <c r="Q7" i="1"/>
  <c r="Q1198" i="1"/>
  <c r="Q1136" i="1"/>
  <c r="Q674" i="1"/>
  <c r="Q622" i="1"/>
  <c r="Q416" i="1"/>
  <c r="Q960" i="1"/>
  <c r="Q775" i="1"/>
  <c r="Q893" i="1"/>
  <c r="Q312" i="1"/>
  <c r="Q435" i="1"/>
  <c r="Q700" i="1"/>
  <c r="Q114" i="1"/>
  <c r="Q196" i="1"/>
  <c r="Q431" i="1"/>
  <c r="Q884" i="1"/>
  <c r="Q822" i="1"/>
  <c r="Q1043" i="1"/>
  <c r="Q1109" i="1"/>
  <c r="Q1006" i="1"/>
  <c r="Q659" i="1"/>
  <c r="Q759" i="1"/>
  <c r="Q187" i="1"/>
  <c r="Q1003" i="1"/>
  <c r="Q450" i="1"/>
  <c r="Q823" i="1"/>
  <c r="Q795" i="1"/>
  <c r="Q1124" i="1"/>
  <c r="Q687" i="1"/>
  <c r="Q693" i="1"/>
  <c r="Q799" i="1"/>
  <c r="Q535" i="1"/>
  <c r="Q67" i="1"/>
  <c r="Q1011" i="1"/>
  <c r="Q555" i="1"/>
  <c r="Q735" i="1"/>
  <c r="Q983" i="1"/>
  <c r="Q1192" i="1"/>
  <c r="Q1007" i="1"/>
  <c r="Q1056" i="1"/>
  <c r="Q288" i="1"/>
  <c r="Q728" i="1"/>
  <c r="Q60" i="1"/>
  <c r="Q1072" i="1"/>
  <c r="Q961" i="1"/>
  <c r="Q599" i="1"/>
  <c r="Q62" i="1"/>
  <c r="Q666" i="1"/>
  <c r="Q880" i="1"/>
  <c r="Q950" i="1"/>
  <c r="Q513" i="1"/>
  <c r="Q121" i="1"/>
  <c r="Q41" i="1"/>
  <c r="Q1154" i="1"/>
  <c r="Q453" i="1"/>
  <c r="Q523" i="1"/>
  <c r="Q529" i="1"/>
  <c r="Q270" i="1"/>
  <c r="Q1100" i="1"/>
  <c r="Q125" i="1"/>
  <c r="Q275" i="1"/>
  <c r="Q376" i="1"/>
  <c r="Q504" i="1"/>
  <c r="Q951" i="1"/>
  <c r="Q325" i="1"/>
  <c r="Q662" i="1"/>
  <c r="Q357" i="1"/>
  <c r="Q736" i="1"/>
  <c r="Q432" i="1"/>
  <c r="Q694" i="1"/>
  <c r="Q773" i="1"/>
  <c r="Q1031" i="1"/>
  <c r="Q55" i="1"/>
  <c r="Q886" i="1"/>
  <c r="Q36" i="1"/>
  <c r="Q632" i="1"/>
  <c r="Q21" i="1"/>
  <c r="Q181" i="1"/>
  <c r="Q633" i="1"/>
  <c r="Q481" i="1"/>
  <c r="Q906" i="1"/>
  <c r="Q826" i="1"/>
  <c r="Q589" i="1"/>
  <c r="Q326" i="1"/>
  <c r="Q1179" i="1"/>
  <c r="Q1144" i="1"/>
  <c r="Q1125" i="1"/>
  <c r="Q550" i="1"/>
  <c r="Q1159" i="1"/>
  <c r="Q829" i="1"/>
  <c r="Q688" i="1"/>
  <c r="Q714" i="1"/>
  <c r="Q1165" i="1"/>
  <c r="Q372" i="1"/>
  <c r="Q190" i="1"/>
  <c r="Q613" i="1"/>
  <c r="Q44" i="1"/>
  <c r="Q739" i="1"/>
  <c r="Q208" i="1"/>
  <c r="Q396" i="1"/>
  <c r="Q458" i="1"/>
  <c r="Q827" i="1"/>
  <c r="Q921" i="1"/>
  <c r="Q1034" i="1"/>
  <c r="Q769" i="1"/>
  <c r="Q830" i="1"/>
  <c r="Q1160" i="1"/>
  <c r="Q1001" i="1"/>
  <c r="Q116" i="1"/>
  <c r="Q446" i="1"/>
  <c r="Q667" i="1"/>
  <c r="Q811" i="1"/>
  <c r="Q614" i="1"/>
  <c r="Q744" i="1"/>
  <c r="Q444" i="1"/>
  <c r="Q660" i="1"/>
  <c r="Q460" i="1"/>
  <c r="Q192" i="1"/>
  <c r="Q501" i="1"/>
  <c r="Q241" i="1"/>
  <c r="Q476" i="1"/>
  <c r="Q1180" i="1"/>
  <c r="Q20" i="1"/>
  <c r="Q1166" i="1"/>
  <c r="Q88" i="1"/>
  <c r="Q689" i="1"/>
  <c r="Q600" i="1"/>
  <c r="Q22" i="1"/>
  <c r="Q350" i="1"/>
  <c r="Q128" i="1"/>
  <c r="Q931" i="1"/>
  <c r="Q932" i="1"/>
  <c r="Q1112" i="1"/>
  <c r="Q547" i="1"/>
  <c r="Q540" i="1"/>
  <c r="Q510" i="1"/>
  <c r="Q808" i="1"/>
  <c r="Q264" i="1"/>
  <c r="Q615" i="1"/>
  <c r="Q650" i="1"/>
  <c r="Q411" i="1"/>
  <c r="Q1025" i="1"/>
  <c r="Q854" i="1"/>
  <c r="Q542" i="1"/>
  <c r="Q1141" i="1"/>
  <c r="Q162" i="1"/>
  <c r="Q681" i="1"/>
  <c r="Q72" i="1"/>
  <c r="Q1035" i="1"/>
  <c r="Q381" i="1"/>
  <c r="Q85" i="1"/>
  <c r="Q147" i="1"/>
  <c r="Q965" i="1"/>
  <c r="Q727" i="1"/>
  <c r="Q436" i="1"/>
  <c r="Q695" i="1"/>
  <c r="Q487" i="1"/>
  <c r="Q1062" i="1"/>
  <c r="Q1199" i="1"/>
  <c r="Q442" i="1"/>
  <c r="Q61" i="1"/>
  <c r="Q941" i="1"/>
  <c r="Q978" i="1"/>
  <c r="Q1186" i="1"/>
  <c r="Q849" i="1"/>
  <c r="Q871" i="1"/>
  <c r="Q243" i="1"/>
  <c r="Q836" i="1"/>
  <c r="Q765" i="1"/>
  <c r="Q327" i="1"/>
  <c r="Q1044" i="1"/>
  <c r="Q362" i="1"/>
  <c r="Q842" i="1"/>
  <c r="Q462" i="1"/>
  <c r="Q412" i="1"/>
  <c r="Q725" i="1"/>
  <c r="Q855" i="1"/>
  <c r="Q360" i="1"/>
  <c r="Q852" i="1"/>
  <c r="Q665" i="1"/>
  <c r="Q996" i="1"/>
  <c r="Q334" i="1"/>
  <c r="Q732" i="1"/>
  <c r="Q1013" i="1"/>
  <c r="Q420" i="1"/>
  <c r="Q495" i="1"/>
  <c r="Q218" i="1"/>
  <c r="Q793" i="1"/>
  <c r="Q78" i="1"/>
  <c r="Q828" i="1"/>
  <c r="Q1193" i="1"/>
  <c r="Q81" i="1"/>
  <c r="Q876" i="1"/>
  <c r="Q669" i="1"/>
  <c r="Q819" i="1"/>
  <c r="Q174" i="1"/>
  <c r="Q1048" i="1"/>
  <c r="Q109" i="1"/>
  <c r="Q733" i="1"/>
  <c r="Q30" i="1"/>
  <c r="Q151" i="1"/>
  <c r="Q388" i="1"/>
  <c r="Q757" i="1"/>
  <c r="Q16" i="1"/>
  <c r="Q195" i="1"/>
  <c r="Q499" i="1"/>
  <c r="Q1074" i="1"/>
  <c r="Q465" i="1"/>
  <c r="Q1063" i="1"/>
  <c r="Q79" i="1"/>
  <c r="Q873" i="1"/>
  <c r="Q329" i="1"/>
  <c r="Q225" i="1"/>
  <c r="Q249" i="1"/>
  <c r="Q653" i="1"/>
  <c r="Q1121" i="1"/>
  <c r="Q967" i="1"/>
  <c r="Q238" i="1"/>
  <c r="Q846" i="1"/>
  <c r="Q318" i="1"/>
  <c r="Q1162" i="1"/>
  <c r="Q699" i="1"/>
  <c r="Q154" i="1"/>
  <c r="Q782" i="1"/>
  <c r="Q518" i="1"/>
  <c r="Q102" i="1"/>
  <c r="Q1201" i="1"/>
  <c r="Q113" i="1"/>
  <c r="Q623" i="1"/>
  <c r="Q568" i="1"/>
  <c r="Q172" i="1"/>
  <c r="Q395" i="1"/>
  <c r="Q112" i="1"/>
  <c r="Q107" i="1"/>
  <c r="Q1182" i="1"/>
  <c r="Q397" i="1"/>
  <c r="Q680" i="1"/>
  <c r="Q685" i="1"/>
  <c r="Q922" i="1"/>
  <c r="Q1132" i="1"/>
  <c r="Q205" i="1"/>
  <c r="Q222" i="1"/>
  <c r="Q142" i="1"/>
  <c r="Q177" i="1"/>
  <c r="Q403" i="1"/>
  <c r="Q774" i="1"/>
  <c r="Q1064" i="1"/>
  <c r="Q319" i="1"/>
  <c r="Q228" i="1"/>
  <c r="Q1017" i="1"/>
  <c r="Q766" i="1"/>
  <c r="Q930" i="1"/>
  <c r="Q626" i="1"/>
  <c r="Q710" i="1"/>
  <c r="Q507" i="1"/>
  <c r="Q370" i="1"/>
  <c r="Q790" i="1"/>
  <c r="Q492" i="1"/>
  <c r="Q1036" i="1"/>
  <c r="Q738" i="1"/>
  <c r="Q1018" i="1"/>
  <c r="Q806" i="1"/>
  <c r="Q130" i="1"/>
  <c r="Q68" i="1"/>
  <c r="Q1134" i="1"/>
  <c r="Q865" i="1"/>
  <c r="Q973" i="1"/>
  <c r="Q740" i="1"/>
  <c r="Q783" i="1"/>
  <c r="Q75" i="1"/>
  <c r="Q46" i="1"/>
  <c r="Q433" i="1"/>
  <c r="Q952" i="1"/>
  <c r="Q1171" i="1"/>
  <c r="Q314" i="1"/>
  <c r="Q281" i="1"/>
  <c r="Q692" i="1"/>
  <c r="Q148" i="1"/>
  <c r="Q564" i="1"/>
  <c r="Q825" i="1"/>
  <c r="Q404" i="1"/>
  <c r="Q1052" i="1"/>
  <c r="Q717" i="1"/>
  <c r="Q519" i="1"/>
  <c r="Q273" i="1"/>
  <c r="Q297" i="1"/>
  <c r="Q405" i="1"/>
  <c r="Q136" i="1"/>
  <c r="Q964" i="1"/>
  <c r="Q301" i="1"/>
  <c r="Q342" i="1"/>
  <c r="Q1002" i="1"/>
  <c r="Q867" i="1"/>
  <c r="Q461" i="1"/>
  <c r="Q837" i="1"/>
  <c r="Q315" i="1"/>
  <c r="Q155" i="1"/>
  <c r="Q833" i="1"/>
  <c r="Q17" i="1"/>
  <c r="Q424" i="1"/>
  <c r="Q294" i="1"/>
  <c r="Q1175" i="1"/>
  <c r="Q132" i="1"/>
  <c r="Q373" i="1"/>
  <c r="Q756" i="1"/>
  <c r="Q445" i="1"/>
  <c r="Q593" i="1"/>
  <c r="Q390" i="1"/>
  <c r="Q800" i="1"/>
  <c r="Q1163" i="1"/>
  <c r="Q1012" i="1"/>
  <c r="Q574" i="1"/>
  <c r="Q1177" i="1"/>
  <c r="Q447" i="1"/>
  <c r="Q734" i="1"/>
  <c r="Q580" i="1"/>
  <c r="Q271" i="1"/>
  <c r="Q804" i="1"/>
  <c r="Q229" i="1"/>
  <c r="P8" i="1"/>
  <c r="P805" i="1"/>
  <c r="P571" i="1"/>
  <c r="P398" i="1"/>
  <c r="P1128" i="1"/>
  <c r="P410" i="1"/>
  <c r="P1178" i="1"/>
  <c r="P180" i="1"/>
  <c r="P1085" i="1"/>
  <c r="P448" i="1"/>
  <c r="P508" i="1"/>
  <c r="P556" i="1"/>
  <c r="P878" i="1"/>
  <c r="P346" i="1"/>
  <c r="P122" i="1"/>
  <c r="P274" i="1"/>
  <c r="P37" i="1"/>
  <c r="P578" i="1"/>
  <c r="P1075" i="1"/>
  <c r="P34" i="1"/>
  <c r="P173" i="1"/>
  <c r="P910" i="1"/>
  <c r="P45" i="1"/>
  <c r="P1093" i="1"/>
  <c r="P894" i="1"/>
  <c r="P776" i="1"/>
  <c r="P582" i="1"/>
  <c r="P561" i="1"/>
  <c r="P449" i="1"/>
  <c r="P847" i="1"/>
  <c r="P1070" i="1"/>
  <c r="P252" i="1"/>
  <c r="P160" i="1"/>
  <c r="P216" i="1"/>
  <c r="P13" i="1"/>
  <c r="P937" i="1"/>
  <c r="P1129" i="1"/>
  <c r="P877" i="1"/>
  <c r="P955" i="1"/>
  <c r="P1030" i="1"/>
  <c r="P320" i="1"/>
  <c r="P473" i="1"/>
  <c r="P663" i="1"/>
  <c r="P488" i="1"/>
  <c r="P1107" i="1"/>
  <c r="P552" i="1"/>
  <c r="P741" i="1"/>
  <c r="P279" i="1"/>
  <c r="P337" i="1"/>
  <c r="P389" i="1"/>
  <c r="P296" i="1"/>
  <c r="P970" i="1"/>
  <c r="P831" i="1"/>
  <c r="P677" i="1"/>
  <c r="P1077" i="1"/>
  <c r="P1189" i="1"/>
  <c r="P194" i="1"/>
  <c r="P31" i="1"/>
  <c r="P26" i="1"/>
  <c r="P838" i="1"/>
  <c r="P802" i="1"/>
  <c r="P603" i="1"/>
  <c r="P330" i="1"/>
  <c r="P998" i="1"/>
  <c r="P1194" i="1"/>
  <c r="P511" i="1"/>
  <c r="P908" i="1"/>
  <c r="P940" i="1"/>
  <c r="P479" i="1"/>
  <c r="P178" i="1"/>
  <c r="P199" i="1"/>
  <c r="P1167" i="1"/>
  <c r="P962" i="1"/>
  <c r="P165" i="1"/>
  <c r="P244" i="1"/>
  <c r="P371" i="1"/>
  <c r="P610" i="1"/>
  <c r="P682" i="1"/>
  <c r="P796" i="1"/>
  <c r="P1051" i="1"/>
  <c r="P246" i="1"/>
  <c r="P223" i="1"/>
  <c r="P515" i="1"/>
  <c r="P331" i="1"/>
  <c r="P341" i="1"/>
  <c r="P834" i="1"/>
  <c r="P729" i="1"/>
  <c r="P874" i="1"/>
  <c r="P1157" i="1"/>
  <c r="P1026" i="1"/>
  <c r="P365" i="1"/>
  <c r="P106" i="1"/>
  <c r="P715" i="1"/>
  <c r="P23" i="1"/>
  <c r="P58" i="1"/>
  <c r="P117" i="1"/>
  <c r="P696" i="1"/>
  <c r="P984" i="1"/>
  <c r="P24" i="1"/>
  <c r="P1096" i="1"/>
  <c r="P69" i="1"/>
  <c r="P454" i="1"/>
  <c r="P92" i="1"/>
  <c r="P990" i="1"/>
  <c r="P791" i="1"/>
  <c r="P887" i="1"/>
  <c r="P358" i="1"/>
  <c r="P123" i="1"/>
  <c r="P969" i="1"/>
  <c r="P364" i="1"/>
  <c r="P648" i="1"/>
  <c r="P1126" i="1"/>
  <c r="P2" i="1"/>
  <c r="P530" i="1"/>
  <c r="P993" i="1"/>
  <c r="P459" i="1"/>
  <c r="P110" i="1"/>
  <c r="P93" i="1"/>
  <c r="P393" i="1"/>
  <c r="P1169" i="1"/>
  <c r="P140" i="1"/>
  <c r="P463" i="1"/>
  <c r="P634" i="1"/>
  <c r="P260" i="1"/>
  <c r="P787" i="1"/>
  <c r="P899" i="1"/>
  <c r="P1118" i="1"/>
  <c r="P308" i="1"/>
  <c r="P70" i="1"/>
  <c r="P417" i="1"/>
  <c r="P986" i="1"/>
  <c r="P15" i="1"/>
  <c r="P126" i="1"/>
  <c r="P1181" i="1"/>
  <c r="P1187" i="1"/>
  <c r="P302" i="1"/>
  <c r="P658" i="1"/>
  <c r="P924" i="1"/>
  <c r="P496" i="1"/>
  <c r="P138" i="1"/>
  <c r="P1150" i="1"/>
  <c r="P443" i="1"/>
  <c r="P356" i="1"/>
  <c r="P720" i="1"/>
  <c r="P303" i="1"/>
  <c r="P579" i="1"/>
  <c r="P1115" i="1"/>
  <c r="P1123" i="1"/>
  <c r="P948" i="1"/>
  <c r="P503" i="1"/>
  <c r="P484" i="1"/>
  <c r="P466" i="1"/>
  <c r="P972" i="1"/>
  <c r="P953" i="1"/>
  <c r="P282" i="1"/>
  <c r="P82" i="1"/>
  <c r="P901" i="1"/>
  <c r="P1022" i="1"/>
  <c r="P675" i="1"/>
  <c r="P421" i="1"/>
  <c r="P71" i="1"/>
  <c r="P609" i="1"/>
  <c r="P292" i="1"/>
  <c r="P1190" i="1"/>
  <c r="P505" i="1"/>
  <c r="P840" i="1"/>
  <c r="P1040" i="1"/>
  <c r="P202" i="1"/>
  <c r="P976" i="1"/>
  <c r="P616" i="1"/>
  <c r="P1087" i="1"/>
  <c r="P316" i="1"/>
  <c r="P1088" i="1"/>
  <c r="P604" i="1"/>
  <c r="P638" i="1"/>
  <c r="P1008" i="1"/>
  <c r="P1196" i="1"/>
  <c r="P304" i="1"/>
  <c r="P629" i="1"/>
  <c r="P917" i="1"/>
  <c r="P108" i="1"/>
  <c r="P815" i="1"/>
  <c r="P1067" i="1"/>
  <c r="P642" i="1"/>
  <c r="P612" i="1"/>
  <c r="P999" i="1"/>
  <c r="P474" i="1"/>
  <c r="P56" i="1"/>
  <c r="P1059" i="1"/>
  <c r="P257" i="1"/>
  <c r="P816" i="1"/>
  <c r="P1049" i="1"/>
  <c r="P310" i="1"/>
  <c r="P284" i="1"/>
  <c r="P706" i="1"/>
  <c r="P649" i="1"/>
  <c r="P989" i="1"/>
  <c r="P339" i="1"/>
  <c r="P716" i="1"/>
  <c r="P987" i="1"/>
  <c r="P1161" i="1"/>
  <c r="P239" i="1"/>
  <c r="P1004" i="1"/>
  <c r="P985" i="1"/>
  <c r="P354" i="1"/>
  <c r="P89" i="1"/>
  <c r="P639" i="1"/>
  <c r="P1066" i="1"/>
  <c r="P872" i="1"/>
  <c r="P343" i="1"/>
  <c r="P934" i="1"/>
  <c r="P974" i="1"/>
  <c r="P240" i="1"/>
  <c r="P146" i="1"/>
  <c r="P803" i="1"/>
  <c r="P309" i="1"/>
  <c r="P1098" i="1"/>
  <c r="P678" i="1"/>
  <c r="P156" i="1"/>
  <c r="P1116" i="1"/>
  <c r="P276" i="1"/>
  <c r="P563" i="1"/>
  <c r="P169" i="1"/>
  <c r="P839" i="1"/>
  <c r="P368" i="1"/>
  <c r="P591" i="1"/>
  <c r="P1195" i="1"/>
  <c r="P425" i="1"/>
  <c r="P185" i="1"/>
  <c r="P1078" i="1"/>
  <c r="P489" i="1"/>
  <c r="P428" i="1"/>
  <c r="P191" i="1"/>
  <c r="P807" i="1"/>
  <c r="P925" i="1"/>
  <c r="P74" i="1"/>
  <c r="P3" i="1"/>
  <c r="P594" i="1"/>
  <c r="P946" i="1"/>
  <c r="P943" i="1"/>
  <c r="P268" i="1"/>
  <c r="P183" i="1"/>
  <c r="P175" i="1"/>
  <c r="P1130" i="1"/>
  <c r="P64" i="1"/>
  <c r="P1106" i="1"/>
  <c r="P813" i="1"/>
  <c r="P283" i="1"/>
  <c r="P255" i="1"/>
  <c r="P548" i="1"/>
  <c r="P131" i="1"/>
  <c r="P1138" i="1"/>
  <c r="P848" i="1"/>
  <c r="P601" i="1"/>
  <c r="P502" i="1"/>
  <c r="P672" i="1"/>
  <c r="P1200" i="1"/>
  <c r="P651" i="1"/>
  <c r="P569" i="1"/>
  <c r="P226" i="1"/>
  <c r="P186" i="1"/>
  <c r="P1148" i="1"/>
  <c r="P18" i="1"/>
  <c r="P118" i="1"/>
  <c r="P792" i="1"/>
  <c r="P497" i="1"/>
  <c r="P707" i="1"/>
  <c r="P1101" i="1"/>
  <c r="P311" i="1"/>
  <c r="P455" i="1"/>
  <c r="P214" i="1"/>
  <c r="P127" i="1"/>
  <c r="P366" i="1"/>
  <c r="P892" i="1"/>
  <c r="P52" i="1"/>
  <c r="P427" i="1"/>
  <c r="P1081" i="1"/>
  <c r="P835" i="1"/>
  <c r="P911" i="1"/>
  <c r="P407" i="1"/>
  <c r="P124" i="1"/>
  <c r="P293" i="1"/>
  <c r="P1108" i="1"/>
  <c r="P1032" i="1"/>
  <c r="P65" i="1"/>
  <c r="P1168" i="1"/>
  <c r="P1090" i="1"/>
  <c r="P451" i="1"/>
  <c r="P100" i="1"/>
  <c r="P291" i="1"/>
  <c r="P170" i="1"/>
  <c r="P670" i="1"/>
  <c r="P979" i="1"/>
  <c r="P66" i="1"/>
  <c r="P1084" i="1"/>
  <c r="P39" i="1"/>
  <c r="P730" i="1"/>
  <c r="P77" i="1"/>
  <c r="P493" i="1"/>
  <c r="P533" i="1"/>
  <c r="P820" i="1"/>
  <c r="P179" i="1"/>
  <c r="P184" i="1"/>
  <c r="P938" i="1"/>
  <c r="P882" i="1"/>
  <c r="P456" i="1"/>
  <c r="P704" i="1"/>
  <c r="P254" i="1"/>
  <c r="P480" i="1"/>
  <c r="P382" i="1"/>
  <c r="P565" i="1"/>
  <c r="P1140" i="1"/>
  <c r="P1145" i="1"/>
  <c r="P265" i="1"/>
  <c r="P383" i="1"/>
  <c r="P1133" i="1"/>
  <c r="P378" i="1"/>
  <c r="P139" i="1"/>
  <c r="P786" i="1"/>
  <c r="P469" i="1"/>
  <c r="P956" i="1"/>
  <c r="P307" i="1"/>
  <c r="P724" i="1"/>
  <c r="P991" i="1"/>
  <c r="P721" i="1"/>
  <c r="P250" i="1"/>
  <c r="P749" i="1"/>
  <c r="P289" i="1"/>
  <c r="P84" i="1"/>
  <c r="P966" i="1"/>
  <c r="P697" i="1"/>
  <c r="P143" i="1"/>
  <c r="P752" i="1"/>
  <c r="P640" i="1"/>
  <c r="P605" i="1"/>
  <c r="P1039" i="1"/>
  <c r="P509" i="1"/>
  <c r="P206" i="1"/>
  <c r="P430" i="1"/>
  <c r="P627" i="1"/>
  <c r="P152" i="1"/>
  <c r="P853" i="1"/>
  <c r="P1191" i="1"/>
  <c r="P80" i="1"/>
  <c r="P1045" i="1"/>
  <c r="P475" i="1"/>
  <c r="P936" i="1"/>
  <c r="P545" i="1"/>
  <c r="P592" i="1"/>
  <c r="P464" i="1"/>
  <c r="P212" i="1"/>
  <c r="P1016" i="1"/>
  <c r="P347" i="1"/>
  <c r="P1079" i="1"/>
  <c r="P267" i="1"/>
  <c r="P1155" i="1"/>
  <c r="P171" i="1"/>
  <c r="P263" i="1"/>
  <c r="P617" i="1"/>
  <c r="P224" i="1"/>
  <c r="P702" i="1"/>
  <c r="P746" i="1"/>
  <c r="P247" i="1"/>
  <c r="P683" i="1"/>
  <c r="P452" i="1"/>
  <c r="P1014" i="1"/>
  <c r="P57" i="1"/>
  <c r="P655" i="1"/>
  <c r="P161" i="1"/>
  <c r="P963" i="1"/>
  <c r="P1119" i="1"/>
  <c r="P10" i="1"/>
  <c r="P1015" i="1"/>
  <c r="P5" i="1"/>
  <c r="P843" i="1"/>
  <c r="P980" i="1"/>
  <c r="P335" i="1"/>
  <c r="P770" i="1"/>
  <c r="P544" i="1"/>
  <c r="P850" i="1"/>
  <c r="P646" i="1"/>
  <c r="P219" i="1"/>
  <c r="P997" i="1"/>
  <c r="P28" i="1"/>
  <c r="P918" i="1"/>
  <c r="P422" i="1"/>
  <c r="P157" i="1"/>
  <c r="P742" i="1"/>
  <c r="P506" i="1"/>
  <c r="P490" i="1"/>
  <c r="P272" i="1"/>
  <c r="P981" i="1"/>
  <c r="P573" i="1"/>
  <c r="P760" i="1"/>
  <c r="P258" i="1"/>
  <c r="P1111" i="1"/>
  <c r="P467" i="1"/>
  <c r="P374" i="1"/>
  <c r="P824" i="1"/>
  <c r="P517" i="1"/>
  <c r="P858" i="1"/>
  <c r="P1094" i="1"/>
  <c r="P137" i="1"/>
  <c r="P902" i="1"/>
  <c r="P94" i="1"/>
  <c r="P992" i="1"/>
  <c r="P478" i="1"/>
  <c r="P313" i="1"/>
  <c r="P971" i="1"/>
  <c r="P248" i="1"/>
  <c r="P531" i="1"/>
  <c r="P731" i="1"/>
  <c r="P1095" i="1"/>
  <c r="P391" i="1"/>
  <c r="P1122" i="1"/>
  <c r="P1089" i="1"/>
  <c r="P277" i="1"/>
  <c r="P413" i="1"/>
  <c r="P19" i="1"/>
  <c r="P641" i="1"/>
  <c r="P928" i="1"/>
  <c r="P399" i="1"/>
  <c r="P217" i="1"/>
  <c r="P767" i="1"/>
  <c r="P141" i="1"/>
  <c r="P95" i="1"/>
  <c r="P1065" i="1"/>
  <c r="P954" i="1"/>
  <c r="P926" i="1"/>
  <c r="P957" i="1"/>
  <c r="P220" i="1"/>
  <c r="P868" i="1"/>
  <c r="P351" i="1"/>
  <c r="P338" i="1"/>
  <c r="P408" i="1"/>
  <c r="P203" i="1"/>
  <c r="P59" i="1"/>
  <c r="P643" i="1"/>
  <c r="P975" i="1"/>
  <c r="P832" i="1"/>
  <c r="P898" i="1"/>
  <c r="P485" i="1"/>
  <c r="P664" i="1"/>
  <c r="P673" i="1"/>
  <c r="P708" i="1"/>
  <c r="P602" i="1"/>
  <c r="P406" i="1"/>
  <c r="P618" i="1"/>
  <c r="P352" i="1"/>
  <c r="P809" i="1"/>
  <c r="P526" i="1"/>
  <c r="P129" i="1"/>
  <c r="P285" i="1"/>
  <c r="P1117" i="1"/>
  <c r="P927" i="1"/>
  <c r="P606" i="1"/>
  <c r="P245" i="1"/>
  <c r="P1146" i="1"/>
  <c r="P750" i="1"/>
  <c r="P777" i="1"/>
  <c r="P869" i="1"/>
  <c r="P709" i="1"/>
  <c r="P1083" i="1"/>
  <c r="P200" i="1"/>
  <c r="P103" i="1"/>
  <c r="P570" i="1"/>
  <c r="P278" i="1"/>
  <c r="P814" i="1"/>
  <c r="P1183" i="1"/>
  <c r="P457" i="1"/>
  <c r="P375" i="1"/>
  <c r="P1104" i="1"/>
  <c r="P12" i="1"/>
  <c r="P1027" i="1"/>
  <c r="P440" i="1"/>
  <c r="P1105" i="1"/>
  <c r="P527" i="1"/>
  <c r="P1042" i="1"/>
  <c r="P895" i="1"/>
  <c r="P73" i="1"/>
  <c r="P235" i="1"/>
  <c r="P153" i="1"/>
  <c r="P1037" i="1"/>
  <c r="P27" i="1"/>
  <c r="P690" i="1"/>
  <c r="P298" i="1"/>
  <c r="P51" i="1"/>
  <c r="P96" i="1"/>
  <c r="P935" i="1"/>
  <c r="P355" i="1"/>
  <c r="P771" i="1"/>
  <c r="P11" i="1"/>
  <c r="P414" i="1"/>
  <c r="P995" i="1"/>
  <c r="P280" i="1"/>
  <c r="P1158" i="1"/>
  <c r="P1057" i="1"/>
  <c r="P888" i="1"/>
  <c r="P269" i="1"/>
  <c r="P133" i="1"/>
  <c r="P619" i="1"/>
  <c r="P546" i="1"/>
  <c r="P193" i="1"/>
  <c r="P348" i="1"/>
  <c r="P1170" i="1"/>
  <c r="P227" i="1"/>
  <c r="P290" i="1"/>
  <c r="P259" i="1"/>
  <c r="P1137" i="1"/>
  <c r="P63" i="1"/>
  <c r="P949" i="1"/>
  <c r="P595" i="1"/>
  <c r="P857" i="1"/>
  <c r="P1009" i="1"/>
  <c r="P144" i="1"/>
  <c r="P104" i="1"/>
  <c r="P620" i="1"/>
  <c r="P624" i="1"/>
  <c r="P1172" i="1"/>
  <c r="P1131" i="1"/>
  <c r="P98" i="1"/>
  <c r="P566" i="1"/>
  <c r="P647" i="1"/>
  <c r="P1019" i="1"/>
  <c r="P415" i="1"/>
  <c r="P471" i="1"/>
  <c r="P575" i="1"/>
  <c r="P801" i="1"/>
  <c r="P1029" i="1"/>
  <c r="P621" i="1"/>
  <c r="P764" i="1"/>
  <c r="P751" i="1"/>
  <c r="P1120" i="1"/>
  <c r="P91" i="1"/>
  <c r="P703" i="1"/>
  <c r="P778" i="1"/>
  <c r="P711" i="1"/>
  <c r="P1073" i="1"/>
  <c r="P684" i="1"/>
  <c r="P1020" i="1"/>
  <c r="P541" i="1"/>
  <c r="P306" i="1"/>
  <c r="P438" i="1"/>
  <c r="P585" i="1"/>
  <c r="P586" i="1"/>
  <c r="P494" i="1"/>
  <c r="P576" i="1"/>
  <c r="P321" i="1"/>
  <c r="P516" i="1"/>
  <c r="P1028" i="1"/>
  <c r="P419" i="1"/>
  <c r="P188" i="1"/>
  <c r="P377" i="1"/>
  <c r="P332" i="1"/>
  <c r="P1149" i="1"/>
  <c r="P14" i="1"/>
  <c r="P42" i="1"/>
  <c r="P251" i="1"/>
  <c r="P762" i="1"/>
  <c r="P635" i="1"/>
  <c r="P47" i="1"/>
  <c r="P48" i="1"/>
  <c r="P386" i="1"/>
  <c r="P482" i="1"/>
  <c r="P1091" i="1"/>
  <c r="P182" i="1"/>
  <c r="P644" i="1"/>
  <c r="P862" i="1"/>
  <c r="P99" i="1"/>
  <c r="P1071" i="1"/>
  <c r="P968" i="1"/>
  <c r="P915" i="1"/>
  <c r="P434" i="1"/>
  <c r="P40" i="1"/>
  <c r="P538" i="1"/>
  <c r="P221" i="1"/>
  <c r="P691" i="1"/>
  <c r="P32" i="1"/>
  <c r="P875" i="1"/>
  <c r="P215" i="1"/>
  <c r="P439" i="1"/>
  <c r="P905" i="1"/>
  <c r="P558" i="1"/>
  <c r="P1176" i="1"/>
  <c r="P1068" i="1"/>
  <c r="P322" i="1"/>
  <c r="P903" i="1"/>
  <c r="P230" i="1"/>
  <c r="P942" i="1"/>
  <c r="P1010" i="1"/>
  <c r="P361" i="1"/>
  <c r="P912" i="1"/>
  <c r="P652" i="1"/>
  <c r="P299" i="1"/>
  <c r="P559" i="1"/>
  <c r="P977" i="1"/>
  <c r="P231" i="1"/>
  <c r="P923" i="1"/>
  <c r="P657" i="1"/>
  <c r="P253" i="1"/>
  <c r="P201" i="1"/>
  <c r="P379" i="1"/>
  <c r="P581" i="1"/>
  <c r="P866" i="1"/>
  <c r="P1185" i="1"/>
  <c r="P668" i="1"/>
  <c r="P900" i="1"/>
  <c r="P1151" i="1"/>
  <c r="P779" i="1"/>
  <c r="P994" i="1"/>
  <c r="P726" i="1"/>
  <c r="P149" i="1"/>
  <c r="P210" i="1"/>
  <c r="P958" i="1"/>
  <c r="P584" i="1"/>
  <c r="P1046" i="1"/>
  <c r="P881" i="1"/>
  <c r="P549" i="1"/>
  <c r="P821" i="1"/>
  <c r="P763" i="1"/>
  <c r="P608" i="1"/>
  <c r="P409" i="1"/>
  <c r="P897" i="1"/>
  <c r="P236" i="1"/>
  <c r="P528" i="1"/>
  <c r="P369" i="1"/>
  <c r="P577" i="1"/>
  <c r="P305" i="1"/>
  <c r="P119" i="1"/>
  <c r="P262" i="1"/>
  <c r="P242" i="1"/>
  <c r="P817" i="1"/>
  <c r="P163" i="1"/>
  <c r="P628" i="1"/>
  <c r="P656" i="1"/>
  <c r="P486" i="1"/>
  <c r="P384" i="1"/>
  <c r="P860" i="1"/>
  <c r="P400" i="1"/>
  <c r="P29" i="1"/>
  <c r="P572" i="1"/>
  <c r="P748" i="1"/>
  <c r="P661" i="1"/>
  <c r="P810" i="1"/>
  <c r="P441" i="1"/>
  <c r="P6" i="1"/>
  <c r="P418" i="1"/>
  <c r="P1110" i="1"/>
  <c r="P982" i="1"/>
  <c r="P498" i="1"/>
  <c r="P189" i="1"/>
  <c r="P907" i="1"/>
  <c r="P701" i="1"/>
  <c r="P567" i="1"/>
  <c r="P232" i="1"/>
  <c r="P105" i="1"/>
  <c r="P532" i="1"/>
  <c r="P500" i="1"/>
  <c r="P1102" i="1"/>
  <c r="P891" i="1"/>
  <c r="P885" i="1"/>
  <c r="P1033" i="1"/>
  <c r="P43" i="1"/>
  <c r="P636" i="1"/>
  <c r="P959" i="1"/>
  <c r="P164" i="1"/>
  <c r="P818" i="1"/>
  <c r="P166" i="1"/>
  <c r="P755" i="1"/>
  <c r="P53" i="1"/>
  <c r="P645" i="1"/>
  <c r="P234" i="1"/>
  <c r="P176" i="1"/>
  <c r="P76" i="1"/>
  <c r="P520" i="1"/>
  <c r="P797" i="1"/>
  <c r="P1188" i="1"/>
  <c r="P1086" i="1"/>
  <c r="P919" i="1"/>
  <c r="P49" i="1"/>
  <c r="P340" i="1"/>
  <c r="P543" i="1"/>
  <c r="P286" i="1"/>
  <c r="P1142" i="1"/>
  <c r="P851" i="1"/>
  <c r="P1005" i="1"/>
  <c r="P394" i="1"/>
  <c r="P363" i="1"/>
  <c r="P583" i="1"/>
  <c r="P344" i="1"/>
  <c r="P758" i="1"/>
  <c r="P920" i="1"/>
  <c r="P35" i="1"/>
  <c r="P1053" i="1"/>
  <c r="P380" i="1"/>
  <c r="P916" i="1"/>
  <c r="P256" i="1"/>
  <c r="P1000" i="1"/>
  <c r="P9" i="1"/>
  <c r="P437" i="1"/>
  <c r="P856" i="1"/>
  <c r="P737" i="1"/>
  <c r="P712" i="1"/>
  <c r="P115" i="1"/>
  <c r="P213" i="1"/>
  <c r="P1082" i="1"/>
  <c r="P1038" i="1"/>
  <c r="P896" i="1"/>
  <c r="P1041" i="1"/>
  <c r="P939" i="1"/>
  <c r="P772" i="1"/>
  <c r="P753" i="1"/>
  <c r="P521" i="1"/>
  <c r="P1184" i="1"/>
  <c r="P150" i="1"/>
  <c r="P784" i="1"/>
  <c r="P722" i="1"/>
  <c r="P401" i="1"/>
  <c r="P135" i="1"/>
  <c r="P534" i="1"/>
  <c r="P367" i="1"/>
  <c r="P598" i="1"/>
  <c r="P909" i="1"/>
  <c r="P477" i="1"/>
  <c r="P883" i="1"/>
  <c r="P101" i="1"/>
  <c r="P890" i="1"/>
  <c r="P861" i="1"/>
  <c r="P789" i="1"/>
  <c r="P359" i="1"/>
  <c r="P1023" i="1"/>
  <c r="P705" i="1"/>
  <c r="P1047" i="1"/>
  <c r="P472" i="1"/>
  <c r="P536" i="1"/>
  <c r="P745" i="1"/>
  <c r="P551" i="1"/>
  <c r="P514" i="1"/>
  <c r="P1156" i="1"/>
  <c r="P723" i="1"/>
  <c r="P768" i="1"/>
  <c r="P988" i="1"/>
  <c r="P929" i="1"/>
  <c r="P863" i="1"/>
  <c r="P718" i="1"/>
  <c r="P86" i="1"/>
  <c r="P1024" i="1"/>
  <c r="P1054" i="1"/>
  <c r="P761" i="1"/>
  <c r="P1097" i="1"/>
  <c r="P25" i="1"/>
  <c r="P38" i="1"/>
  <c r="P864" i="1"/>
  <c r="P654" i="1"/>
  <c r="P1152" i="1"/>
  <c r="P233" i="1"/>
  <c r="P743" i="1"/>
  <c r="P562" i="1"/>
  <c r="P120" i="1"/>
  <c r="P287" i="1"/>
  <c r="P1021" i="1"/>
  <c r="P211" i="1"/>
  <c r="P844" i="1"/>
  <c r="P134" i="1"/>
  <c r="P587" i="1"/>
  <c r="P387" i="1"/>
  <c r="P33" i="1"/>
  <c r="P1103" i="1"/>
  <c r="P353" i="1"/>
  <c r="P261" i="1"/>
  <c r="P553" i="1"/>
  <c r="P719" i="1"/>
  <c r="P788" i="1"/>
  <c r="P1197" i="1"/>
  <c r="P1099" i="1"/>
  <c r="P90" i="1"/>
  <c r="P328" i="1"/>
  <c r="P1069" i="1"/>
  <c r="P158" i="1"/>
  <c r="P468" i="1"/>
  <c r="P611" i="1"/>
  <c r="P522" i="1"/>
  <c r="P798" i="1"/>
  <c r="P1147" i="1"/>
  <c r="P1139" i="1"/>
  <c r="P295" i="1"/>
  <c r="P333" i="1"/>
  <c r="P596" i="1"/>
  <c r="P426" i="1"/>
  <c r="P317" i="1"/>
  <c r="P841" i="1"/>
  <c r="P524" i="1"/>
  <c r="P237" i="1"/>
  <c r="P637" i="1"/>
  <c r="P97" i="1"/>
  <c r="P914" i="1"/>
  <c r="P1114" i="1"/>
  <c r="P83" i="1"/>
  <c r="P1143" i="1"/>
  <c r="P145" i="1"/>
  <c r="P1080" i="1"/>
  <c r="P167" i="1"/>
  <c r="P557" i="1"/>
  <c r="P323" i="1"/>
  <c r="P512" i="1"/>
  <c r="P879" i="1"/>
  <c r="P349" i="1"/>
  <c r="P904" i="1"/>
  <c r="P554" i="1"/>
  <c r="P625" i="1"/>
  <c r="P207" i="1"/>
  <c r="P429" i="1"/>
  <c r="P539" i="1"/>
  <c r="P1060" i="1"/>
  <c r="P944" i="1"/>
  <c r="P794" i="1"/>
  <c r="P560" i="1"/>
  <c r="P385" i="1"/>
  <c r="P87" i="1"/>
  <c r="P859" i="1"/>
  <c r="P204" i="1"/>
  <c r="P947" i="1"/>
  <c r="P1061" i="1"/>
  <c r="P870" i="1"/>
  <c r="P345" i="1"/>
  <c r="P1076" i="1"/>
  <c r="P1050" i="1"/>
  <c r="P197" i="1"/>
  <c r="P780" i="1"/>
  <c r="P54" i="1"/>
  <c r="P945" i="1"/>
  <c r="P491" i="1"/>
  <c r="P590" i="1"/>
  <c r="P1058" i="1"/>
  <c r="P630" i="1"/>
  <c r="P607" i="1"/>
  <c r="P50" i="1"/>
  <c r="P1174" i="1"/>
  <c r="P631" i="1"/>
  <c r="P336" i="1"/>
  <c r="P525" i="1"/>
  <c r="P845" i="1"/>
  <c r="P1127" i="1"/>
  <c r="P1135" i="1"/>
  <c r="P933" i="1"/>
  <c r="P392" i="1"/>
  <c r="P754" i="1"/>
  <c r="P913" i="1"/>
  <c r="P4" i="1"/>
  <c r="P1164" i="1"/>
  <c r="P1113" i="1"/>
  <c r="P483" i="1"/>
  <c r="P889" i="1"/>
  <c r="P402" i="1"/>
  <c r="P1173" i="1"/>
  <c r="P198" i="1"/>
  <c r="P698" i="1"/>
  <c r="P588" i="1"/>
  <c r="P324" i="1"/>
  <c r="P812" i="1"/>
  <c r="P537" i="1"/>
  <c r="P111" i="1"/>
  <c r="P470" i="1"/>
  <c r="P679" i="1"/>
  <c r="P168" i="1"/>
  <c r="P159" i="1"/>
  <c r="P785" i="1"/>
  <c r="P686" i="1"/>
  <c r="P747" i="1"/>
  <c r="P597" i="1"/>
  <c r="P1153" i="1"/>
  <c r="P676" i="1"/>
  <c r="P266" i="1"/>
  <c r="P671" i="1"/>
  <c r="P423" i="1"/>
  <c r="P300" i="1"/>
  <c r="P713" i="1"/>
  <c r="P781" i="1"/>
  <c r="P209" i="1"/>
  <c r="P1092" i="1"/>
  <c r="P1055" i="1"/>
  <c r="P7" i="1"/>
  <c r="P1198" i="1"/>
  <c r="P1136" i="1"/>
  <c r="P674" i="1"/>
  <c r="P622" i="1"/>
  <c r="P416" i="1"/>
  <c r="P960" i="1"/>
  <c r="P775" i="1"/>
  <c r="P893" i="1"/>
  <c r="P312" i="1"/>
  <c r="P435" i="1"/>
  <c r="P700" i="1"/>
  <c r="P114" i="1"/>
  <c r="P196" i="1"/>
  <c r="P431" i="1"/>
  <c r="P884" i="1"/>
  <c r="P822" i="1"/>
  <c r="P1043" i="1"/>
  <c r="P1109" i="1"/>
  <c r="P1006" i="1"/>
  <c r="P659" i="1"/>
  <c r="P759" i="1"/>
  <c r="P187" i="1"/>
  <c r="P1003" i="1"/>
  <c r="P450" i="1"/>
  <c r="P823" i="1"/>
  <c r="P795" i="1"/>
  <c r="P1124" i="1"/>
  <c r="P687" i="1"/>
  <c r="P693" i="1"/>
  <c r="P799" i="1"/>
  <c r="P535" i="1"/>
  <c r="P67" i="1"/>
  <c r="P1011" i="1"/>
  <c r="P555" i="1"/>
  <c r="P735" i="1"/>
  <c r="P983" i="1"/>
  <c r="P1192" i="1"/>
  <c r="P1007" i="1"/>
  <c r="P1056" i="1"/>
  <c r="P288" i="1"/>
  <c r="P728" i="1"/>
  <c r="P60" i="1"/>
  <c r="P1072" i="1"/>
  <c r="P961" i="1"/>
  <c r="P599" i="1"/>
  <c r="P62" i="1"/>
  <c r="P666" i="1"/>
  <c r="P880" i="1"/>
  <c r="P950" i="1"/>
  <c r="P513" i="1"/>
  <c r="P121" i="1"/>
  <c r="P41" i="1"/>
  <c r="P1154" i="1"/>
  <c r="P453" i="1"/>
  <c r="P523" i="1"/>
  <c r="P529" i="1"/>
  <c r="P270" i="1"/>
  <c r="P1100" i="1"/>
  <c r="P125" i="1"/>
  <c r="P275" i="1"/>
  <c r="P376" i="1"/>
  <c r="P504" i="1"/>
  <c r="P951" i="1"/>
  <c r="P325" i="1"/>
  <c r="P662" i="1"/>
  <c r="P357" i="1"/>
  <c r="P736" i="1"/>
  <c r="P432" i="1"/>
  <c r="P694" i="1"/>
  <c r="P773" i="1"/>
  <c r="P1031" i="1"/>
  <c r="P55" i="1"/>
  <c r="P886" i="1"/>
  <c r="P36" i="1"/>
  <c r="P632" i="1"/>
  <c r="P21" i="1"/>
  <c r="P181" i="1"/>
  <c r="P633" i="1"/>
  <c r="P481" i="1"/>
  <c r="P906" i="1"/>
  <c r="P826" i="1"/>
  <c r="P589" i="1"/>
  <c r="P326" i="1"/>
  <c r="P1179" i="1"/>
  <c r="P1144" i="1"/>
  <c r="P1125" i="1"/>
  <c r="P550" i="1"/>
  <c r="P1159" i="1"/>
  <c r="P829" i="1"/>
  <c r="P688" i="1"/>
  <c r="P714" i="1"/>
  <c r="P1165" i="1"/>
  <c r="P372" i="1"/>
  <c r="P190" i="1"/>
  <c r="P613" i="1"/>
  <c r="P44" i="1"/>
  <c r="P739" i="1"/>
  <c r="P208" i="1"/>
  <c r="P396" i="1"/>
  <c r="P458" i="1"/>
  <c r="P827" i="1"/>
  <c r="P921" i="1"/>
  <c r="P1034" i="1"/>
  <c r="P769" i="1"/>
  <c r="P830" i="1"/>
  <c r="P1160" i="1"/>
  <c r="P1001" i="1"/>
  <c r="P116" i="1"/>
  <c r="P446" i="1"/>
  <c r="P667" i="1"/>
  <c r="P811" i="1"/>
  <c r="P614" i="1"/>
  <c r="P744" i="1"/>
  <c r="P444" i="1"/>
  <c r="P660" i="1"/>
  <c r="P460" i="1"/>
  <c r="P192" i="1"/>
  <c r="P501" i="1"/>
  <c r="P241" i="1"/>
  <c r="P476" i="1"/>
  <c r="P1180" i="1"/>
  <c r="P20" i="1"/>
  <c r="P1166" i="1"/>
  <c r="P88" i="1"/>
  <c r="P689" i="1"/>
  <c r="P600" i="1"/>
  <c r="P22" i="1"/>
  <c r="P350" i="1"/>
  <c r="P128" i="1"/>
  <c r="P931" i="1"/>
  <c r="P932" i="1"/>
  <c r="P1112" i="1"/>
  <c r="P547" i="1"/>
  <c r="P540" i="1"/>
  <c r="P510" i="1"/>
  <c r="P808" i="1"/>
  <c r="P264" i="1"/>
  <c r="P615" i="1"/>
  <c r="P650" i="1"/>
  <c r="P411" i="1"/>
  <c r="P1025" i="1"/>
  <c r="P854" i="1"/>
  <c r="P542" i="1"/>
  <c r="P1141" i="1"/>
  <c r="P162" i="1"/>
  <c r="P681" i="1"/>
  <c r="P72" i="1"/>
  <c r="P1035" i="1"/>
  <c r="P381" i="1"/>
  <c r="P85" i="1"/>
  <c r="P147" i="1"/>
  <c r="P965" i="1"/>
  <c r="P727" i="1"/>
  <c r="P436" i="1"/>
  <c r="P695" i="1"/>
  <c r="P487" i="1"/>
  <c r="P1062" i="1"/>
  <c r="P1199" i="1"/>
  <c r="P442" i="1"/>
  <c r="P61" i="1"/>
  <c r="P941" i="1"/>
  <c r="P978" i="1"/>
  <c r="P1186" i="1"/>
  <c r="P849" i="1"/>
  <c r="P871" i="1"/>
  <c r="P243" i="1"/>
  <c r="P836" i="1"/>
  <c r="P765" i="1"/>
  <c r="P327" i="1"/>
  <c r="P1044" i="1"/>
  <c r="P362" i="1"/>
  <c r="P842" i="1"/>
  <c r="P462" i="1"/>
  <c r="P412" i="1"/>
  <c r="P725" i="1"/>
  <c r="P855" i="1"/>
  <c r="P360" i="1"/>
  <c r="P852" i="1"/>
  <c r="P665" i="1"/>
  <c r="P996" i="1"/>
  <c r="P334" i="1"/>
  <c r="P732" i="1"/>
  <c r="P1013" i="1"/>
  <c r="P420" i="1"/>
  <c r="P495" i="1"/>
  <c r="P218" i="1"/>
  <c r="P793" i="1"/>
  <c r="P78" i="1"/>
  <c r="P828" i="1"/>
  <c r="P1193" i="1"/>
  <c r="P81" i="1"/>
  <c r="P876" i="1"/>
  <c r="P669" i="1"/>
  <c r="P819" i="1"/>
  <c r="P174" i="1"/>
  <c r="P1048" i="1"/>
  <c r="P109" i="1"/>
  <c r="P733" i="1"/>
  <c r="P30" i="1"/>
  <c r="P151" i="1"/>
  <c r="P388" i="1"/>
  <c r="P757" i="1"/>
  <c r="P16" i="1"/>
  <c r="P195" i="1"/>
  <c r="P499" i="1"/>
  <c r="P1074" i="1"/>
  <c r="P465" i="1"/>
  <c r="P1063" i="1"/>
  <c r="P79" i="1"/>
  <c r="P873" i="1"/>
  <c r="P329" i="1"/>
  <c r="P225" i="1"/>
  <c r="P249" i="1"/>
  <c r="P653" i="1"/>
  <c r="P1121" i="1"/>
  <c r="P967" i="1"/>
  <c r="P238" i="1"/>
  <c r="P846" i="1"/>
  <c r="P318" i="1"/>
  <c r="P1162" i="1"/>
  <c r="P699" i="1"/>
  <c r="P154" i="1"/>
  <c r="P782" i="1"/>
  <c r="P518" i="1"/>
  <c r="P102" i="1"/>
  <c r="P1201" i="1"/>
  <c r="P113" i="1"/>
  <c r="P623" i="1"/>
  <c r="P568" i="1"/>
  <c r="P172" i="1"/>
  <c r="P395" i="1"/>
  <c r="P112" i="1"/>
  <c r="P107" i="1"/>
  <c r="P1182" i="1"/>
  <c r="P397" i="1"/>
  <c r="P680" i="1"/>
  <c r="P685" i="1"/>
  <c r="P922" i="1"/>
  <c r="P1132" i="1"/>
  <c r="P205" i="1"/>
  <c r="P222" i="1"/>
  <c r="P142" i="1"/>
  <c r="P177" i="1"/>
  <c r="P403" i="1"/>
  <c r="P774" i="1"/>
  <c r="P1064" i="1"/>
  <c r="P319" i="1"/>
  <c r="P228" i="1"/>
  <c r="P1017" i="1"/>
  <c r="P766" i="1"/>
  <c r="P930" i="1"/>
  <c r="P626" i="1"/>
  <c r="P710" i="1"/>
  <c r="P507" i="1"/>
  <c r="P370" i="1"/>
  <c r="P790" i="1"/>
  <c r="P492" i="1"/>
  <c r="P1036" i="1"/>
  <c r="P738" i="1"/>
  <c r="P1018" i="1"/>
  <c r="P806" i="1"/>
  <c r="P130" i="1"/>
  <c r="P68" i="1"/>
  <c r="P1134" i="1"/>
  <c r="P865" i="1"/>
  <c r="P973" i="1"/>
  <c r="P740" i="1"/>
  <c r="P783" i="1"/>
  <c r="P75" i="1"/>
  <c r="P46" i="1"/>
  <c r="P433" i="1"/>
  <c r="P952" i="1"/>
  <c r="P1171" i="1"/>
  <c r="P314" i="1"/>
  <c r="P281" i="1"/>
  <c r="P692" i="1"/>
  <c r="P148" i="1"/>
  <c r="P564" i="1"/>
  <c r="P825" i="1"/>
  <c r="P404" i="1"/>
  <c r="P1052" i="1"/>
  <c r="P717" i="1"/>
  <c r="P519" i="1"/>
  <c r="P273" i="1"/>
  <c r="P297" i="1"/>
  <c r="P405" i="1"/>
  <c r="P136" i="1"/>
  <c r="P964" i="1"/>
  <c r="P301" i="1"/>
  <c r="P342" i="1"/>
  <c r="P1002" i="1"/>
  <c r="P867" i="1"/>
  <c r="P461" i="1"/>
  <c r="P837" i="1"/>
  <c r="P315" i="1"/>
  <c r="P155" i="1"/>
  <c r="P833" i="1"/>
  <c r="P17" i="1"/>
  <c r="P424" i="1"/>
  <c r="P294" i="1"/>
  <c r="P1175" i="1"/>
  <c r="P132" i="1"/>
  <c r="P373" i="1"/>
  <c r="P756" i="1"/>
  <c r="P445" i="1"/>
  <c r="P593" i="1"/>
  <c r="P390" i="1"/>
  <c r="P800" i="1"/>
  <c r="P1163" i="1"/>
  <c r="P1012" i="1"/>
  <c r="P574" i="1"/>
  <c r="P1177" i="1"/>
  <c r="P447" i="1"/>
  <c r="P734" i="1"/>
  <c r="P580" i="1"/>
  <c r="P271" i="1"/>
  <c r="P804" i="1"/>
  <c r="P229" i="1"/>
  <c r="O8" i="1"/>
  <c r="O805" i="1"/>
  <c r="O571" i="1"/>
  <c r="O398" i="1"/>
  <c r="O1128" i="1"/>
  <c r="O410" i="1"/>
  <c r="O1178" i="1"/>
  <c r="O180" i="1"/>
  <c r="O1085" i="1"/>
  <c r="O448" i="1"/>
  <c r="O508" i="1"/>
  <c r="O556" i="1"/>
  <c r="O878" i="1"/>
  <c r="O346" i="1"/>
  <c r="O122" i="1"/>
  <c r="O274" i="1"/>
  <c r="O37" i="1"/>
  <c r="O578" i="1"/>
  <c r="O1075" i="1"/>
  <c r="O34" i="1"/>
  <c r="O173" i="1"/>
  <c r="O910" i="1"/>
  <c r="O45" i="1"/>
  <c r="O1093" i="1"/>
  <c r="O894" i="1"/>
  <c r="O776" i="1"/>
  <c r="O582" i="1"/>
  <c r="O561" i="1"/>
  <c r="O449" i="1"/>
  <c r="O847" i="1"/>
  <c r="O1070" i="1"/>
  <c r="O252" i="1"/>
  <c r="O160" i="1"/>
  <c r="O216" i="1"/>
  <c r="O13" i="1"/>
  <c r="O937" i="1"/>
  <c r="O1129" i="1"/>
  <c r="O877" i="1"/>
  <c r="O955" i="1"/>
  <c r="O1030" i="1"/>
  <c r="O320" i="1"/>
  <c r="O473" i="1"/>
  <c r="O663" i="1"/>
  <c r="O488" i="1"/>
  <c r="O1107" i="1"/>
  <c r="O552" i="1"/>
  <c r="O741" i="1"/>
  <c r="O279" i="1"/>
  <c r="O337" i="1"/>
  <c r="O389" i="1"/>
  <c r="O296" i="1"/>
  <c r="O970" i="1"/>
  <c r="O831" i="1"/>
  <c r="O677" i="1"/>
  <c r="O1077" i="1"/>
  <c r="O1189" i="1"/>
  <c r="O194" i="1"/>
  <c r="O31" i="1"/>
  <c r="O26" i="1"/>
  <c r="O838" i="1"/>
  <c r="O802" i="1"/>
  <c r="O603" i="1"/>
  <c r="O330" i="1"/>
  <c r="O998" i="1"/>
  <c r="O1194" i="1"/>
  <c r="O511" i="1"/>
  <c r="O908" i="1"/>
  <c r="O940" i="1"/>
  <c r="O479" i="1"/>
  <c r="O178" i="1"/>
  <c r="O199" i="1"/>
  <c r="O1167" i="1"/>
  <c r="O962" i="1"/>
  <c r="O165" i="1"/>
  <c r="O244" i="1"/>
  <c r="O371" i="1"/>
  <c r="O610" i="1"/>
  <c r="O682" i="1"/>
  <c r="O796" i="1"/>
  <c r="O1051" i="1"/>
  <c r="O246" i="1"/>
  <c r="O223" i="1"/>
  <c r="O515" i="1"/>
  <c r="O331" i="1"/>
  <c r="O341" i="1"/>
  <c r="O834" i="1"/>
  <c r="O729" i="1"/>
  <c r="O874" i="1"/>
  <c r="O1157" i="1"/>
  <c r="O1026" i="1"/>
  <c r="O365" i="1"/>
  <c r="O106" i="1"/>
  <c r="O715" i="1"/>
  <c r="O23" i="1"/>
  <c r="O58" i="1"/>
  <c r="O117" i="1"/>
  <c r="O696" i="1"/>
  <c r="O984" i="1"/>
  <c r="O24" i="1"/>
  <c r="O1096" i="1"/>
  <c r="O69" i="1"/>
  <c r="O454" i="1"/>
  <c r="O92" i="1"/>
  <c r="O990" i="1"/>
  <c r="O791" i="1"/>
  <c r="O887" i="1"/>
  <c r="O358" i="1"/>
  <c r="O123" i="1"/>
  <c r="O969" i="1"/>
  <c r="O364" i="1"/>
  <c r="O648" i="1"/>
  <c r="O1126" i="1"/>
  <c r="O530" i="1"/>
  <c r="O993" i="1"/>
  <c r="O459" i="1"/>
  <c r="O110" i="1"/>
  <c r="O93" i="1"/>
  <c r="O393" i="1"/>
  <c r="O1169" i="1"/>
  <c r="O140" i="1"/>
  <c r="O463" i="1"/>
  <c r="O634" i="1"/>
  <c r="O260" i="1"/>
  <c r="O787" i="1"/>
  <c r="O899" i="1"/>
  <c r="O1118" i="1"/>
  <c r="O308" i="1"/>
  <c r="O70" i="1"/>
  <c r="O417" i="1"/>
  <c r="O986" i="1"/>
  <c r="O15" i="1"/>
  <c r="O126" i="1"/>
  <c r="O1181" i="1"/>
  <c r="O1187" i="1"/>
  <c r="O302" i="1"/>
  <c r="O658" i="1"/>
  <c r="O924" i="1"/>
  <c r="O496" i="1"/>
  <c r="O138" i="1"/>
  <c r="O1150" i="1"/>
  <c r="O443" i="1"/>
  <c r="O356" i="1"/>
  <c r="O720" i="1"/>
  <c r="O303" i="1"/>
  <c r="O579" i="1"/>
  <c r="O1115" i="1"/>
  <c r="O1123" i="1"/>
  <c r="O948" i="1"/>
  <c r="O503" i="1"/>
  <c r="O484" i="1"/>
  <c r="O466" i="1"/>
  <c r="O972" i="1"/>
  <c r="O953" i="1"/>
  <c r="O282" i="1"/>
  <c r="O82" i="1"/>
  <c r="O901" i="1"/>
  <c r="O1022" i="1"/>
  <c r="O675" i="1"/>
  <c r="O421" i="1"/>
  <c r="O71" i="1"/>
  <c r="O609" i="1"/>
  <c r="O292" i="1"/>
  <c r="O1190" i="1"/>
  <c r="O505" i="1"/>
  <c r="O840" i="1"/>
  <c r="O1040" i="1"/>
  <c r="O202" i="1"/>
  <c r="O976" i="1"/>
  <c r="O616" i="1"/>
  <c r="O1087" i="1"/>
  <c r="O316" i="1"/>
  <c r="O1088" i="1"/>
  <c r="O604" i="1"/>
  <c r="O638" i="1"/>
  <c r="O1008" i="1"/>
  <c r="O1196" i="1"/>
  <c r="O304" i="1"/>
  <c r="O629" i="1"/>
  <c r="O917" i="1"/>
  <c r="O108" i="1"/>
  <c r="O815" i="1"/>
  <c r="O1067" i="1"/>
  <c r="O642" i="1"/>
  <c r="O612" i="1"/>
  <c r="O999" i="1"/>
  <c r="O474" i="1"/>
  <c r="O56" i="1"/>
  <c r="O1059" i="1"/>
  <c r="O257" i="1"/>
  <c r="O816" i="1"/>
  <c r="O1049" i="1"/>
  <c r="O310" i="1"/>
  <c r="O284" i="1"/>
  <c r="O706" i="1"/>
  <c r="O649" i="1"/>
  <c r="O989" i="1"/>
  <c r="O339" i="1"/>
  <c r="O716" i="1"/>
  <c r="O987" i="1"/>
  <c r="O1161" i="1"/>
  <c r="O239" i="1"/>
  <c r="O1004" i="1"/>
  <c r="O985" i="1"/>
  <c r="O354" i="1"/>
  <c r="O89" i="1"/>
  <c r="O639" i="1"/>
  <c r="O1066" i="1"/>
  <c r="O872" i="1"/>
  <c r="O343" i="1"/>
  <c r="O934" i="1"/>
  <c r="O974" i="1"/>
  <c r="O240" i="1"/>
  <c r="O146" i="1"/>
  <c r="O803" i="1"/>
  <c r="O309" i="1"/>
  <c r="O1098" i="1"/>
  <c r="O678" i="1"/>
  <c r="O156" i="1"/>
  <c r="O1116" i="1"/>
  <c r="O276" i="1"/>
  <c r="O563" i="1"/>
  <c r="O169" i="1"/>
  <c r="O839" i="1"/>
  <c r="O368" i="1"/>
  <c r="O591" i="1"/>
  <c r="O1195" i="1"/>
  <c r="O425" i="1"/>
  <c r="O185" i="1"/>
  <c r="O1078" i="1"/>
  <c r="O489" i="1"/>
  <c r="O428" i="1"/>
  <c r="O191" i="1"/>
  <c r="O807" i="1"/>
  <c r="O925" i="1"/>
  <c r="O74" i="1"/>
  <c r="O3" i="1"/>
  <c r="O594" i="1"/>
  <c r="O946" i="1"/>
  <c r="O943" i="1"/>
  <c r="O268" i="1"/>
  <c r="O183" i="1"/>
  <c r="O175" i="1"/>
  <c r="O1130" i="1"/>
  <c r="O64" i="1"/>
  <c r="O1106" i="1"/>
  <c r="O813" i="1"/>
  <c r="O283" i="1"/>
  <c r="O255" i="1"/>
  <c r="O548" i="1"/>
  <c r="O131" i="1"/>
  <c r="O1138" i="1"/>
  <c r="O848" i="1"/>
  <c r="O601" i="1"/>
  <c r="O502" i="1"/>
  <c r="O672" i="1"/>
  <c r="O1200" i="1"/>
  <c r="O651" i="1"/>
  <c r="O569" i="1"/>
  <c r="O226" i="1"/>
  <c r="O186" i="1"/>
  <c r="O1148" i="1"/>
  <c r="O18" i="1"/>
  <c r="O118" i="1"/>
  <c r="O792" i="1"/>
  <c r="O497" i="1"/>
  <c r="O707" i="1"/>
  <c r="O1101" i="1"/>
  <c r="O311" i="1"/>
  <c r="O455" i="1"/>
  <c r="O214" i="1"/>
  <c r="O127" i="1"/>
  <c r="O366" i="1"/>
  <c r="O892" i="1"/>
  <c r="O52" i="1"/>
  <c r="O427" i="1"/>
  <c r="O1081" i="1"/>
  <c r="O835" i="1"/>
  <c r="O911" i="1"/>
  <c r="O407" i="1"/>
  <c r="O124" i="1"/>
  <c r="O293" i="1"/>
  <c r="O1108" i="1"/>
  <c r="O1032" i="1"/>
  <c r="O65" i="1"/>
  <c r="O1168" i="1"/>
  <c r="O1090" i="1"/>
  <c r="O451" i="1"/>
  <c r="O100" i="1"/>
  <c r="O291" i="1"/>
  <c r="O170" i="1"/>
  <c r="O670" i="1"/>
  <c r="O979" i="1"/>
  <c r="O66" i="1"/>
  <c r="O1084" i="1"/>
  <c r="O39" i="1"/>
  <c r="O730" i="1"/>
  <c r="O77" i="1"/>
  <c r="O493" i="1"/>
  <c r="O533" i="1"/>
  <c r="O820" i="1"/>
  <c r="O179" i="1"/>
  <c r="O184" i="1"/>
  <c r="O938" i="1"/>
  <c r="O882" i="1"/>
  <c r="O456" i="1"/>
  <c r="O704" i="1"/>
  <c r="O254" i="1"/>
  <c r="O480" i="1"/>
  <c r="O382" i="1"/>
  <c r="O565" i="1"/>
  <c r="O1140" i="1"/>
  <c r="O1145" i="1"/>
  <c r="O265" i="1"/>
  <c r="O383" i="1"/>
  <c r="O1133" i="1"/>
  <c r="O378" i="1"/>
  <c r="O139" i="1"/>
  <c r="O786" i="1"/>
  <c r="O469" i="1"/>
  <c r="O956" i="1"/>
  <c r="O307" i="1"/>
  <c r="O724" i="1"/>
  <c r="O991" i="1"/>
  <c r="O721" i="1"/>
  <c r="O250" i="1"/>
  <c r="O749" i="1"/>
  <c r="O289" i="1"/>
  <c r="O84" i="1"/>
  <c r="O966" i="1"/>
  <c r="O697" i="1"/>
  <c r="O143" i="1"/>
  <c r="O752" i="1"/>
  <c r="O640" i="1"/>
  <c r="O605" i="1"/>
  <c r="O1039" i="1"/>
  <c r="O509" i="1"/>
  <c r="O206" i="1"/>
  <c r="O430" i="1"/>
  <c r="O627" i="1"/>
  <c r="O152" i="1"/>
  <c r="O853" i="1"/>
  <c r="O1191" i="1"/>
  <c r="O80" i="1"/>
  <c r="O1045" i="1"/>
  <c r="O475" i="1"/>
  <c r="O936" i="1"/>
  <c r="O545" i="1"/>
  <c r="O592" i="1"/>
  <c r="O464" i="1"/>
  <c r="O212" i="1"/>
  <c r="O1016" i="1"/>
  <c r="O347" i="1"/>
  <c r="O1079" i="1"/>
  <c r="O267" i="1"/>
  <c r="O1155" i="1"/>
  <c r="O171" i="1"/>
  <c r="O263" i="1"/>
  <c r="O617" i="1"/>
  <c r="O224" i="1"/>
  <c r="O702" i="1"/>
  <c r="O746" i="1"/>
  <c r="O247" i="1"/>
  <c r="O683" i="1"/>
  <c r="O452" i="1"/>
  <c r="O1014" i="1"/>
  <c r="O57" i="1"/>
  <c r="O655" i="1"/>
  <c r="O161" i="1"/>
  <c r="O963" i="1"/>
  <c r="O1119" i="1"/>
  <c r="O10" i="1"/>
  <c r="O1015" i="1"/>
  <c r="O5" i="1"/>
  <c r="O843" i="1"/>
  <c r="O980" i="1"/>
  <c r="O335" i="1"/>
  <c r="O770" i="1"/>
  <c r="O544" i="1"/>
  <c r="O850" i="1"/>
  <c r="O646" i="1"/>
  <c r="O219" i="1"/>
  <c r="O997" i="1"/>
  <c r="O28" i="1"/>
  <c r="O918" i="1"/>
  <c r="O422" i="1"/>
  <c r="O157" i="1"/>
  <c r="O742" i="1"/>
  <c r="O506" i="1"/>
  <c r="O490" i="1"/>
  <c r="O272" i="1"/>
  <c r="O981" i="1"/>
  <c r="O573" i="1"/>
  <c r="O760" i="1"/>
  <c r="O258" i="1"/>
  <c r="O1111" i="1"/>
  <c r="O467" i="1"/>
  <c r="O374" i="1"/>
  <c r="O824" i="1"/>
  <c r="O517" i="1"/>
  <c r="O858" i="1"/>
  <c r="O1094" i="1"/>
  <c r="O137" i="1"/>
  <c r="O902" i="1"/>
  <c r="O94" i="1"/>
  <c r="O992" i="1"/>
  <c r="O478" i="1"/>
  <c r="O313" i="1"/>
  <c r="O971" i="1"/>
  <c r="O248" i="1"/>
  <c r="O531" i="1"/>
  <c r="O731" i="1"/>
  <c r="O1095" i="1"/>
  <c r="O391" i="1"/>
  <c r="O1122" i="1"/>
  <c r="O1089" i="1"/>
  <c r="O277" i="1"/>
  <c r="O413" i="1"/>
  <c r="O19" i="1"/>
  <c r="O641" i="1"/>
  <c r="O928" i="1"/>
  <c r="O399" i="1"/>
  <c r="O217" i="1"/>
  <c r="O767" i="1"/>
  <c r="O141" i="1"/>
  <c r="O95" i="1"/>
  <c r="O1065" i="1"/>
  <c r="O954" i="1"/>
  <c r="O926" i="1"/>
  <c r="O957" i="1"/>
  <c r="O220" i="1"/>
  <c r="O868" i="1"/>
  <c r="O351" i="1"/>
  <c r="O338" i="1"/>
  <c r="O408" i="1"/>
  <c r="O203" i="1"/>
  <c r="O59" i="1"/>
  <c r="O643" i="1"/>
  <c r="O975" i="1"/>
  <c r="O832" i="1"/>
  <c r="O898" i="1"/>
  <c r="O485" i="1"/>
  <c r="O664" i="1"/>
  <c r="O673" i="1"/>
  <c r="O708" i="1"/>
  <c r="O602" i="1"/>
  <c r="O406" i="1"/>
  <c r="O618" i="1"/>
  <c r="O352" i="1"/>
  <c r="O809" i="1"/>
  <c r="O526" i="1"/>
  <c r="O129" i="1"/>
  <c r="O285" i="1"/>
  <c r="O1117" i="1"/>
  <c r="O927" i="1"/>
  <c r="O606" i="1"/>
  <c r="O245" i="1"/>
  <c r="O1146" i="1"/>
  <c r="O750" i="1"/>
  <c r="O777" i="1"/>
  <c r="O869" i="1"/>
  <c r="O709" i="1"/>
  <c r="O1083" i="1"/>
  <c r="O200" i="1"/>
  <c r="O103" i="1"/>
  <c r="O570" i="1"/>
  <c r="O278" i="1"/>
  <c r="O814" i="1"/>
  <c r="O1183" i="1"/>
  <c r="O457" i="1"/>
  <c r="O375" i="1"/>
  <c r="O1104" i="1"/>
  <c r="O12" i="1"/>
  <c r="O1027" i="1"/>
  <c r="O440" i="1"/>
  <c r="O1105" i="1"/>
  <c r="O527" i="1"/>
  <c r="O1042" i="1"/>
  <c r="O895" i="1"/>
  <c r="O73" i="1"/>
  <c r="O235" i="1"/>
  <c r="O153" i="1"/>
  <c r="O1037" i="1"/>
  <c r="O27" i="1"/>
  <c r="O690" i="1"/>
  <c r="O298" i="1"/>
  <c r="O51" i="1"/>
  <c r="O96" i="1"/>
  <c r="O935" i="1"/>
  <c r="O355" i="1"/>
  <c r="O771" i="1"/>
  <c r="O11" i="1"/>
  <c r="O414" i="1"/>
  <c r="O995" i="1"/>
  <c r="O280" i="1"/>
  <c r="O1158" i="1"/>
  <c r="O1057" i="1"/>
  <c r="O888" i="1"/>
  <c r="O269" i="1"/>
  <c r="O133" i="1"/>
  <c r="O619" i="1"/>
  <c r="O546" i="1"/>
  <c r="O193" i="1"/>
  <c r="O348" i="1"/>
  <c r="O1170" i="1"/>
  <c r="O227" i="1"/>
  <c r="O290" i="1"/>
  <c r="O259" i="1"/>
  <c r="O1137" i="1"/>
  <c r="O63" i="1"/>
  <c r="O949" i="1"/>
  <c r="O595" i="1"/>
  <c r="O857" i="1"/>
  <c r="O1009" i="1"/>
  <c r="O144" i="1"/>
  <c r="O104" i="1"/>
  <c r="O620" i="1"/>
  <c r="O624" i="1"/>
  <c r="O1172" i="1"/>
  <c r="O1131" i="1"/>
  <c r="O98" i="1"/>
  <c r="O566" i="1"/>
  <c r="O647" i="1"/>
  <c r="O1019" i="1"/>
  <c r="O415" i="1"/>
  <c r="O471" i="1"/>
  <c r="O575" i="1"/>
  <c r="O801" i="1"/>
  <c r="O1029" i="1"/>
  <c r="O621" i="1"/>
  <c r="O764" i="1"/>
  <c r="O751" i="1"/>
  <c r="O1120" i="1"/>
  <c r="O91" i="1"/>
  <c r="O703" i="1"/>
  <c r="O778" i="1"/>
  <c r="O711" i="1"/>
  <c r="O1073" i="1"/>
  <c r="O684" i="1"/>
  <c r="O1020" i="1"/>
  <c r="O541" i="1"/>
  <c r="O306" i="1"/>
  <c r="O438" i="1"/>
  <c r="O585" i="1"/>
  <c r="O586" i="1"/>
  <c r="O494" i="1"/>
  <c r="O576" i="1"/>
  <c r="O321" i="1"/>
  <c r="O516" i="1"/>
  <c r="O1028" i="1"/>
  <c r="O419" i="1"/>
  <c r="O188" i="1"/>
  <c r="O377" i="1"/>
  <c r="O332" i="1"/>
  <c r="O1149" i="1"/>
  <c r="O14" i="1"/>
  <c r="O42" i="1"/>
  <c r="O251" i="1"/>
  <c r="O762" i="1"/>
  <c r="O635" i="1"/>
  <c r="O47" i="1"/>
  <c r="O48" i="1"/>
  <c r="O386" i="1"/>
  <c r="O482" i="1"/>
  <c r="O1091" i="1"/>
  <c r="O182" i="1"/>
  <c r="O644" i="1"/>
  <c r="O862" i="1"/>
  <c r="O99" i="1"/>
  <c r="O1071" i="1"/>
  <c r="O968" i="1"/>
  <c r="O915" i="1"/>
  <c r="O434" i="1"/>
  <c r="O40" i="1"/>
  <c r="O538" i="1"/>
  <c r="O221" i="1"/>
  <c r="O691" i="1"/>
  <c r="O32" i="1"/>
  <c r="O875" i="1"/>
  <c r="O215" i="1"/>
  <c r="O439" i="1"/>
  <c r="O905" i="1"/>
  <c r="O558" i="1"/>
  <c r="O1176" i="1"/>
  <c r="O1068" i="1"/>
  <c r="O322" i="1"/>
  <c r="O903" i="1"/>
  <c r="O230" i="1"/>
  <c r="O942" i="1"/>
  <c r="O1010" i="1"/>
  <c r="O361" i="1"/>
  <c r="O912" i="1"/>
  <c r="O652" i="1"/>
  <c r="O299" i="1"/>
  <c r="O559" i="1"/>
  <c r="O977" i="1"/>
  <c r="O231" i="1"/>
  <c r="O923" i="1"/>
  <c r="O657" i="1"/>
  <c r="O253" i="1"/>
  <c r="O201" i="1"/>
  <c r="O379" i="1"/>
  <c r="O581" i="1"/>
  <c r="O866" i="1"/>
  <c r="O1185" i="1"/>
  <c r="O668" i="1"/>
  <c r="O900" i="1"/>
  <c r="O1151" i="1"/>
  <c r="O779" i="1"/>
  <c r="O994" i="1"/>
  <c r="O726" i="1"/>
  <c r="O149" i="1"/>
  <c r="O210" i="1"/>
  <c r="O958" i="1"/>
  <c r="O584" i="1"/>
  <c r="O1046" i="1"/>
  <c r="O881" i="1"/>
  <c r="O549" i="1"/>
  <c r="O821" i="1"/>
  <c r="O763" i="1"/>
  <c r="O608" i="1"/>
  <c r="O409" i="1"/>
  <c r="O897" i="1"/>
  <c r="O236" i="1"/>
  <c r="O528" i="1"/>
  <c r="O369" i="1"/>
  <c r="O577" i="1"/>
  <c r="O305" i="1"/>
  <c r="O119" i="1"/>
  <c r="O262" i="1"/>
  <c r="O242" i="1"/>
  <c r="O817" i="1"/>
  <c r="O163" i="1"/>
  <c r="O628" i="1"/>
  <c r="O656" i="1"/>
  <c r="O486" i="1"/>
  <c r="O384" i="1"/>
  <c r="O860" i="1"/>
  <c r="O400" i="1"/>
  <c r="O29" i="1"/>
  <c r="O572" i="1"/>
  <c r="O748" i="1"/>
  <c r="O661" i="1"/>
  <c r="O810" i="1"/>
  <c r="O441" i="1"/>
  <c r="O6" i="1"/>
  <c r="O418" i="1"/>
  <c r="O1110" i="1"/>
  <c r="O982" i="1"/>
  <c r="O498" i="1"/>
  <c r="O189" i="1"/>
  <c r="O907" i="1"/>
  <c r="O701" i="1"/>
  <c r="O567" i="1"/>
  <c r="O232" i="1"/>
  <c r="O105" i="1"/>
  <c r="O532" i="1"/>
  <c r="O500" i="1"/>
  <c r="O1102" i="1"/>
  <c r="O891" i="1"/>
  <c r="O885" i="1"/>
  <c r="O1033" i="1"/>
  <c r="O43" i="1"/>
  <c r="O636" i="1"/>
  <c r="O959" i="1"/>
  <c r="O164" i="1"/>
  <c r="O818" i="1"/>
  <c r="O166" i="1"/>
  <c r="O755" i="1"/>
  <c r="O53" i="1"/>
  <c r="O645" i="1"/>
  <c r="O234" i="1"/>
  <c r="O176" i="1"/>
  <c r="O76" i="1"/>
  <c r="O520" i="1"/>
  <c r="O797" i="1"/>
  <c r="O1188" i="1"/>
  <c r="O1086" i="1"/>
  <c r="O919" i="1"/>
  <c r="O49" i="1"/>
  <c r="O340" i="1"/>
  <c r="O543" i="1"/>
  <c r="O286" i="1"/>
  <c r="O1142" i="1"/>
  <c r="O851" i="1"/>
  <c r="O1005" i="1"/>
  <c r="O394" i="1"/>
  <c r="O363" i="1"/>
  <c r="O583" i="1"/>
  <c r="O344" i="1"/>
  <c r="O758" i="1"/>
  <c r="O920" i="1"/>
  <c r="O35" i="1"/>
  <c r="O1053" i="1"/>
  <c r="O380" i="1"/>
  <c r="O916" i="1"/>
  <c r="O256" i="1"/>
  <c r="O1000" i="1"/>
  <c r="O9" i="1"/>
  <c r="O437" i="1"/>
  <c r="O856" i="1"/>
  <c r="O737" i="1"/>
  <c r="O712" i="1"/>
  <c r="O115" i="1"/>
  <c r="O213" i="1"/>
  <c r="O1082" i="1"/>
  <c r="O1038" i="1"/>
  <c r="O896" i="1"/>
  <c r="O1041" i="1"/>
  <c r="O939" i="1"/>
  <c r="O772" i="1"/>
  <c r="O753" i="1"/>
  <c r="O521" i="1"/>
  <c r="O1184" i="1"/>
  <c r="O150" i="1"/>
  <c r="O784" i="1"/>
  <c r="O722" i="1"/>
  <c r="O401" i="1"/>
  <c r="O135" i="1"/>
  <c r="O534" i="1"/>
  <c r="O367" i="1"/>
  <c r="O598" i="1"/>
  <c r="O909" i="1"/>
  <c r="O477" i="1"/>
  <c r="O883" i="1"/>
  <c r="O101" i="1"/>
  <c r="O890" i="1"/>
  <c r="O861" i="1"/>
  <c r="O789" i="1"/>
  <c r="O359" i="1"/>
  <c r="O1023" i="1"/>
  <c r="O705" i="1"/>
  <c r="O1047" i="1"/>
  <c r="O472" i="1"/>
  <c r="O536" i="1"/>
  <c r="O745" i="1"/>
  <c r="O551" i="1"/>
  <c r="O514" i="1"/>
  <c r="O1156" i="1"/>
  <c r="O723" i="1"/>
  <c r="O768" i="1"/>
  <c r="O988" i="1"/>
  <c r="O929" i="1"/>
  <c r="O863" i="1"/>
  <c r="O718" i="1"/>
  <c r="O86" i="1"/>
  <c r="O1024" i="1"/>
  <c r="O1054" i="1"/>
  <c r="O761" i="1"/>
  <c r="O1097" i="1"/>
  <c r="O25" i="1"/>
  <c r="O38" i="1"/>
  <c r="O864" i="1"/>
  <c r="O654" i="1"/>
  <c r="O1152" i="1"/>
  <c r="O233" i="1"/>
  <c r="O743" i="1"/>
  <c r="O562" i="1"/>
  <c r="O120" i="1"/>
  <c r="O287" i="1"/>
  <c r="O1021" i="1"/>
  <c r="O211" i="1"/>
  <c r="O844" i="1"/>
  <c r="O134" i="1"/>
  <c r="O587" i="1"/>
  <c r="O387" i="1"/>
  <c r="O33" i="1"/>
  <c r="O1103" i="1"/>
  <c r="O353" i="1"/>
  <c r="O261" i="1"/>
  <c r="O553" i="1"/>
  <c r="O719" i="1"/>
  <c r="O788" i="1"/>
  <c r="O1197" i="1"/>
  <c r="O1099" i="1"/>
  <c r="O90" i="1"/>
  <c r="O328" i="1"/>
  <c r="O1069" i="1"/>
  <c r="O158" i="1"/>
  <c r="O468" i="1"/>
  <c r="O611" i="1"/>
  <c r="O522" i="1"/>
  <c r="O798" i="1"/>
  <c r="O1147" i="1"/>
  <c r="O1139" i="1"/>
  <c r="O295" i="1"/>
  <c r="O333" i="1"/>
  <c r="O596" i="1"/>
  <c r="O426" i="1"/>
  <c r="O317" i="1"/>
  <c r="O841" i="1"/>
  <c r="O524" i="1"/>
  <c r="O237" i="1"/>
  <c r="O637" i="1"/>
  <c r="O97" i="1"/>
  <c r="O914" i="1"/>
  <c r="O1114" i="1"/>
  <c r="O83" i="1"/>
  <c r="O1143" i="1"/>
  <c r="O145" i="1"/>
  <c r="O1080" i="1"/>
  <c r="O167" i="1"/>
  <c r="O557" i="1"/>
  <c r="O323" i="1"/>
  <c r="O512" i="1"/>
  <c r="O879" i="1"/>
  <c r="O349" i="1"/>
  <c r="O904" i="1"/>
  <c r="O554" i="1"/>
  <c r="O625" i="1"/>
  <c r="O207" i="1"/>
  <c r="O429" i="1"/>
  <c r="O539" i="1"/>
  <c r="O1060" i="1"/>
  <c r="O944" i="1"/>
  <c r="O794" i="1"/>
  <c r="O560" i="1"/>
  <c r="O385" i="1"/>
  <c r="O87" i="1"/>
  <c r="O859" i="1"/>
  <c r="O204" i="1"/>
  <c r="O947" i="1"/>
  <c r="O1061" i="1"/>
  <c r="O870" i="1"/>
  <c r="O345" i="1"/>
  <c r="O1076" i="1"/>
  <c r="O1050" i="1"/>
  <c r="O197" i="1"/>
  <c r="O780" i="1"/>
  <c r="O54" i="1"/>
  <c r="O945" i="1"/>
  <c r="O491" i="1"/>
  <c r="O590" i="1"/>
  <c r="O1058" i="1"/>
  <c r="O630" i="1"/>
  <c r="O607" i="1"/>
  <c r="O50" i="1"/>
  <c r="O1174" i="1"/>
  <c r="O631" i="1"/>
  <c r="O336" i="1"/>
  <c r="O525" i="1"/>
  <c r="O845" i="1"/>
  <c r="O1127" i="1"/>
  <c r="O1135" i="1"/>
  <c r="O933" i="1"/>
  <c r="O392" i="1"/>
  <c r="O754" i="1"/>
  <c r="O913" i="1"/>
  <c r="O4" i="1"/>
  <c r="O1164" i="1"/>
  <c r="O1113" i="1"/>
  <c r="O483" i="1"/>
  <c r="O889" i="1"/>
  <c r="O402" i="1"/>
  <c r="O1173" i="1"/>
  <c r="O198" i="1"/>
  <c r="O698" i="1"/>
  <c r="O588" i="1"/>
  <c r="O324" i="1"/>
  <c r="O812" i="1"/>
  <c r="O537" i="1"/>
  <c r="O111" i="1"/>
  <c r="O470" i="1"/>
  <c r="O679" i="1"/>
  <c r="O168" i="1"/>
  <c r="O159" i="1"/>
  <c r="O785" i="1"/>
  <c r="O686" i="1"/>
  <c r="O747" i="1"/>
  <c r="O597" i="1"/>
  <c r="O1153" i="1"/>
  <c r="O676" i="1"/>
  <c r="O266" i="1"/>
  <c r="O671" i="1"/>
  <c r="O423" i="1"/>
  <c r="O300" i="1"/>
  <c r="O713" i="1"/>
  <c r="O781" i="1"/>
  <c r="O209" i="1"/>
  <c r="O1092" i="1"/>
  <c r="O1055" i="1"/>
  <c r="O7" i="1"/>
  <c r="O1198" i="1"/>
  <c r="O1136" i="1"/>
  <c r="O674" i="1"/>
  <c r="O622" i="1"/>
  <c r="O416" i="1"/>
  <c r="O960" i="1"/>
  <c r="O775" i="1"/>
  <c r="O893" i="1"/>
  <c r="O312" i="1"/>
  <c r="O435" i="1"/>
  <c r="O700" i="1"/>
  <c r="O114" i="1"/>
  <c r="O196" i="1"/>
  <c r="O431" i="1"/>
  <c r="O884" i="1"/>
  <c r="O822" i="1"/>
  <c r="O1043" i="1"/>
  <c r="O1109" i="1"/>
  <c r="O1006" i="1"/>
  <c r="O659" i="1"/>
  <c r="O759" i="1"/>
  <c r="O187" i="1"/>
  <c r="O1003" i="1"/>
  <c r="O450" i="1"/>
  <c r="O823" i="1"/>
  <c r="O795" i="1"/>
  <c r="O1124" i="1"/>
  <c r="O687" i="1"/>
  <c r="O693" i="1"/>
  <c r="O799" i="1"/>
  <c r="O535" i="1"/>
  <c r="O67" i="1"/>
  <c r="O1011" i="1"/>
  <c r="O555" i="1"/>
  <c r="O735" i="1"/>
  <c r="O983" i="1"/>
  <c r="O1192" i="1"/>
  <c r="O1007" i="1"/>
  <c r="O1056" i="1"/>
  <c r="O288" i="1"/>
  <c r="O728" i="1"/>
  <c r="O60" i="1"/>
  <c r="O1072" i="1"/>
  <c r="O961" i="1"/>
  <c r="O599" i="1"/>
  <c r="O62" i="1"/>
  <c r="O666" i="1"/>
  <c r="O880" i="1"/>
  <c r="O950" i="1"/>
  <c r="O513" i="1"/>
  <c r="O121" i="1"/>
  <c r="O41" i="1"/>
  <c r="O1154" i="1"/>
  <c r="O453" i="1"/>
  <c r="O523" i="1"/>
  <c r="O529" i="1"/>
  <c r="O270" i="1"/>
  <c r="O1100" i="1"/>
  <c r="O125" i="1"/>
  <c r="O275" i="1"/>
  <c r="O376" i="1"/>
  <c r="O504" i="1"/>
  <c r="O951" i="1"/>
  <c r="O325" i="1"/>
  <c r="O662" i="1"/>
  <c r="O357" i="1"/>
  <c r="O736" i="1"/>
  <c r="O432" i="1"/>
  <c r="O694" i="1"/>
  <c r="O773" i="1"/>
  <c r="O1031" i="1"/>
  <c r="O55" i="1"/>
  <c r="O886" i="1"/>
  <c r="O36" i="1"/>
  <c r="O632" i="1"/>
  <c r="O21" i="1"/>
  <c r="O181" i="1"/>
  <c r="O633" i="1"/>
  <c r="O481" i="1"/>
  <c r="O906" i="1"/>
  <c r="O826" i="1"/>
  <c r="O589" i="1"/>
  <c r="O326" i="1"/>
  <c r="O1179" i="1"/>
  <c r="O1144" i="1"/>
  <c r="O1125" i="1"/>
  <c r="O550" i="1"/>
  <c r="O1159" i="1"/>
  <c r="O829" i="1"/>
  <c r="O688" i="1"/>
  <c r="O714" i="1"/>
  <c r="O1165" i="1"/>
  <c r="O372" i="1"/>
  <c r="O190" i="1"/>
  <c r="O613" i="1"/>
  <c r="O44" i="1"/>
  <c r="O739" i="1"/>
  <c r="O208" i="1"/>
  <c r="O396" i="1"/>
  <c r="O458" i="1"/>
  <c r="O827" i="1"/>
  <c r="O921" i="1"/>
  <c r="O1034" i="1"/>
  <c r="O769" i="1"/>
  <c r="O830" i="1"/>
  <c r="O1160" i="1"/>
  <c r="O1001" i="1"/>
  <c r="O116" i="1"/>
  <c r="O446" i="1"/>
  <c r="O667" i="1"/>
  <c r="O811" i="1"/>
  <c r="O614" i="1"/>
  <c r="O744" i="1"/>
  <c r="O444" i="1"/>
  <c r="O660" i="1"/>
  <c r="O460" i="1"/>
  <c r="O192" i="1"/>
  <c r="O501" i="1"/>
  <c r="O241" i="1"/>
  <c r="O476" i="1"/>
  <c r="O1180" i="1"/>
  <c r="O20" i="1"/>
  <c r="O1166" i="1"/>
  <c r="O88" i="1"/>
  <c r="O689" i="1"/>
  <c r="O600" i="1"/>
  <c r="O22" i="1"/>
  <c r="O350" i="1"/>
  <c r="O128" i="1"/>
  <c r="O931" i="1"/>
  <c r="O932" i="1"/>
  <c r="O1112" i="1"/>
  <c r="O547" i="1"/>
  <c r="O540" i="1"/>
  <c r="O510" i="1"/>
  <c r="O808" i="1"/>
  <c r="O264" i="1"/>
  <c r="O615" i="1"/>
  <c r="O650" i="1"/>
  <c r="O411" i="1"/>
  <c r="O1025" i="1"/>
  <c r="O854" i="1"/>
  <c r="O542" i="1"/>
  <c r="O1141" i="1"/>
  <c r="O162" i="1"/>
  <c r="O681" i="1"/>
  <c r="O72" i="1"/>
  <c r="O1035" i="1"/>
  <c r="O381" i="1"/>
  <c r="O85" i="1"/>
  <c r="O147" i="1"/>
  <c r="O965" i="1"/>
  <c r="O727" i="1"/>
  <c r="O436" i="1"/>
  <c r="O695" i="1"/>
  <c r="O487" i="1"/>
  <c r="O1062" i="1"/>
  <c r="O1199" i="1"/>
  <c r="O442" i="1"/>
  <c r="O61" i="1"/>
  <c r="O941" i="1"/>
  <c r="O978" i="1"/>
  <c r="O1186" i="1"/>
  <c r="O849" i="1"/>
  <c r="O871" i="1"/>
  <c r="O243" i="1"/>
  <c r="O836" i="1"/>
  <c r="O765" i="1"/>
  <c r="O327" i="1"/>
  <c r="O1044" i="1"/>
  <c r="O362" i="1"/>
  <c r="O842" i="1"/>
  <c r="O462" i="1"/>
  <c r="O412" i="1"/>
  <c r="O725" i="1"/>
  <c r="O855" i="1"/>
  <c r="O360" i="1"/>
  <c r="O852" i="1"/>
  <c r="O665" i="1"/>
  <c r="O996" i="1"/>
  <c r="O334" i="1"/>
  <c r="O732" i="1"/>
  <c r="O1013" i="1"/>
  <c r="O420" i="1"/>
  <c r="O495" i="1"/>
  <c r="O218" i="1"/>
  <c r="O793" i="1"/>
  <c r="O78" i="1"/>
  <c r="O828" i="1"/>
  <c r="O1193" i="1"/>
  <c r="O81" i="1"/>
  <c r="O876" i="1"/>
  <c r="O669" i="1"/>
  <c r="O819" i="1"/>
  <c r="O174" i="1"/>
  <c r="O1048" i="1"/>
  <c r="O109" i="1"/>
  <c r="O733" i="1"/>
  <c r="O30" i="1"/>
  <c r="O151" i="1"/>
  <c r="O388" i="1"/>
  <c r="O757" i="1"/>
  <c r="O16" i="1"/>
  <c r="O195" i="1"/>
  <c r="O499" i="1"/>
  <c r="O1074" i="1"/>
  <c r="O465" i="1"/>
  <c r="O1063" i="1"/>
  <c r="O79" i="1"/>
  <c r="O873" i="1"/>
  <c r="O329" i="1"/>
  <c r="O225" i="1"/>
  <c r="O249" i="1"/>
  <c r="O653" i="1"/>
  <c r="O1121" i="1"/>
  <c r="O967" i="1"/>
  <c r="O238" i="1"/>
  <c r="O846" i="1"/>
  <c r="O318" i="1"/>
  <c r="O1162" i="1"/>
  <c r="O699" i="1"/>
  <c r="O154" i="1"/>
  <c r="O782" i="1"/>
  <c r="O518" i="1"/>
  <c r="O102" i="1"/>
  <c r="O1201" i="1"/>
  <c r="O113" i="1"/>
  <c r="O623" i="1"/>
  <c r="O568" i="1"/>
  <c r="O172" i="1"/>
  <c r="O395" i="1"/>
  <c r="O112" i="1"/>
  <c r="O107" i="1"/>
  <c r="O1182" i="1"/>
  <c r="O397" i="1"/>
  <c r="O680" i="1"/>
  <c r="O685" i="1"/>
  <c r="O922" i="1"/>
  <c r="O1132" i="1"/>
  <c r="O205" i="1"/>
  <c r="O222" i="1"/>
  <c r="O142" i="1"/>
  <c r="O177" i="1"/>
  <c r="O403" i="1"/>
  <c r="O774" i="1"/>
  <c r="O1064" i="1"/>
  <c r="O319" i="1"/>
  <c r="O228" i="1"/>
  <c r="O1017" i="1"/>
  <c r="O766" i="1"/>
  <c r="O930" i="1"/>
  <c r="O626" i="1"/>
  <c r="O710" i="1"/>
  <c r="O507" i="1"/>
  <c r="O370" i="1"/>
  <c r="O790" i="1"/>
  <c r="O492" i="1"/>
  <c r="O1036" i="1"/>
  <c r="O738" i="1"/>
  <c r="O1018" i="1"/>
  <c r="O806" i="1"/>
  <c r="O130" i="1"/>
  <c r="O68" i="1"/>
  <c r="O1134" i="1"/>
  <c r="O865" i="1"/>
  <c r="O973" i="1"/>
  <c r="O740" i="1"/>
  <c r="O783" i="1"/>
  <c r="O75" i="1"/>
  <c r="O46" i="1"/>
  <c r="O433" i="1"/>
  <c r="O952" i="1"/>
  <c r="O1171" i="1"/>
  <c r="O314" i="1"/>
  <c r="O281" i="1"/>
  <c r="O692" i="1"/>
  <c r="O148" i="1"/>
  <c r="O564" i="1"/>
  <c r="O825" i="1"/>
  <c r="O404" i="1"/>
  <c r="O1052" i="1"/>
  <c r="O717" i="1"/>
  <c r="O519" i="1"/>
  <c r="O273" i="1"/>
  <c r="O297" i="1"/>
  <c r="O405" i="1"/>
  <c r="O136" i="1"/>
  <c r="O964" i="1"/>
  <c r="O301" i="1"/>
  <c r="O342" i="1"/>
  <c r="O1002" i="1"/>
  <c r="O867" i="1"/>
  <c r="O461" i="1"/>
  <c r="O837" i="1"/>
  <c r="O315" i="1"/>
  <c r="O155" i="1"/>
  <c r="O833" i="1"/>
  <c r="O17" i="1"/>
  <c r="O424" i="1"/>
  <c r="O294" i="1"/>
  <c r="O1175" i="1"/>
  <c r="O132" i="1"/>
  <c r="O373" i="1"/>
  <c r="O756" i="1"/>
  <c r="O445" i="1"/>
  <c r="O593" i="1"/>
  <c r="O390" i="1"/>
  <c r="O800" i="1"/>
  <c r="O1163" i="1"/>
  <c r="O1012" i="1"/>
  <c r="O574" i="1"/>
  <c r="O1177" i="1"/>
  <c r="O447" i="1"/>
  <c r="O734" i="1"/>
  <c r="O580" i="1"/>
  <c r="O271" i="1"/>
  <c r="O804" i="1"/>
  <c r="O229" i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<sst xmlns="http://schemas.openxmlformats.org/spreadsheetml/2006/main" count="26439" uniqueCount="4292">
  <si>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</si>
  <si>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</si>
  <si>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</si>
  <si>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</si>
  <si>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</si>
  <si>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</si>
  <si>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</si>
  <si>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</si>
  <si>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</si>
  <si>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</si>
  <si>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</si>
  <si>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</si>
  <si>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</si>
  <si>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</si>
  <si>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</si>
  <si>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</si>
  <si>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</si>
  <si>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</si>
  <si>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</si>
  <si>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</si>
  <si>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</si>
  <si>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</si>
  <si>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</si>
  <si>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</si>
  <si>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</si>
  <si>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</si>
  <si>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</si>
  <si>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</si>
  <si>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</si>
  <si>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</si>
  <si>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</si>
  <si>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</si>
  <si>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</si>
  <si>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</si>
  <si>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</si>
  <si>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</si>
  <si>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</si>
  <si>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</si>
  <si>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</si>
  <si>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</si>
  <si>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</si>
  <si>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</si>
  <si>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</si>
  <si>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</si>
  <si>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</si>
  <si>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</si>
  <si>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</si>
  <si>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</si>
  <si>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</si>
  <si>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</si>
  <si>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</si>
  <si>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</si>
  <si>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</si>
  <si>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</si>
  <si>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</si>
  <si>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</si>
  <si>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</si>
  <si>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</si>
  <si>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</si>
  <si>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</si>
  <si>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</si>
  <si>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</si>
  <si>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</si>
  <si>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</si>
  <si>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</si>
  <si>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</si>
  <si>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</si>
  <si>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</si>
  <si>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</si>
  <si>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</si>
  <si>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</si>
  <si>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</si>
  <si>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</si>
  <si>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</si>
  <si>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</si>
  <si>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</si>
  <si>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</si>
  <si>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</si>
  <si>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</si>
  <si>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</si>
  <si>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</si>
  <si>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</si>
  <si>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</si>
  <si>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</si>
  <si>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</si>
  <si>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</si>
  <si>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</si>
  <si>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</si>
  <si>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</si>
  <si>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</si>
  <si>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</si>
  <si>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</si>
  <si>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</si>
  <si>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</si>
  <si>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</si>
  <si>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</si>
  <si>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</si>
  <si>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</si>
  <si>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</si>
  <si>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</si>
  <si>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</si>
  <si>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</si>
  <si>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</si>
  <si>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</si>
  <si>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</si>
  <si>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</si>
  <si>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</si>
  <si>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</si>
  <si>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</si>
  <si>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</si>
  <si>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</si>
  <si>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</si>
  <si>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</si>
  <si>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</si>
  <si>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</si>
  <si>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</si>
  <si>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</si>
  <si>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</si>
  <si>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</si>
  <si>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</si>
  <si>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</si>
  <si>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</si>
  <si>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</si>
  <si>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</si>
  <si>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</si>
  <si>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</si>
  <si>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</si>
  <si>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</si>
  <si>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</si>
  <si>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</si>
  <si>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</si>
  <si>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</si>
  <si>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</si>
  <si>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</si>
  <si>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</si>
  <si>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</si>
  <si>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</si>
  <si>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</si>
  <si>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</si>
  <si>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</si>
  <si>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</si>
  <si>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</si>
  <si>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</si>
  <si>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</si>
  <si>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</si>
  <si>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</si>
  <si>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</si>
  <si>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</si>
  <si>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</si>
  <si>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</si>
  <si>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</si>
  <si>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</si>
  <si>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</si>
  <si>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</si>
  <si>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</si>
  <si>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</si>
  <si>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</si>
  <si>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</si>
  <si>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</si>
  <si>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</si>
  <si>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</si>
  <si>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</si>
  <si>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</si>
  <si>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</si>
  <si>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</si>
  <si>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</si>
  <si>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</si>
  <si>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</si>
  <si>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</si>
  <si>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</si>
  <si>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</si>
  <si>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</si>
  <si>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</si>
  <si>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</si>
  <si>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</si>
  <si>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</si>
  <si>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</si>
  <si>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</si>
  <si>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</si>
  <si>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</si>
  <si>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</si>
  <si>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</si>
  <si>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</si>
  <si>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</si>
  <si>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</si>
  <si>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</si>
  <si>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</si>
  <si>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</si>
  <si>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</si>
  <si>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</si>
  <si>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</si>
  <si>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</si>
  <si>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</si>
  <si>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</si>
  <si>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</si>
  <si>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</si>
  <si>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</si>
  <si>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</si>
  <si>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</si>
  <si>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</si>
  <si>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</si>
  <si>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</si>
  <si>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</si>
  <si>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</si>
  <si>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</si>
  <si>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</si>
  <si>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</si>
  <si>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</si>
  <si>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</si>
  <si>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</si>
  <si>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</si>
  <si>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</si>
  <si>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</si>
  <si>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</si>
  <si>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</si>
  <si>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</si>
  <si>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</si>
  <si>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</si>
  <si>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</si>
  <si>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</si>
  <si>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</si>
  <si>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</si>
  <si>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</si>
  <si>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</si>
  <si>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</si>
  <si>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</si>
  <si>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</si>
  <si>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</si>
  <si>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</si>
  <si>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</si>
  <si>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</si>
  <si>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</si>
  <si>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</si>
  <si>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</si>
  <si>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</si>
  <si>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</si>
  <si>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</si>
  <si>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</si>
  <si>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</si>
  <si>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</si>
  <si>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</si>
  <si>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</si>
  <si>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</si>
  <si>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</si>
  <si>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</si>
  <si>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</si>
  <si>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</si>
  <si>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</si>
  <si>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</si>
  <si>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</si>
  <si>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</si>
  <si>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</si>
  <si>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</si>
  <si>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</si>
  <si>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</si>
  <si>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</si>
  <si>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</si>
  <si>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</si>
  <si>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</si>
  <si>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</si>
  <si>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</si>
  <si>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</si>
  <si>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</si>
  <si>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</si>
  <si>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</si>
  <si>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</si>
  <si>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</si>
  <si>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</si>
  <si>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</si>
  <si>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</si>
  <si>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</si>
  <si>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</si>
  <si>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</si>
  <si>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</si>
  <si>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</si>
  <si>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</si>
  <si>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</si>
  <si>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</si>
  <si>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</si>
  <si>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</si>
  <si>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</si>
  <si>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</si>
  <si>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</si>
  <si>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</si>
  <si>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</si>
  <si>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</si>
  <si>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</si>
  <si>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</si>
  <si>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</si>
  <si>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</si>
  <si>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</si>
  <si>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</si>
  <si>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</si>
  <si>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</si>
  <si>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</si>
  <si>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</si>
  <si>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</si>
  <si>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</si>
  <si>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</si>
  <si>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</si>
  <si>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</si>
  <si>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</si>
  <si>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</si>
  <si>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</si>
  <si>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</si>
  <si>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</si>
  <si>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</si>
  <si>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</si>
  <si>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</si>
  <si>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</si>
  <si>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</si>
  <si>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</si>
  <si>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</si>
  <si>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</si>
  <si>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</si>
  <si>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</si>
  <si>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</si>
  <si>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</si>
  <si>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</si>
  <si>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</si>
  <si>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</si>
  <si>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</si>
  <si>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</si>
  <si>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</si>
  <si>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</si>
  <si>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</si>
  <si>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</si>
  <si>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</si>
  <si>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</si>
  <si>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</si>
  <si>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</si>
  <si>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</si>
  <si>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</si>
  <si>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</si>
  <si>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</si>
  <si>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</si>
  <si>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</si>
  <si>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</si>
  <si>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</si>
  <si>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</si>
  <si>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</si>
  <si>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</si>
  <si>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</si>
  <si>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</si>
  <si>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</si>
  <si>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</si>
  <si>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</si>
  <si>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</si>
  <si>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</si>
  <si>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</si>
  <si>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</si>
  <si>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</si>
  <si>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</si>
  <si>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</si>
  <si>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</si>
  <si>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</si>
  <si>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</si>
  <si>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</si>
  <si>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</si>
  <si>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</si>
  <si>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</si>
  <si>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</si>
  <si>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</si>
  <si>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</si>
  <si>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</si>
  <si>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</si>
  <si>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</si>
  <si>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</si>
  <si>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</si>
  <si>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</si>
  <si>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</si>
  <si>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</si>
  <si>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</si>
  <si>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</si>
  <si>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</si>
  <si>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</si>
  <si>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</si>
  <si>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</si>
  <si>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</si>
  <si>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</si>
  <si>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</si>
  <si>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</si>
  <si>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</si>
  <si>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</si>
  <si>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</si>
  <si>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</si>
  <si>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</si>
  <si>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</si>
  <si>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</si>
  <si>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</si>
  <si>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</si>
  <si>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</si>
  <si>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</si>
  <si>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</si>
  <si>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</si>
  <si>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</si>
  <si>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</si>
  <si>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</si>
  <si>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</si>
  <si>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</si>
  <si>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</si>
  <si>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</si>
  <si>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</si>
  <si>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</si>
  <si>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</si>
  <si>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</si>
  <si>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</si>
  <si>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</si>
  <si>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</si>
  <si>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</si>
  <si>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</si>
  <si>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</si>
  <si>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</si>
  <si>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</si>
  <si>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</si>
  <si>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</si>
  <si>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</si>
  <si>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</si>
  <si>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</si>
  <si>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</si>
  <si>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</si>
  <si>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</si>
  <si>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</si>
  <si>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</si>
  <si>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</si>
  <si>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</si>
  <si>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</si>
  <si>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</si>
  <si>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</si>
  <si>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</si>
  <si>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</si>
  <si>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</si>
  <si>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</si>
  <si>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</si>
  <si>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</si>
  <si>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</si>
  <si>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</si>
  <si>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</si>
  <si>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</si>
  <si>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</si>
  <si>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</si>
  <si>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</si>
  <si>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</si>
  <si>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</si>
  <si>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</si>
  <si>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</si>
  <si>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</si>
  <si>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</si>
  <si>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</si>
  <si>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</si>
  <si>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</si>
  <si>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</si>
  <si>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</si>
  <si>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</si>
  <si>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</si>
  <si>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</si>
  <si>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</si>
  <si>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</si>
  <si>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</si>
  <si>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</si>
  <si>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</si>
  <si>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</si>
  <si>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</si>
  <si>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</si>
  <si>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</si>
  <si>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</si>
  <si>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</si>
  <si>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</si>
  <si>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</si>
  <si>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</si>
  <si>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</si>
  <si>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</si>
  <si>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</si>
  <si>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</si>
  <si>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</si>
  <si>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</si>
  <si>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</si>
  <si>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</si>
  <si>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</si>
  <si>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</si>
  <si>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</si>
  <si>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</si>
  <si>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</si>
  <si>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</si>
  <si>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</si>
  <si>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</si>
  <si>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</si>
  <si>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</si>
  <si>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</si>
  <si>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</si>
  <si>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</si>
  <si>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</si>
  <si>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</si>
  <si>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</si>
  <si>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</si>
  <si>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</si>
  <si>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</si>
  <si>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</si>
  <si>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</si>
  <si>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</si>
  <si>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</si>
  <si>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</si>
  <si>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</si>
  <si>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</si>
  <si>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</si>
  <si>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</si>
  <si>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</si>
  <si>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</si>
  <si>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</si>
  <si>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</si>
  <si>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</si>
  <si>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</si>
  <si>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</si>
  <si>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</si>
  <si>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</si>
  <si>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</si>
  <si>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</si>
  <si>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</si>
  <si>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</si>
  <si>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</si>
  <si>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</si>
  <si>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</si>
  <si>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</si>
  <si>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</si>
  <si>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</si>
  <si>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</si>
  <si>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</si>
  <si>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</si>
  <si>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</si>
  <si>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</si>
  <si>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</si>
  <si>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</si>
  <si>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</si>
  <si>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</si>
  <si>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</si>
  <si>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</si>
  <si>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</si>
  <si>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</si>
  <si>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</si>
  <si>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</si>
  <si>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</si>
  <si>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</si>
  <si>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</si>
  <si>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</si>
  <si>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</si>
  <si>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</si>
  <si>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</si>
  <si>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</si>
  <si>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</si>
  <si>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</si>
  <si>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</si>
  <si>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</si>
  <si>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</si>
  <si>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</si>
  <si>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</si>
  <si>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</si>
  <si>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</si>
  <si>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</si>
  <si>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</si>
  <si>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</si>
  <si>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</si>
  <si>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</si>
  <si>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</si>
  <si>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</si>
  <si>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</si>
  <si>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</si>
  <si>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</si>
  <si>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</si>
  <si>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</si>
  <si>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</si>
  <si>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</si>
  <si>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</si>
  <si>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</si>
  <si>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</si>
  <si>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</si>
  <si>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</si>
  <si>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</si>
  <si>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</si>
  <si>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</si>
  <si>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</si>
  <si>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</si>
  <si>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</si>
  <si>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</si>
  <si>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</si>
  <si>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</si>
  <si>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</si>
  <si>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</si>
  <si>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</si>
  <si>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</si>
  <si>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</si>
  <si>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</si>
  <si>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</si>
  <si>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</si>
  <si>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</si>
  <si>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</si>
  <si>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</si>
  <si>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</si>
  <si>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</si>
  <si>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</si>
  <si>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</si>
  <si>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</si>
  <si>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</si>
  <si>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</si>
  <si>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</si>
  <si>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</si>
  <si>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</si>
  <si>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</si>
  <si>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</si>
  <si>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</si>
  <si>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</si>
  <si>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</si>
  <si>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</si>
  <si>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</si>
  <si>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</si>
  <si>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</si>
  <si>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</si>
  <si>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</si>
  <si>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</si>
  <si>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</si>
  <si>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</si>
  <si>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</si>
  <si>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</si>
  <si>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</si>
  <si>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</si>
  <si>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</si>
  <si>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</si>
  <si>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</si>
  <si>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</si>
  <si>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</si>
  <si>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</si>
  <si>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</si>
  <si>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</si>
  <si>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</si>
  <si>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</si>
  <si>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</si>
  <si>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</si>
  <si>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</si>
  <si>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</si>
  <si>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</si>
  <si>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</si>
  <si>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</si>
  <si>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</si>
  <si>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</si>
  <si>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</si>
  <si>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</si>
  <si>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</si>
  <si>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</si>
  <si>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</si>
  <si>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</si>
  <si>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</si>
  <si>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</si>
  <si>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</si>
  <si>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</si>
  <si>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</si>
  <si>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</si>
  <si>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</si>
  <si>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</si>
  <si>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</si>
  <si>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</si>
  <si>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</si>
  <si>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</si>
  <si>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</si>
  <si>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</si>
  <si>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</si>
  <si>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</si>
  <si>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</si>
  <si>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</si>
  <si>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</si>
  <si>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</si>
  <si>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</si>
  <si>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</si>
  <si>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</si>
  <si>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</si>
  <si>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</si>
  <si>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</si>
  <si>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</si>
  <si>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</si>
  <si>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</si>
  <si>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</si>
  <si>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</si>
  <si>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</si>
  <si>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</si>
  <si>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</si>
  <si>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</si>
  <si>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</si>
  <si>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</si>
  <si>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</si>
  <si>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</si>
  <si>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</si>
  <si>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</si>
  <si>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</si>
  <si>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</si>
  <si>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</si>
  <si>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</si>
  <si>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</si>
  <si>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</si>
  <si>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</si>
  <si>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</si>
  <si>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</si>
  <si>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</si>
  <si>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</si>
  <si>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</si>
  <si>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</si>
  <si>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</si>
  <si>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</si>
  <si>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</si>
  <si>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</si>
  <si>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</si>
  <si>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</si>
  <si>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</si>
  <si>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</si>
  <si>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</si>
  <si>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</si>
  <si>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</si>
  <si>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</si>
  <si>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</si>
  <si>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</si>
  <si>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</si>
  <si>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</si>
  <si>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</si>
  <si>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</si>
  <si>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</si>
  <si>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</si>
  <si>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</si>
  <si>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</si>
  <si>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</si>
  <si>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</si>
  <si>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</si>
  <si>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</si>
  <si>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</si>
  <si>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</si>
  <si>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</si>
  <si>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</si>
  <si>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</si>
  <si>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</si>
  <si>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</si>
  <si>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</si>
  <si>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</si>
  <si>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</si>
  <si>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</si>
  <si>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</si>
  <si>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</si>
  <si>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</si>
  <si>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</si>
  <si>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</si>
  <si>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</si>
  <si>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</si>
  <si>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</si>
  <si>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</si>
  <si>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</si>
  <si>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</si>
  <si>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</si>
  <si>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</si>
  <si>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</si>
  <si>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</si>
  <si>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</si>
  <si>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</si>
  <si>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</si>
  <si>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</si>
  <si>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</si>
  <si>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</si>
  <si>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</si>
  <si>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</si>
  <si>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</si>
  <si>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</si>
  <si>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</si>
  <si>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</si>
  <si>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</si>
  <si>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</si>
  <si>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</si>
  <si>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</si>
  <si>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</si>
  <si>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</si>
  <si>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</si>
  <si>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</si>
  <si>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</si>
  <si>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</si>
  <si>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</si>
  <si>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</si>
  <si>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</si>
  <si>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</si>
  <si>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</si>
  <si>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</si>
  <si>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</si>
  <si>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</si>
  <si>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</si>
  <si>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</si>
  <si>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</si>
  <si>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</si>
  <si>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</si>
  <si>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</si>
  <si>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</si>
  <si>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</si>
  <si>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</si>
  <si>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</si>
  <si>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</si>
  <si>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</si>
  <si>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</si>
  <si>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</si>
  <si>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</si>
  <si>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</si>
  <si>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</si>
  <si>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</si>
  <si>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</si>
  <si>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</si>
  <si>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</si>
  <si>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</si>
  <si>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</si>
  <si>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</si>
  <si>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</si>
  <si>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</si>
  <si>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</si>
  <si>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</si>
  <si>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</si>
  <si>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</si>
  <si>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</si>
  <si>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</si>
  <si>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</si>
  <si>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</si>
  <si>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</si>
  <si>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</si>
  <si>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</si>
  <si>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</si>
  <si>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</si>
  <si>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</si>
  <si>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</si>
  <si>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</si>
  <si>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</si>
  <si>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</si>
  <si>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</si>
  <si>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</si>
  <si>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</si>
  <si>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</si>
  <si>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</si>
  <si>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</si>
  <si>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</si>
  <si>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</si>
  <si>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</si>
  <si>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</si>
  <si>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</si>
  <si>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</si>
  <si>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</si>
  <si>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</si>
  <si>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</si>
  <si>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</si>
  <si>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</si>
  <si>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</si>
  <si>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</si>
  <si>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</si>
  <si>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</si>
  <si>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</si>
  <si>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</si>
  <si>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</si>
  <si>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</si>
  <si>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</si>
  <si>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</si>
  <si>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</si>
  <si>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</si>
  <si>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</si>
  <si>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</si>
  <si>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</si>
  <si>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</si>
  <si>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</si>
  <si>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</si>
  <si>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</si>
  <si>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</si>
  <si>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</si>
  <si>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</si>
  <si>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</si>
  <si>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</si>
  <si>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</si>
  <si>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</si>
  <si>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</si>
  <si>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</si>
  <si>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</si>
  <si>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</si>
  <si>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</si>
  <si>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</si>
  <si>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</si>
  <si>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</si>
  <si>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</si>
  <si>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</si>
  <si>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</si>
  <si>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</si>
  <si>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</si>
  <si>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</si>
  <si>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</si>
  <si>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</si>
  <si>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</si>
  <si>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</si>
  <si>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</si>
  <si>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</si>
  <si>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</si>
  <si>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</si>
  <si>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</si>
  <si>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</si>
  <si>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</si>
  <si>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</si>
  <si>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</si>
  <si>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</si>
  <si>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</si>
  <si>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</si>
  <si>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</si>
  <si>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</si>
  <si>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</si>
  <si>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</si>
  <si>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</si>
  <si>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</si>
  <si>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</si>
  <si>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</si>
  <si>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</si>
  <si>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</si>
  <si>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</si>
  <si>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</si>
  <si>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</si>
  <si>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</si>
  <si>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</si>
  <si>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</si>
  <si>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</si>
  <si>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</si>
  <si>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</si>
  <si>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</si>
  <si>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</si>
  <si>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</si>
  <si>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</si>
  <si>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</si>
  <si>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</si>
  <si>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</si>
  <si>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</si>
  <si>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</si>
  <si>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</si>
  <si>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</si>
  <si>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</si>
  <si>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</si>
  <si>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</si>
  <si>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</si>
  <si>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</si>
  <si>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</si>
  <si>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</si>
  <si>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</si>
  <si>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</si>
  <si>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</si>
  <si>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</si>
  <si>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</si>
  <si>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</si>
  <si>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</si>
  <si>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</si>
  <si>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</si>
  <si>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</si>
  <si>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</si>
  <si>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</si>
  <si>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</si>
  <si>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</si>
  <si>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</si>
  <si>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</si>
  <si>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</si>
  <si>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</si>
  <si>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</si>
  <si>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</si>
  <si>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</si>
  <si>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</si>
  <si>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</si>
  <si>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</si>
  <si>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</si>
  <si>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</si>
  <si>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</si>
  <si>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</si>
  <si>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</si>
  <si>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</si>
  <si>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</si>
  <si>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</si>
  <si>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</si>
  <si>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</si>
  <si>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</si>
  <si>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</si>
  <si>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</si>
  <si>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</si>
  <si>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</si>
  <si>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</si>
  <si>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</si>
  <si>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</si>
  <si>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</si>
  <si>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</si>
  <si>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</si>
  <si>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</si>
  <si>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</si>
  <si>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</si>
  <si>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</si>
  <si>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</si>
  <si>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</si>
  <si>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</si>
  <si>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</si>
  <si>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</si>
  <si>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</si>
  <si>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</si>
  <si>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</si>
  <si>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</si>
  <si>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</si>
  <si>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</si>
  <si>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</si>
  <si>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</si>
  <si>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</si>
  <si>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</si>
  <si>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</si>
  <si>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</si>
  <si>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</si>
  <si>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</si>
  <si>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</si>
  <si>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</si>
  <si>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</si>
  <si>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</si>
  <si>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</si>
  <si>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</si>
  <si>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</si>
  <si>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</si>
  <si>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</si>
  <si>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</si>
  <si>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</si>
  <si>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</si>
  <si>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</si>
  <si>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</si>
  <si>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</si>
  <si>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</si>
  <si>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</si>
  <si>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</si>
  <si>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</si>
  <si>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</si>
  <si>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</si>
  <si>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</si>
  <si>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</si>
  <si>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</si>
  <si>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</si>
  <si>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</si>
  <si>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</si>
  <si>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</si>
  <si>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</si>
  <si>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</si>
  <si>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</si>
  <si>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</si>
  <si>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</si>
  <si>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</si>
  <si>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</si>
  <si>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</si>
  <si>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</si>
  <si>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</si>
  <si>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</si>
  <si>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</si>
  <si>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</si>
  <si>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</si>
  <si>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</si>
  <si>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</si>
  <si>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</si>
  <si>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</si>
  <si>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</si>
  <si>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</si>
  <si>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</si>
  <si>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</si>
  <si>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</si>
  <si>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</si>
  <si>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</si>
  <si>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</si>
  <si>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</si>
  <si>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</si>
  <si>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</si>
  <si>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</si>
  <si>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</si>
  <si>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</si>
  <si>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</si>
  <si>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</si>
  <si>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</si>
  <si>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</si>
  <si>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</si>
  <si>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</si>
  <si>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</si>
  <si>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</si>
  <si>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</si>
  <si>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</si>
  <si>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</si>
  <si>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</si>
  <si>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</si>
  <si>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</si>
  <si>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</si>
  <si>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</si>
  <si>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</si>
  <si>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</si>
  <si>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</si>
  <si>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</si>
  <si>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</si>
  <si>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</si>
  <si>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</si>
  <si>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</si>
  <si>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</si>
  <si>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</si>
  <si>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</si>
  <si>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</si>
  <si>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</si>
  <si>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</si>
  <si>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</si>
  <si>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</si>
  <si>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</si>
  <si>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</si>
  <si>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</si>
  <si>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</si>
  <si>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</si>
  <si>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</si>
  <si>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</si>
  <si>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</si>
  <si>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</si>
  <si>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</si>
  <si>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</si>
  <si>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</si>
  <si>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</si>
  <si>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</si>
  <si>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</si>
  <si>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</si>
  <si>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</si>
  <si>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</si>
  <si>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</si>
  <si>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</si>
  <si>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</si>
  <si>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</si>
  <si>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</si>
  <si>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</si>
  <si>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</si>
  <si>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</si>
  <si>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</si>
  <si>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</si>
  <si>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</si>
  <si>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</si>
  <si>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</si>
  <si>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</si>
  <si>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</si>
  <si>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</si>
  <si>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</si>
  <si>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</si>
  <si>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</si>
  <si>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</si>
  <si>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</si>
  <si>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</si>
  <si>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</si>
  <si>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</si>
  <si>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</si>
  <si>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</si>
  <si>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</si>
  <si>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</si>
  <si>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</si>
  <si>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</si>
  <si>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</si>
  <si>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</si>
  <si>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</si>
  <si>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</si>
  <si>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</si>
  <si>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</si>
  <si>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</si>
  <si>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</si>
  <si>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</si>
  <si>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</si>
  <si>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</si>
  <si>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</si>
  <si>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</si>
  <si>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</si>
  <si>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</si>
  <si>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</si>
  <si>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</si>
  <si>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</si>
  <si>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</si>
  <si>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</si>
  <si>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</si>
  <si>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</si>
  <si>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</si>
  <si>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</si>
  <si>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</si>
  <si>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</si>
  <si>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</si>
  <si>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</si>
  <si>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</si>
  <si>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</si>
  <si>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</si>
  <si>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</si>
  <si>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</si>
  <si>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</si>
  <si>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</si>
  <si>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</si>
  <si>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</si>
  <si>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</si>
  <si>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</si>
  <si>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</si>
  <si>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</si>
  <si>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</si>
  <si>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</si>
  <si>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</si>
  <si>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</si>
  <si>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</si>
  <si>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</si>
  <si>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</si>
  <si>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</si>
  <si>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</si>
  <si>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</si>
  <si>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</si>
  <si>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</si>
  <si>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</si>
  <si>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</si>
  <si>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</si>
  <si>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</si>
  <si>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</si>
  <si>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</si>
  <si>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</si>
  <si>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</si>
  <si>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</si>
  <si>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</si>
  <si>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</si>
  <si>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</si>
  <si>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</si>
  <si>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</si>
  <si>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</si>
  <si>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</si>
  <si>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</si>
  <si>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</si>
  <si>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</si>
  <si>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</si>
  <si>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</si>
  <si>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</si>
  <si>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</si>
  <si>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</si>
  <si>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</si>
  <si>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</si>
  <si>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</si>
  <si>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</si>
  <si>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</si>
  <si>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</si>
  <si>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</si>
  <si>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</si>
  <si>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</si>
  <si>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</si>
  <si>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</si>
  <si>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</si>
  <si>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</si>
  <si>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</si>
  <si>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</si>
  <si>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</si>
  <si>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</si>
  <si>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</si>
  <si>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</si>
  <si>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</si>
  <si>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</si>
  <si>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</si>
  <si>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</si>
  <si>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</si>
  <si>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</si>
  <si>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</si>
  <si>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</si>
  <si>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</si>
  <si>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</si>
  <si>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</si>
  <si>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</si>
  <si>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</si>
  <si>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</si>
  <si>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</si>
  <si>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</si>
  <si>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</si>
  <si>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</si>
  <si>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</si>
  <si>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</si>
  <si>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</si>
  <si>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</si>
  <si>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</si>
  <si>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</si>
  <si>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</si>
  <si>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</si>
  <si>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</si>
  <si>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</si>
  <si>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</si>
  <si>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</si>
  <si>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</si>
  <si>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</si>
  <si>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</si>
  <si>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</si>
  <si>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</si>
  <si>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</si>
  <si>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</si>
  <si>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</si>
  <si>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</si>
  <si>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</si>
  <si>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</si>
  <si>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</si>
  <si>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</si>
  <si>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</si>
  <si>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</si>
  <si>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</si>
  <si>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</si>
  <si>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</si>
  <si>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</si>
  <si>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</si>
  <si>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</si>
  <si>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</si>
  <si>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</si>
  <si>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</si>
  <si>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</si>
  <si>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</si>
  <si>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</si>
  <si>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</si>
  <si>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</si>
  <si>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</si>
  <si>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</si>
  <si>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</si>
  <si>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</si>
  <si>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</si>
  <si>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</si>
  <si>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</si>
  <si>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</si>
  <si>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</si>
  <si>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</si>
  <si>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</si>
  <si>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</si>
  <si>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</si>
  <si>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</si>
  <si>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</si>
  <si>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</si>
  <si>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</si>
  <si>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</si>
  <si>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</si>
  <si>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</si>
  <si>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</si>
  <si>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</si>
  <si>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</si>
  <si>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</si>
  <si>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</si>
  <si>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</si>
  <si>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</si>
  <si>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</si>
  <si>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</si>
  <si>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</si>
  <si>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</si>
  <si>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</si>
  <si>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</si>
  <si>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</si>
  <si>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</si>
  <si>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</si>
  <si>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</si>
  <si>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</si>
  <si>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</si>
  <si>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</si>
  <si>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</si>
  <si>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</si>
  <si>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</si>
  <si>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</si>
  <si>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</si>
  <si>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</si>
  <si>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</si>
  <si>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</si>
  <si>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</si>
  <si>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</si>
  <si>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</si>
  <si>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</si>
  <si>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</si>
  <si>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</si>
  <si>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</si>
  <si>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</si>
  <si>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</si>
  <si>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</si>
  <si>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</si>
  <si>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</si>
  <si>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</si>
  <si>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</si>
  <si>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</si>
  <si>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</si>
  <si>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</si>
  <si>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</si>
  <si>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</si>
  <si>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</si>
  <si>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</si>
  <si>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</si>
  <si>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</si>
  <si>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</si>
  <si>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</si>
  <si>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</si>
  <si>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</si>
  <si>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</si>
  <si>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</si>
  <si>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</si>
  <si>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</si>
  <si>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</si>
  <si>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</si>
  <si>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</si>
  <si>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</si>
  <si>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</si>
  <si>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</si>
  <si>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</si>
  <si>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</si>
  <si>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</si>
  <si>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</si>
  <si>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</si>
  <si>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</si>
  <si>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</si>
  <si>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</si>
  <si>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</si>
  <si>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</si>
  <si>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</si>
  <si>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</si>
  <si>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</si>
  <si>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</si>
  <si>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</si>
  <si>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</si>
  <si>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</si>
  <si>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</si>
  <si>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</si>
  <si>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</si>
  <si>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</si>
  <si>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</si>
  <si>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</si>
  <si>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</si>
  <si>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</si>
  <si>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</si>
  <si>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</si>
  <si>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</si>
  <si>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</si>
  <si>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</si>
  <si>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</si>
  <si>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</si>
  <si>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</si>
  <si>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</si>
  <si>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</si>
  <si>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</si>
  <si>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</si>
  <si>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</si>
  <si>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</si>
  <si>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</si>
  <si>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</si>
  <si>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</si>
  <si>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</si>
  <si>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</si>
  <si>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</si>
  <si>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</si>
  <si>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</si>
  <si>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</si>
  <si>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</si>
  <si>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</si>
  <si>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</si>
  <si>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</si>
  <si>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</si>
  <si>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</si>
  <si>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</si>
  <si>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</si>
  <si>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</si>
  <si>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</si>
  <si>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</si>
  <si>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</si>
  <si>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</si>
  <si>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</si>
  <si>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</si>
  <si>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</si>
  <si>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</si>
  <si>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</si>
  <si>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</si>
  <si>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</si>
  <si>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</si>
  <si>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</si>
  <si>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</si>
  <si>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</si>
  <si>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</si>
  <si>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</si>
  <si>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</si>
  <si>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</si>
  <si>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</si>
  <si>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</si>
  <si>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</si>
  <si>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</si>
  <si>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</si>
  <si>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</si>
  <si>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</si>
  <si>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</si>
  <si>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</si>
  <si>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</si>
  <si>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</si>
  <si>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</si>
  <si>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</si>
  <si>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</si>
  <si>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</si>
  <si>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</si>
  <si>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</si>
  <si>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</si>
  <si>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</si>
  <si>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</si>
  <si>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</si>
  <si>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</si>
  <si>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</si>
  <si>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</si>
  <si>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</si>
  <si>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</si>
  <si>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</si>
  <si>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</si>
  <si>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</si>
  <si>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</si>
  <si>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</si>
  <si>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</si>
  <si>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</si>
  <si>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</si>
  <si>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</si>
  <si>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</si>
  <si>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</si>
  <si>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</si>
  <si>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</si>
  <si>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</si>
  <si>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</si>
  <si>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</si>
  <si>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</si>
  <si>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</si>
  <si>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</si>
  <si>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</si>
  <si>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</si>
  <si>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</si>
  <si>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</si>
  <si>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</si>
  <si>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</si>
  <si>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</si>
  <si>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</si>
  <si>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</si>
  <si>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</si>
  <si>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</si>
  <si>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</si>
  <si>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</si>
  <si>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</si>
  <si>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</si>
  <si>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</si>
  <si>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</si>
  <si>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</si>
  <si>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</si>
  <si>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</si>
  <si>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</si>
  <si>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</si>
  <si>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</si>
  <si>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</si>
  <si>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</si>
  <si>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</si>
  <si>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</si>
  <si>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</si>
  <si>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</si>
  <si>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</si>
  <si>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</si>
  <si>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</si>
  <si>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</si>
  <si>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</si>
  <si>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</si>
  <si>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</si>
  <si>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</si>
  <si>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</si>
  <si>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</si>
  <si>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</si>
  <si>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</si>
  <si>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</si>
  <si>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</si>
  <si>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</si>
  <si>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</si>
  <si>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</si>
  <si>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</si>
  <si>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</si>
  <si>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</si>
  <si>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</si>
  <si>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</si>
  <si>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</si>
  <si>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</si>
  <si>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</si>
  <si>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</si>
  <si>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</si>
  <si>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</si>
  <si>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</si>
  <si>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</si>
  <si>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</si>
  <si>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</si>
  <si>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</si>
  <si>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</si>
  <si>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</si>
  <si>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</si>
  <si>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</si>
  <si>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</si>
  <si>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</si>
  <si>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</si>
  <si>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</si>
  <si>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</si>
  <si>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</si>
  <si>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</si>
  <si>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</si>
  <si>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</si>
  <si>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</si>
  <si>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</si>
  <si>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</si>
  <si>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</si>
  <si>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</si>
  <si>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</si>
  <si>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</si>
  <si>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</si>
  <si>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</si>
  <si>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</si>
  <si>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</si>
  <si>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</si>
  <si>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</si>
  <si>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</si>
  <si>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</si>
  <si>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</si>
  <si>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</si>
  <si>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</si>
  <si>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</si>
  <si>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</si>
  <si>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</si>
  <si>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</si>
  <si>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</si>
  <si>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</si>
  <si>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</si>
  <si>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</si>
  <si>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</si>
  <si>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</si>
  <si>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</si>
  <si>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</si>
  <si>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</si>
  <si>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</si>
  <si>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</si>
  <si>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</si>
  <si>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</si>
  <si>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</si>
  <si>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</si>
  <si>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</si>
  <si>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</si>
  <si>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</si>
  <si>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</si>
  <si>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</si>
  <si>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</si>
  <si>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</si>
  <si>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</si>
  <si>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</si>
  <si>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</si>
  <si>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</si>
  <si>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</si>
  <si>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</si>
  <si>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</si>
  <si>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</si>
  <si>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</si>
  <si>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</si>
  <si>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</si>
  <si>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</si>
  <si>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</si>
  <si>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</si>
  <si>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</si>
  <si>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</si>
  <si>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</si>
  <si>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</si>
  <si>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</si>
  <si>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</si>
  <si>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</si>
  <si>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</si>
  <si>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</si>
  <si>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</si>
  <si>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</si>
  <si>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</si>
  <si>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</si>
  <si>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</si>
  <si>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</si>
  <si>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</si>
  <si>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</si>
  <si>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</si>
  <si>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</si>
  <si>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</si>
  <si>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</si>
  <si>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</si>
  <si>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</si>
  <si>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</si>
  <si>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</si>
  <si>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</si>
  <si>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</si>
  <si>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</si>
  <si>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</si>
  <si>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</si>
  <si>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</si>
  <si>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</si>
  <si>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</si>
  <si>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</si>
  <si>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</si>
  <si>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</si>
  <si>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</si>
  <si>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</si>
  <si>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</si>
  <si>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</si>
  <si>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</si>
  <si>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</si>
  <si>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</si>
  <si>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</si>
  <si>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</si>
  <si>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</si>
  <si>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</si>
  <si>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</si>
  <si>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</si>
  <si>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</si>
  <si>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</si>
  <si>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</si>
  <si>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</si>
  <si>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</si>
  <si>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</si>
  <si>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</si>
  <si>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</si>
  <si>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</si>
  <si>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</si>
  <si>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</si>
  <si>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</si>
  <si>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</si>
  <si>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</si>
  <si>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</si>
  <si>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</si>
  <si>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</si>
  <si>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</si>
  <si>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</si>
  <si>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</si>
  <si>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</si>
  <si>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</si>
  <si>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</si>
  <si>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</si>
  <si>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</si>
  <si>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</si>
  <si>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</si>
  <si>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</si>
  <si>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</si>
  <si>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</si>
  <si>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</si>
  <si>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</si>
  <si>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</si>
  <si>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</si>
  <si>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</si>
  <si>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</si>
  <si>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</si>
  <si>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</si>
  <si>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</si>
  <si>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</si>
  <si>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</si>
  <si>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</si>
  <si>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</si>
  <si>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</si>
  <si>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</si>
  <si>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</si>
  <si>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</si>
  <si>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</si>
  <si>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</si>
  <si>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</si>
  <si>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</si>
  <si>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</si>
  <si>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</si>
  <si>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</si>
  <si>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</si>
  <si>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</si>
  <si>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</si>
  <si>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</si>
  <si>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</si>
  <si>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</si>
  <si>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</si>
  <si>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</si>
  <si>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</si>
  <si>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</si>
  <si>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</si>
  <si>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</si>
  <si>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</si>
  <si>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</si>
  <si>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</si>
  <si>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</si>
  <si>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</si>
  <si>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</si>
  <si>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</si>
  <si>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</si>
  <si>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</si>
  <si>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</si>
  <si>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</si>
  <si>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</si>
  <si>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</si>
  <si>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</si>
  <si>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</si>
  <si>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</si>
  <si>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</si>
  <si>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</si>
  <si>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</si>
  <si>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</si>
  <si>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</si>
  <si>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</si>
  <si>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</si>
  <si>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</si>
  <si>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</si>
  <si>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</si>
  <si>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</si>
  <si>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</si>
  <si>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</si>
  <si>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</si>
  <si>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</si>
  <si>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</si>
  <si>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</si>
  <si>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</si>
  <si>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</si>
  <si>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</si>
  <si>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</si>
  <si>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</si>
  <si>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</si>
  <si>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</si>
  <si>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</si>
  <si>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</si>
  <si>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</si>
  <si>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</si>
  <si>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</si>
  <si>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</si>
  <si>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</si>
  <si>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</si>
  <si>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</si>
  <si>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</si>
  <si>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</si>
  <si>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</si>
  <si>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</si>
  <si>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</si>
  <si>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</si>
  <si>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</si>
  <si>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</si>
  <si>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</si>
  <si>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</si>
  <si>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</si>
  <si>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</si>
  <si>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</si>
  <si>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</si>
  <si>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</si>
  <si>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</si>
  <si>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</si>
  <si>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</si>
  <si>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</si>
  <si>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</si>
  <si>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</si>
  <si>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</si>
  <si>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</si>
  <si>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</si>
  <si>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</si>
  <si>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</si>
  <si>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</si>
  <si>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</si>
  <si>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</si>
  <si>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</si>
  <si>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</si>
  <si>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</si>
  <si>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</si>
  <si>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</si>
  <si>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</si>
  <si>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</si>
  <si>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</si>
  <si>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</si>
  <si>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</si>
  <si>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</si>
  <si>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</si>
  <si>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</si>
  <si>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</si>
  <si>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</si>
  <si>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</si>
  <si>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</si>
  <si>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</si>
  <si>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</si>
  <si>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</si>
  <si>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</si>
  <si>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</si>
  <si>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</si>
  <si>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</si>
  <si>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</si>
  <si>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</si>
  <si>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</si>
  <si>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</si>
  <si>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</si>
  <si>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</si>
  <si>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</si>
  <si>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</si>
  <si>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</si>
  <si>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</si>
  <si>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</si>
  <si>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</si>
  <si>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</si>
  <si>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</si>
  <si>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</si>
  <si>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</si>
  <si>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</si>
  <si>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</si>
  <si>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</si>
  <si>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</si>
  <si>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</si>
  <si>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</si>
  <si>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</si>
  <si>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</si>
  <si>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</si>
  <si>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</si>
  <si>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</si>
  <si>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</si>
  <si>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</si>
  <si>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</si>
  <si>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</si>
  <si>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</si>
  <si>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</si>
  <si>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</si>
  <si>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</si>
  <si>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</si>
  <si>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</si>
  <si>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</si>
  <si>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</si>
  <si>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</si>
  <si>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</si>
  <si>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</si>
  <si>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</si>
  <si>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</si>
  <si>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</si>
  <si>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</si>
  <si>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</si>
  <si>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</si>
  <si>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</si>
  <si>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</si>
  <si>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</si>
  <si>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</si>
  <si>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</si>
  <si>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</si>
  <si>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</si>
  <si>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</si>
  <si>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</si>
  <si>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</si>
  <si>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</si>
  <si>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</si>
  <si>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</si>
  <si>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</si>
  <si>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</si>
  <si>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</si>
  <si>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</si>
  <si>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</si>
  <si>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</si>
  <si>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</si>
  <si>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</si>
  <si>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</si>
  <si>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</si>
  <si>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</si>
  <si>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</si>
  <si>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</si>
  <si>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</si>
  <si>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</si>
  <si>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</si>
  <si>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</si>
  <si>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</si>
  <si>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</si>
  <si>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</si>
  <si>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</si>
  <si>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</si>
  <si>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</si>
  <si>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</si>
  <si>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</si>
  <si>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</si>
  <si>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</si>
  <si>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</si>
  <si>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</si>
  <si>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</si>
  <si>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</si>
  <si>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</si>
  <si>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</si>
  <si>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</si>
  <si>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</si>
  <si>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</si>
  <si>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</si>
  <si>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</si>
  <si>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</si>
  <si>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</si>
  <si>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</si>
  <si>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</si>
  <si>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</si>
  <si>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</si>
  <si>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</si>
  <si>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</si>
  <si>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</si>
  <si>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</si>
  <si>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</si>
  <si>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</si>
  <si>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</si>
  <si>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</si>
  <si>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</si>
  <si>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</si>
  <si>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</si>
  <si>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</si>
  <si>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</si>
  <si>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</si>
  <si>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</si>
  <si>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</si>
  <si>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</si>
  <si>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</si>
  <si>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</si>
  <si>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</si>
  <si>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</si>
  <si>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</si>
  <si>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</si>
  <si>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</si>
  <si>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</si>
  <si>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</si>
  <si>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</si>
  <si>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</si>
  <si>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</si>
  <si>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</si>
  <si>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</si>
  <si>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</si>
  <si>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</si>
  <si>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</si>
  <si>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</si>
  <si>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</si>
  <si>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</si>
  <si>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</si>
  <si>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</si>
  <si>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</si>
  <si>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</si>
  <si>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</si>
  <si>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</si>
  <si>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</si>
  <si>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</si>
  <si>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</si>
  <si>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</si>
  <si>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</si>
  <si>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</si>
  <si>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</si>
  <si>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</si>
  <si>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</si>
  <si>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</si>
  <si>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</si>
  <si>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</si>
  <si>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</si>
  <si>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</si>
  <si>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</si>
  <si>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</si>
  <si>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</si>
  <si>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</si>
  <si>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</si>
  <si>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</si>
  <si>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</si>
  <si>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</si>
  <si>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</si>
  <si>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</si>
  <si>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</si>
  <si>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</si>
  <si>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</si>
  <si>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</si>
  <si>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</si>
  <si>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</si>
  <si>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</si>
  <si>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</si>
  <si>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</si>
  <si>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</si>
  <si>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</si>
  <si>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</si>
  <si>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</si>
  <si>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</si>
  <si>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</si>
  <si>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</si>
  <si>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</si>
  <si>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</si>
  <si>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</si>
  <si>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</si>
  <si>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</si>
  <si>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</si>
  <si>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</si>
  <si>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</si>
  <si>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</si>
  <si>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</si>
  <si>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</si>
  <si>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</si>
  <si>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</si>
  <si>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</si>
  <si>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</si>
  <si>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</si>
  <si>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</si>
  <si>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</si>
  <si>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</si>
  <si>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</si>
  <si>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</si>
  <si>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</si>
  <si>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</si>
  <si>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</si>
  <si>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</si>
  <si>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</si>
  <si>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</si>
  <si>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</si>
  <si>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</si>
  <si>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</si>
  <si>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</si>
  <si>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</si>
  <si>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</si>
  <si>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</si>
  <si>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</si>
  <si>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</si>
  <si>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</si>
  <si>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</si>
  <si>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</si>
  <si>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</si>
  <si>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</si>
  <si>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</si>
  <si>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</si>
  <si>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</si>
  <si>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</si>
  <si>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</si>
  <si>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</si>
  <si>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</si>
  <si>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</si>
  <si>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</si>
  <si>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</si>
  <si>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</si>
  <si>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</si>
  <si>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</si>
  <si>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</si>
  <si>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</si>
  <si>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</si>
  <si>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</si>
  <si>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</si>
  <si>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</si>
  <si>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</si>
  <si>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</si>
  <si>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</si>
  <si>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</si>
  <si>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</si>
  <si>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</si>
  <si>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</si>
  <si>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</si>
  <si>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</si>
  <si>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</si>
  <si>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</si>
  <si>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</si>
  <si>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</si>
  <si>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</si>
  <si>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</si>
  <si>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</si>
  <si>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</si>
  <si>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</si>
  <si>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</si>
  <si>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</si>
  <si>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</si>
  <si>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</si>
  <si>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</si>
  <si>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</si>
  <si>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</si>
  <si>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</si>
  <si>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</si>
  <si>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</si>
  <si>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</si>
  <si>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</si>
  <si>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</si>
  <si>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</si>
  <si>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</si>
  <si>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</si>
  <si>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</si>
  <si>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</si>
  <si>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</si>
  <si>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</si>
  <si>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</si>
  <si>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</si>
  <si>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</si>
  <si>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</si>
  <si>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</si>
  <si>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</si>
  <si>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</si>
  <si>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</si>
  <si>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</si>
  <si>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</si>
  <si>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</si>
  <si>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</si>
  <si>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</si>
  <si>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</si>
  <si>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</si>
  <si>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</si>
  <si>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</si>
  <si>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</si>
  <si>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</si>
  <si>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</si>
  <si>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</si>
  <si>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</si>
  <si>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</si>
  <si>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</si>
  <si>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</si>
  <si>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</si>
  <si>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</si>
  <si>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</si>
  <si>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</si>
  <si>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</si>
  <si>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</si>
  <si>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</si>
  <si>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</si>
  <si>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</si>
  <si>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</si>
  <si>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</si>
  <si>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</si>
  <si>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</si>
  <si>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</si>
  <si>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</si>
  <si>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</si>
  <si>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</si>
  <si>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</si>
  <si>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</si>
  <si>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</si>
  <si>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</si>
  <si>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</si>
  <si>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</si>
  <si>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</si>
  <si>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</si>
  <si>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</si>
  <si>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</si>
  <si>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</si>
  <si>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</si>
  <si>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</si>
  <si>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</si>
  <si>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</si>
  <si>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</si>
  <si>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</si>
  <si>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</si>
  <si>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</si>
  <si>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</si>
  <si>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</si>
  <si>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</si>
  <si>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</si>
  <si>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</si>
  <si>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</si>
  <si>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</si>
  <si>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</si>
  <si>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</si>
  <si>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</si>
  <si>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</si>
  <si>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</si>
  <si>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</si>
  <si>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</si>
  <si>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</si>
  <si>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</si>
  <si>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</si>
  <si>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</si>
  <si>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</si>
  <si>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</si>
  <si>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</si>
  <si>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</si>
  <si>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</si>
  <si>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</si>
  <si>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</si>
  <si>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</si>
  <si>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</si>
  <si>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</si>
  <si>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</si>
  <si>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</si>
  <si>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</si>
  <si>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</si>
  <si>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</si>
  <si>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</si>
  <si>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</si>
  <si>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</si>
  <si>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</si>
  <si>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</si>
  <si>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</si>
  <si>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</si>
  <si>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</si>
  <si>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</si>
  <si>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</si>
  <si>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</si>
  <si>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</si>
  <si>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</si>
  <si>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</si>
  <si>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</si>
  <si>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</si>
  <si>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</si>
  <si>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</si>
  <si>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</si>
  <si>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</si>
  <si>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</si>
  <si>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</si>
  <si>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</si>
  <si>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</si>
  <si>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</si>
  <si>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</si>
  <si>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</si>
  <si>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</si>
  <si>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</si>
  <si>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</si>
  <si>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</si>
  <si>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</si>
  <si>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</si>
  <si>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</si>
  <si>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</si>
  <si>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</si>
  <si>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</si>
  <si>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</si>
  <si>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</si>
  <si>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</si>
  <si>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</si>
  <si>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</si>
  <si>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</si>
  <si>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</si>
  <si>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</si>
  <si>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</si>
  <si>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</si>
  <si>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</si>
  <si>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</si>
  <si>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</si>
  <si>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</si>
  <si>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</si>
  <si>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</si>
  <si>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</si>
  <si>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</si>
  <si>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</si>
  <si>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</si>
  <si>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</si>
  <si>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</si>
  <si>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</si>
  <si>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</si>
  <si>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</si>
  <si>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</si>
  <si>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</si>
  <si>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</si>
  <si>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</si>
  <si>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</si>
  <si>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</si>
  <si>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</si>
  <si>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</si>
  <si>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</si>
  <si>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</si>
  <si>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</si>
  <si>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</si>
  <si>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</si>
  <si>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</si>
  <si>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</si>
  <si>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</si>
  <si>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</si>
  <si>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</si>
  <si>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</si>
  <si>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</si>
  <si>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</si>
  <si>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</si>
  <si>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</si>
  <si>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</si>
  <si>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</si>
  <si>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</si>
  <si>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</si>
  <si>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</si>
  <si>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</si>
  <si>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</si>
  <si>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</si>
  <si>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</si>
  <si>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</si>
  <si>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</si>
  <si>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</si>
  <si>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</si>
  <si>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</si>
  <si>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</si>
  <si>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</si>
  <si>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</si>
  <si>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</si>
  <si>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</si>
  <si>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</si>
  <si>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</si>
  <si>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</si>
  <si>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</si>
  <si>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</si>
  <si>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</si>
  <si>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</si>
  <si>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</si>
  <si>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</si>
  <si>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</si>
  <si>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</si>
  <si>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</si>
  <si>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</si>
  <si>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</si>
  <si>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</si>
  <si>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</si>
  <si>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</si>
  <si>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</si>
  <si>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</si>
  <si>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</si>
  <si>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</si>
  <si>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</si>
  <si>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</si>
  <si>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</si>
  <si>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</si>
  <si>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</si>
  <si>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</si>
  <si>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</si>
  <si>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</si>
  <si>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</si>
  <si>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</si>
  <si>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</si>
  <si>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</si>
  <si>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</si>
  <si>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</si>
  <si>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</si>
  <si>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</si>
  <si>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</si>
  <si>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</si>
  <si>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</si>
  <si>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</si>
  <si>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</si>
  <si>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</si>
  <si>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</si>
  <si>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</si>
  <si>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</si>
  <si>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</si>
  <si>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</si>
  <si>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</si>
  <si>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</si>
  <si>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</si>
  <si>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</si>
  <si>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</si>
  <si>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</si>
  <si>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</si>
  <si>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</si>
  <si>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</si>
  <si>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</si>
  <si>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</si>
  <si>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</si>
  <si>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</si>
  <si>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</si>
  <si>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</si>
  <si>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</si>
  <si>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</si>
  <si>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</si>
  <si>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</si>
  <si>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</si>
  <si>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</si>
  <si>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</si>
  <si>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</si>
  <si>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</si>
  <si>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</si>
  <si>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</si>
  <si>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</si>
  <si>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</si>
  <si>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</si>
  <si>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</si>
  <si>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</si>
  <si>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</si>
  <si>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</si>
  <si>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</si>
  <si>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</si>
  <si>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</si>
  <si>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</si>
  <si>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</si>
  <si>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</si>
  <si>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</si>
  <si>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</si>
  <si>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</si>
  <si>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</si>
  <si>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</si>
  <si>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</si>
  <si>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</si>
  <si>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</si>
  <si>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</si>
  <si>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</si>
  <si>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</si>
  <si>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</si>
  <si>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</si>
  <si>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</si>
  <si>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</si>
  <si>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</si>
  <si>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</si>
  <si>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</si>
  <si>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</si>
  <si>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</si>
  <si>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</si>
  <si>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</si>
  <si>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</si>
  <si>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</si>
  <si>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</si>
  <si>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</si>
  <si>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</si>
  <si>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</si>
  <si>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</si>
  <si>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</si>
  <si>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</si>
  <si>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</si>
  <si>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</si>
  <si>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</si>
  <si>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</si>
  <si>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</si>
  <si>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</si>
  <si>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</si>
  <si>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</si>
  <si>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</si>
  <si>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</si>
  <si>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</si>
  <si>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</si>
  <si>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</si>
  <si>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</si>
  <si>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</si>
  <si>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</si>
  <si>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</si>
  <si>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</si>
  <si>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</si>
  <si>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</si>
  <si>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</si>
  <si>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</si>
  <si>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</si>
  <si>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</si>
  <si>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</si>
  <si>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</si>
  <si>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</si>
  <si>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</si>
  <si>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</si>
  <si>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</si>
  <si>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</si>
  <si>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</si>
  <si>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</si>
  <si>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</si>
  <si>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</si>
  <si>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</si>
  <si>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</si>
  <si>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</si>
  <si>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</si>
  <si>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</si>
  <si>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</si>
  <si>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</si>
  <si>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</si>
  <si>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</si>
  <si>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</si>
  <si>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</si>
  <si>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</si>
  <si>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</si>
  <si>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</si>
  <si>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</si>
  <si>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</si>
  <si>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</si>
  <si>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</si>
  <si>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</si>
  <si>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</si>
  <si>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</si>
  <si>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</si>
  <si>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</si>
  <si>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</si>
  <si>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</si>
  <si>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</si>
  <si>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</si>
  <si>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</si>
  <si>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</si>
  <si>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</si>
  <si>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</si>
  <si>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</si>
  <si>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</si>
  <si>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</si>
  <si>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</si>
  <si>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</si>
  <si>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</si>
  <si>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</si>
  <si>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</si>
  <si>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</si>
  <si>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</si>
  <si>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</si>
  <si>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</si>
  <si>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</si>
  <si>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</si>
  <si>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</si>
  <si>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</si>
  <si>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</si>
  <si>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</si>
  <si>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</si>
  <si>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</si>
  <si>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</si>
  <si>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</si>
  <si>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</si>
  <si>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</si>
  <si>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</si>
  <si>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</si>
  <si>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</si>
  <si>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</si>
  <si>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</si>
  <si>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</si>
  <si>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</si>
  <si>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</si>
  <si>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</si>
  <si>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</si>
  <si>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</si>
  <si>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</si>
  <si>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</si>
  <si>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</si>
  <si>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</si>
  <si>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</si>
  <si>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</si>
  <si>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</si>
  <si>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</si>
  <si>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</si>
  <si>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</si>
  <si>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</si>
  <si>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</si>
  <si>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</si>
  <si>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</si>
  <si>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</si>
  <si>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</si>
  <si>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</si>
  <si>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</si>
  <si>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</si>
  <si>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</si>
  <si>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</si>
  <si>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</si>
  <si>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</si>
  <si>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</si>
  <si>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</si>
  <si>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</si>
  <si>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</si>
  <si>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</si>
  <si>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</si>
  <si>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</si>
  <si>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</si>
  <si>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</si>
  <si>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</si>
  <si>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</si>
  <si>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</si>
  <si>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</si>
  <si>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</si>
  <si>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</si>
  <si>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</si>
  <si>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</si>
  <si>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</si>
  <si>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</si>
  <si>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</si>
  <si>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</si>
  <si>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</si>
  <si>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</si>
  <si>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</si>
  <si>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</si>
  <si>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</si>
  <si>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</si>
  <si>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</si>
  <si>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</si>
  <si>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</si>
  <si>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</si>
  <si>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</si>
  <si>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</si>
  <si>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</si>
  <si>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</si>
  <si>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</si>
  <si>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</si>
  <si>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</si>
  <si>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</si>
  <si>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</si>
  <si>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</si>
  <si>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</si>
  <si>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</si>
  <si>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</si>
  <si>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</si>
  <si>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</si>
  <si>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</si>
  <si>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</si>
  <si>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</si>
  <si>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</si>
  <si>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</si>
  <si>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</si>
  <si>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</si>
  <si>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</si>
  <si>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</si>
  <si>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</si>
  <si>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</si>
  <si>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</si>
  <si>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</si>
  <si>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</si>
  <si>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</si>
  <si>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</si>
  <si>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</si>
  <si>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</si>
  <si>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</si>
  <si>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</si>
  <si>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</si>
  <si>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</si>
  <si>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</si>
  <si>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</si>
  <si>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</si>
  <si>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</si>
  <si>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</si>
  <si>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</si>
  <si>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</si>
  <si>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</si>
  <si>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</si>
  <si>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</si>
  <si>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</si>
  <si>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</si>
  <si>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</si>
  <si>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</si>
  <si>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</si>
  <si>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</si>
  <si>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</si>
  <si>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</si>
  <si>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</si>
  <si>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</si>
  <si>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</si>
  <si>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</si>
  <si>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</si>
  <si>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</si>
  <si>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</si>
  <si>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</si>
  <si>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</si>
  <si>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</si>
  <si>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</si>
  <si>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</si>
  <si>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</si>
  <si>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</si>
  <si>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</si>
  <si>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</si>
  <si>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</si>
  <si>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</si>
  <si>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</si>
  <si>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</si>
  <si>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</si>
  <si>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</si>
  <si>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</si>
  <si>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</si>
  <si>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</si>
  <si>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</si>
  <si>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</si>
  <si>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</si>
  <si>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</si>
  <si>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</si>
  <si>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</si>
  <si>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</si>
  <si>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</si>
  <si>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</si>
  <si>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</si>
  <si>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</si>
  <si>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</si>
  <si>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</si>
  <si>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</si>
  <si>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</si>
  <si>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</si>
  <si>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</si>
  <si>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</si>
  <si>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</si>
  <si>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</si>
  <si>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</si>
  <si>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</si>
  <si>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</si>
  <si>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</si>
  <si>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</si>
  <si>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</si>
  <si>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</si>
  <si>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</si>
  <si>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</si>
  <si>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</si>
  <si>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</si>
  <si>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</si>
  <si>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</si>
  <si>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</si>
  <si>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</si>
  <si>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</si>
  <si>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</si>
  <si>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</si>
  <si>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</si>
  <si>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</si>
  <si>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</si>
  <si>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</si>
  <si>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</si>
  <si>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</si>
  <si>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</si>
  <si>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</si>
  <si>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</si>
  <si>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</si>
  <si>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</si>
  <si>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</si>
  <si>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</si>
  <si>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</si>
  <si>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</si>
  <si>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</si>
  <si>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</si>
  <si>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</si>
  <si>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</si>
  <si>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</si>
  <si>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</si>
  <si>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</si>
  <si>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</si>
  <si>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</si>
  <si>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</si>
  <si>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</si>
  <si>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</si>
  <si>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</si>
  <si>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</si>
  <si>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</si>
  <si>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</si>
  <si>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</si>
  <si>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</si>
  <si>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</si>
  <si>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</si>
  <si>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</si>
  <si>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</si>
  <si>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</si>
  <si>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</si>
  <si>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</si>
  <si>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</si>
  <si>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</si>
  <si>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</si>
  <si>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</si>
  <si>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</si>
  <si>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</si>
  <si>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</si>
  <si>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</si>
  <si>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</si>
  <si>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</si>
  <si>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</si>
  <si>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</si>
  <si>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</si>
  <si>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</si>
  <si>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</si>
  <si>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</si>
  <si>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</si>
  <si>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</si>
  <si>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</si>
  <si>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</si>
  <si>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</si>
  <si>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</si>
  <si>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</si>
  <si>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</si>
  <si>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</si>
  <si>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</si>
  <si>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</si>
  <si>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</si>
  <si>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</si>
  <si>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</si>
  <si>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</si>
  <si>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</si>
  <si>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</si>
  <si>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</si>
  <si>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</si>
  <si>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</si>
  <si>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</si>
  <si>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</si>
  <si>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</si>
  <si>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</si>
  <si>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</si>
  <si>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</si>
  <si>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</si>
  <si>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</si>
  <si>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</si>
  <si>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</si>
  <si>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</si>
  <si>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</si>
  <si>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</si>
  <si>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</si>
  <si>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</si>
  <si>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</si>
  <si>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</si>
  <si>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</si>
  <si>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</si>
  <si>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</si>
  <si>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</si>
  <si>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</si>
  <si>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</si>
  <si>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</si>
  <si>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</si>
  <si>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</si>
  <si>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</si>
  <si>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</si>
  <si>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</si>
  <si>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</si>
  <si>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</si>
  <si>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</si>
  <si>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</si>
  <si>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</si>
  <si>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</si>
  <si>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</si>
  <si>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</si>
  <si>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</si>
  <si>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</si>
  <si>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</si>
  <si>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</si>
  <si>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</si>
  <si>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</si>
  <si>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</si>
  <si>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</si>
  <si>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</si>
  <si>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</si>
  <si>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</si>
  <si>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</si>
  <si>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</si>
  <si>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</si>
  <si>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</si>
  <si>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</si>
  <si>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</si>
  <si>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</si>
  <si>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</si>
  <si>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</si>
  <si>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</si>
  <si>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</si>
  <si>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</si>
  <si>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</si>
  <si>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</si>
  <si>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</si>
  <si>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</si>
  <si>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</si>
  <si>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</si>
  <si>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</si>
  <si>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</si>
  <si>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</si>
  <si>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</si>
  <si>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</si>
  <si>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</si>
  <si>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</si>
  <si>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</si>
  <si>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</si>
  <si>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</si>
  <si>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</si>
  <si>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</si>
  <si>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</si>
  <si>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</si>
  <si>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</si>
  <si>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</si>
  <si>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</si>
  <si>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</si>
  <si>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</si>
  <si>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</si>
  <si>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</si>
  <si>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</si>
  <si>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</si>
  <si>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</si>
  <si>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</si>
  <si>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</si>
  <si>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</si>
  <si>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</si>
  <si>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</si>
  <si>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</si>
  <si>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</si>
  <si>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</si>
  <si>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</si>
  <si>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</si>
  <si>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</si>
  <si>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</si>
  <si>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</si>
  <si>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</si>
  <si>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</si>
  <si>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</si>
  <si>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</si>
  <si>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</si>
  <si>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</si>
  <si>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</si>
  <si>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</si>
  <si>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</si>
  <si>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</si>
  <si>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</si>
  <si>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</si>
  <si>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</si>
  <si>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</si>
  <si>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</si>
  <si>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</si>
  <si>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</si>
  <si>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</si>
  <si>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</si>
  <si>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</si>
  <si>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</si>
  <si>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</si>
  <si>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</si>
  <si>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</si>
  <si>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</si>
  <si>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</si>
  <si>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</si>
  <si>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</si>
  <si>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</si>
  <si>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</si>
  <si>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</si>
  <si>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</si>
  <si>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</si>
  <si>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</si>
  <si>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</si>
  <si>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</si>
  <si>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</si>
  <si>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</si>
  <si>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</si>
  <si>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</si>
  <si>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</si>
  <si>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</si>
  <si>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</si>
  <si>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</si>
  <si>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</si>
  <si>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</si>
  <si>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</si>
  <si>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</si>
  <si>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</si>
  <si>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</si>
  <si>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</si>
  <si>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</si>
  <si>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</si>
  <si>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</si>
  <si>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</si>
  <si>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</si>
  <si>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</si>
  <si>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</si>
  <si>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</si>
  <si>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</si>
  <si>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</si>
  <si>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</si>
  <si>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</si>
  <si>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</si>
  <si>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</si>
  <si>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</si>
  <si>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</si>
  <si>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</si>
  <si>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</si>
  <si>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</si>
  <si>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</si>
  <si>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</si>
  <si>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</si>
  <si>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</si>
  <si>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</si>
  <si>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</si>
  <si>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</si>
  <si>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</si>
  <si>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</si>
  <si>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</si>
  <si>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</si>
  <si>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</si>
  <si>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</si>
  <si>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</si>
  <si>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</si>
  <si>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</si>
  <si>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</si>
  <si>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</si>
  <si>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</si>
  <si>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</si>
  <si>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</si>
  <si>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</si>
  <si>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</si>
  <si>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</si>
  <si>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</si>
  <si>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</si>
  <si>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</si>
  <si>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</si>
  <si>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</si>
  <si>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</si>
  <si>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</si>
  <si>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</si>
  <si>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</si>
  <si>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</si>
  <si>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</si>
  <si>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</si>
  <si>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</si>
  <si>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</si>
  <si>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</si>
  <si>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</si>
  <si>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</si>
  <si>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</si>
  <si>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</si>
  <si>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</si>
  <si>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</si>
  <si>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</si>
  <si>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</si>
  <si>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</si>
  <si>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</si>
  <si>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</si>
  <si>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</si>
  <si>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</si>
  <si>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</si>
  <si>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</si>
  <si>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</si>
  <si>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</si>
  <si>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</si>
  <si>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</si>
  <si>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</si>
  <si>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</si>
  <si>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</si>
  <si>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</si>
  <si>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</si>
  <si>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</si>
  <si>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</si>
  <si>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</si>
  <si>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</si>
  <si>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</si>
  <si>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</si>
  <si>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</si>
  <si>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</si>
  <si>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</si>
  <si>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</si>
  <si>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</si>
  <si>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</si>
  <si>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</si>
  <si>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</si>
  <si>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</si>
  <si>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</si>
  <si>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</si>
  <si>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</si>
  <si>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</si>
  <si>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</si>
  <si>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</si>
  <si>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</si>
  <si>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</si>
  <si>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</si>
  <si>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</si>
  <si>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</si>
  <si>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</si>
  <si>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</si>
  <si>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</si>
  <si>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</si>
  <si>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</si>
  <si>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</si>
  <si>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</si>
  <si>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</si>
  <si>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</si>
  <si>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</si>
  <si>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</si>
  <si>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</si>
  <si>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</si>
  <si>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</si>
  <si>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</si>
  <si>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</si>
  <si>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</si>
  <si>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</si>
  <si>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</si>
  <si>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</si>
  <si>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</si>
  <si>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</si>
  <si>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</si>
  <si>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</si>
  <si>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</si>
  <si>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</si>
  <si>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</si>
  <si>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</si>
  <si>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</si>
  <si>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</si>
  <si>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</si>
  <si>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</si>
  <si>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</si>
  <si>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</si>
  <si>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</si>
  <si>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</si>
  <si>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</si>
  <si>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</si>
  <si>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</si>
  <si>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</si>
  <si>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</si>
  <si>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</si>
  <si>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</si>
  <si>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</si>
  <si>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</si>
  <si>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</si>
  <si>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</si>
  <si>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</si>
  <si>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</si>
  <si>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</si>
  <si>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</si>
  <si>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</si>
  <si>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</si>
  <si>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</si>
  <si>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</si>
  <si>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</si>
  <si>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</si>
  <si>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</si>
  <si>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</si>
  <si>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</si>
  <si>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</si>
  <si>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</si>
  <si>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</si>
  <si>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</si>
  <si>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</si>
  <si>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</si>
  <si>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</si>
  <si>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</si>
  <si>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</si>
  <si>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</si>
  <si>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</si>
  <si>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</si>
  <si>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</si>
  <si>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</si>
  <si>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</si>
  <si>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</si>
  <si>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</si>
  <si>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</si>
  <si>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</si>
  <si>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</si>
  <si>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</si>
  <si>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</si>
  <si>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</si>
  <si>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</si>
  <si>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</si>
  <si>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</si>
  <si>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</si>
  <si>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</si>
  <si>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</si>
  <si>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</si>
  <si>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</si>
  <si>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</si>
  <si>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</si>
  <si>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</si>
  <si>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</si>
  <si>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</si>
  <si>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</si>
  <si>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</si>
  <si>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</si>
  <si>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</si>
  <si>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</si>
  <si>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</si>
  <si>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</si>
  <si>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</si>
  <si>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</si>
  <si>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</si>
  <si>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</si>
  <si>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</si>
  <si>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</si>
  <si>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</si>
  <si>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</si>
  <si>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</si>
  <si>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</si>
  <si>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</si>
  <si>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</si>
  <si>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</si>
  <si>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</si>
  <si>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</si>
  <si>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</si>
  <si>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</si>
  <si>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</si>
  <si>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</si>
  <si>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</si>
  <si>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</si>
  <si>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</si>
  <si>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</si>
  <si>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</si>
  <si>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</si>
  <si>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</si>
  <si>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</si>
  <si>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</si>
  <si>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</si>
  <si>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</si>
  <si>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</si>
  <si>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</si>
  <si>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</si>
  <si>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</si>
  <si>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</si>
  <si>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</si>
  <si>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</si>
  <si>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</si>
  <si>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</si>
  <si>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</si>
  <si>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</si>
  <si>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</si>
  <si>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</si>
  <si>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</si>
  <si>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</si>
  <si>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</si>
  <si>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</si>
  <si>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</si>
  <si>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</si>
  <si>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</si>
  <si>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</si>
  <si>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</si>
  <si>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</si>
  <si>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</si>
  <si>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</si>
  <si>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</si>
  <si>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</si>
  <si>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</si>
  <si>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</si>
  <si>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</si>
  <si>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</si>
  <si>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</si>
  <si>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</si>
  <si>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</si>
  <si>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</si>
  <si>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</si>
  <si>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</si>
  <si>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</si>
  <si>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</si>
  <si>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</si>
  <si>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</si>
  <si>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</si>
  <si>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</si>
  <si>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</si>
  <si>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</si>
  <si>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</si>
  <si>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</si>
  <si>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</si>
  <si>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</si>
  <si>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</si>
  <si>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</si>
  <si>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</si>
  <si>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</si>
  <si>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</si>
  <si>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</si>
  <si>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</si>
  <si>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</si>
  <si>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</si>
  <si>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</si>
  <si>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</si>
  <si>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</si>
  <si>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</si>
  <si>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</si>
  <si>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</si>
  <si>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</si>
  <si>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</si>
  <si>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</si>
  <si>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</si>
  <si>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</si>
  <si>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</si>
  <si>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</si>
  <si>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</si>
  <si>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</si>
  <si>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</si>
  <si>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</si>
  <si>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</si>
  <si>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</si>
  <si>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</si>
  <si>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</si>
  <si>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</si>
  <si>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</si>
  <si>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</si>
  <si>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</si>
  <si>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</si>
  <si>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</si>
  <si>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</si>
  <si>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</si>
  <si>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</si>
  <si>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</si>
  <si>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</si>
  <si>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</si>
  <si>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</si>
  <si>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</si>
  <si>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</si>
  <si>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</si>
  <si>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</si>
  <si>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</si>
  <si>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</si>
  <si>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</si>
  <si>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</si>
  <si>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</si>
  <si>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</si>
  <si>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</si>
  <si>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</si>
  <si>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</si>
  <si>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</si>
  <si>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</si>
  <si>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</si>
  <si>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</si>
  <si>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</si>
  <si>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</si>
  <si>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</si>
  <si>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</si>
  <si>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</si>
  <si>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</si>
  <si>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</si>
  <si>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</si>
  <si>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</si>
  <si>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</si>
  <si>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</si>
  <si>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</si>
  <si>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</si>
  <si>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</si>
  <si>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</si>
  <si>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</si>
  <si>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</si>
  <si>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</si>
  <si>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</si>
  <si>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</si>
  <si>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</si>
  <si>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</si>
  <si>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</si>
  <si>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</si>
  <si>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</si>
  <si>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</si>
  <si>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</si>
  <si>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</si>
  <si>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</si>
  <si>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</si>
  <si>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</si>
  <si>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</si>
  <si>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</si>
  <si>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</si>
  <si>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</si>
  <si>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</si>
  <si>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</si>
  <si>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</si>
  <si>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</si>
  <si>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</si>
  <si>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</si>
  <si>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</si>
  <si>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</si>
  <si>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</si>
  <si>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</si>
  <si>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</si>
  <si>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</si>
  <si>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</si>
  <si>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</si>
  <si>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</si>
  <si>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</si>
  <si>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</si>
  <si>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</si>
  <si>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</si>
  <si>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</si>
  <si>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</si>
  <si>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</si>
  <si>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</si>
  <si>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</si>
  <si>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</si>
  <si>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</si>
  <si>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</si>
  <si>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</si>
  <si>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</si>
  <si>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</si>
  <si>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</si>
  <si>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</si>
  <si>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</si>
  <si>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</si>
  <si>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</si>
  <si>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</si>
  <si>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</si>
  <si>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</si>
  <si>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</si>
  <si>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</si>
  <si>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</si>
  <si>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</si>
  <si>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</si>
  <si>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</si>
  <si>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</si>
  <si>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</si>
  <si>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</si>
  <si>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</si>
  <si>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</si>
  <si>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</si>
  <si>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</si>
  <si>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</si>
  <si>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</si>
  <si>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</si>
  <si>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</si>
  <si>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</si>
  <si>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</si>
  <si>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</si>
  <si>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</si>
  <si>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</si>
  <si>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</si>
  <si>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</si>
  <si>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</si>
  <si>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</si>
  <si>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</si>
  <si>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</si>
  <si>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</si>
  <si>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</si>
  <si>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</si>
  <si>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</si>
  <si>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</si>
  <si>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</si>
  <si>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</si>
  <si>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</si>
  <si>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</si>
  <si>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</si>
  <si>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</si>
  <si>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</si>
  <si>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</si>
  <si>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</si>
  <si>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</si>
  <si>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</si>
  <si>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</si>
  <si>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</si>
  <si>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</si>
  <si>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</si>
  <si>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</si>
  <si>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</si>
  <si>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</si>
  <si>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</si>
  <si>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</si>
  <si>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</si>
  <si>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</si>
  <si>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</si>
  <si>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</si>
  <si>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</si>
  <si>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</si>
  <si>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</si>
  <si>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</si>
  <si>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</si>
  <si>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</si>
  <si>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</si>
  <si>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</si>
  <si>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</si>
  <si>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</si>
  <si>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</si>
  <si>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</si>
  <si>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</si>
  <si>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</si>
  <si>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</si>
  <si>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</si>
  <si>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</si>
  <si>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</si>
  <si>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</si>
  <si>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</si>
  <si>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</si>
  <si>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</si>
  <si>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</si>
  <si>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</si>
  <si>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</si>
  <si>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</si>
  <si>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</si>
  <si>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</si>
  <si>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</si>
  <si>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</si>
  <si>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</si>
  <si>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</si>
  <si>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</si>
  <si>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</si>
  <si>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</si>
  <si>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</si>
  <si>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</si>
  <si>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</si>
  <si>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</si>
  <si>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</si>
  <si>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</si>
  <si>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</si>
  <si>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</si>
  <si>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</si>
  <si>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</si>
  <si>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</si>
  <si>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</si>
  <si>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</si>
  <si>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</si>
  <si>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</si>
  <si>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</si>
  <si>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</si>
  <si>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</si>
  <si>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</si>
  <si>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</si>
  <si>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</si>
  <si>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</si>
  <si>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</si>
  <si>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</si>
  <si>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</si>
  <si>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</si>
  <si>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</si>
  <si>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</si>
  <si>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</si>
  <si>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</si>
  <si>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</si>
  <si>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</si>
  <si>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</si>
  <si>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</si>
  <si>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</si>
  <si>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</si>
  <si>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</si>
  <si>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</si>
  <si>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</si>
  <si>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</si>
  <si>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</si>
  <si>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</si>
  <si>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</si>
  <si>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</si>
  <si>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</si>
  <si>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</si>
  <si>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</si>
  <si>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</si>
  <si>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</si>
  <si>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</si>
  <si>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</si>
  <si>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</si>
  <si>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</si>
  <si>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</si>
  <si>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</si>
  <si>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</si>
  <si>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</si>
  <si>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</si>
  <si>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</si>
  <si>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</si>
  <si>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</si>
  <si>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</si>
  <si>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</si>
  <si>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</si>
  <si>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</si>
  <si>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</si>
  <si>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</si>
  <si>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</si>
  <si>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</si>
  <si>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</si>
  <si>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</si>
  <si>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</si>
  <si>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</si>
  <si>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</si>
  <si>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</si>
  <si>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</si>
  <si>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</si>
  <si>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</si>
  <si>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</si>
  <si>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</si>
  <si>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</si>
  <si>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</si>
  <si>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</si>
  <si>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</si>
  <si>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</si>
  <si>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</si>
  <si>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</si>
  <si>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</si>
  <si>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</si>
  <si>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</si>
  <si>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</si>
  <si>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</si>
  <si>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</si>
  <si>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</si>
  <si>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</si>
  <si>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</si>
  <si>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</si>
  <si>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</si>
  <si>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</si>
  <si>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</si>
  <si>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</si>
  <si>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</si>
  <si>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</si>
  <si>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</si>
  <si>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</si>
  <si>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</si>
  <si>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</si>
  <si>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</si>
  <si>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</si>
  <si>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</si>
  <si>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</si>
  <si>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</si>
  <si>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</si>
  <si>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</si>
  <si>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</si>
  <si>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</si>
  <si>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</si>
  <si>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</si>
  <si>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</si>
  <si>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</si>
  <si>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</si>
  <si>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</si>
  <si>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</si>
  <si>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</si>
  <si>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</si>
  <si>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</si>
  <si>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</si>
  <si>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</si>
  <si>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</si>
  <si>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</si>
  <si>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</si>
  <si>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</si>
  <si>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</si>
  <si>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</si>
  <si>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</si>
  <si>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</si>
  <si>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</si>
  <si>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</si>
  <si>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</si>
  <si>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</si>
  <si>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</si>
  <si>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</si>
  <si>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</si>
  <si>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</si>
  <si>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</si>
  <si>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</si>
  <si>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</si>
  <si>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</si>
  <si>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</si>
  <si>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</si>
  <si>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</si>
  <si>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</si>
  <si>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</si>
  <si>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</si>
  <si>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</si>
  <si>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</si>
  <si>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</si>
  <si>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</si>
  <si>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</si>
  <si>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</si>
  <si>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</si>
  <si>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</si>
  <si>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</si>
  <si>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</si>
  <si>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</si>
  <si>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</si>
  <si>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</si>
  <si>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</si>
  <si>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</si>
  <si>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</si>
  <si>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</si>
  <si>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</si>
  <si>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</si>
  <si>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</si>
  <si>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</si>
  <si>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</si>
  <si>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</si>
  <si>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</si>
  <si>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</si>
  <si>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</si>
  <si>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</si>
  <si>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</si>
  <si>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</si>
  <si>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</si>
  <si>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</si>
  <si>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</si>
  <si>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</si>
  <si>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</si>
  <si>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</si>
  <si>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</si>
  <si>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</si>
  <si>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</si>
  <si>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</si>
  <si>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</si>
  <si>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</si>
  <si>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</si>
  <si>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</si>
  <si>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</si>
  <si>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</si>
  <si>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</si>
  <si>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</si>
  <si>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</si>
  <si>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</si>
  <si>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</si>
  <si>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</si>
  <si>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</si>
  <si>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</si>
  <si>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</si>
  <si>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</si>
  <si>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</si>
  <si>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</si>
  <si>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</si>
  <si>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</si>
  <si>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</si>
  <si>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</si>
  <si>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</si>
  <si>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</si>
  <si>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</si>
  <si>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</si>
  <si>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</si>
  <si>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</si>
  <si>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</si>
  <si>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</si>
  <si>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</si>
  <si>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</si>
  <si>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</si>
  <si>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</si>
  <si>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</si>
  <si>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</si>
  <si>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</si>
  <si>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</si>
  <si>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</si>
  <si>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</si>
  <si>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</si>
  <si>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</si>
  <si>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</si>
  <si>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</si>
  <si>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</si>
  <si>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</si>
  <si>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</si>
  <si>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</si>
  <si>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</si>
  <si>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</si>
  <si>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</si>
  <si>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</si>
  <si>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</si>
  <si>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</si>
  <si>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</si>
  <si>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</si>
  <si>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</si>
  <si>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</si>
  <si>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</si>
  <si>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</si>
  <si>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</si>
  <si>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</si>
  <si>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</si>
  <si>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</si>
  <si>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</si>
  <si>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</si>
  <si>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</si>
  <si>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</si>
  <si>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</si>
  <si>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</si>
  <si>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</si>
  <si>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</si>
  <si>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</si>
  <si>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</si>
  <si>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</si>
  <si>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</si>
  <si>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</si>
  <si>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</si>
  <si>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</si>
  <si>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</si>
  <si>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</si>
  <si>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</si>
  <si>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</si>
  <si>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</si>
  <si>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</si>
  <si>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</si>
  <si>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</si>
  <si>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</si>
  <si>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</si>
  <si>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</si>
  <si>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</si>
  <si>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</si>
  <si>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</si>
  <si>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</si>
  <si>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</si>
  <si>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</si>
  <si>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</si>
  <si>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</si>
  <si>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</si>
  <si>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</si>
  <si>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</si>
  <si>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</si>
  <si>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</si>
  <si>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</si>
  <si>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</si>
  <si>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</si>
  <si>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</si>
  <si>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</si>
  <si>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</si>
  <si>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</si>
  <si>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</si>
  <si>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</si>
  <si>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</si>
  <si>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</si>
  <si>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</si>
  <si>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</si>
  <si>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</si>
  <si>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</si>
  <si>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</si>
  <si>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</si>
  <si>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</si>
  <si>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</si>
  <si>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</si>
  <si>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</si>
  <si>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</si>
  <si>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</si>
  <si>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</si>
  <si>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</si>
  <si>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</si>
  <si>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</si>
  <si>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</si>
  <si>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</si>
  <si>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</si>
  <si>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</si>
  <si>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</si>
  <si>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</si>
  <si>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</si>
  <si>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</si>
  <si>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</si>
  <si>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</si>
  <si>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</si>
  <si>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</si>
  <si>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</si>
  <si>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</si>
  <si>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</si>
  <si>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</si>
  <si>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</si>
  <si>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</si>
  <si>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</si>
  <si>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</si>
  <si>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</si>
  <si>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</si>
  <si>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</si>
  <si>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</si>
  <si>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</si>
  <si>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</si>
  <si>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</si>
  <si>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</si>
  <si>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</si>
  <si>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</si>
  <si>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</si>
  <si>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</si>
  <si>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</si>
  <si>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</si>
  <si>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</si>
  <si>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</si>
  <si>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</si>
  <si>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</si>
  <si>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</si>
  <si>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</si>
  <si>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</si>
  <si>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</si>
  <si>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</si>
  <si>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</si>
  <si>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</si>
  <si>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</si>
  <si>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</si>
  <si>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</si>
  <si>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</si>
  <si>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</si>
  <si>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</si>
  <si>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</si>
  <si>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</si>
  <si>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</si>
  <si>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</si>
  <si>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</si>
  <si>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</si>
  <si>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</si>
  <si>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</si>
  <si>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</si>
  <si>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</si>
  <si>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</si>
  <si>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</si>
  <si>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</si>
  <si>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</si>
  <si>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</si>
  <si>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</si>
  <si>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</si>
  <si>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</si>
  <si>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</si>
  <si>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</si>
  <si>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</si>
  <si>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</si>
  <si>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</si>
  <si>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</si>
  <si>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</si>
  <si>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</si>
  <si>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</si>
  <si>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</si>
  <si>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</si>
  <si>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</si>
  <si>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</si>
  <si>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</si>
  <si>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</si>
  <si>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</si>
  <si>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</si>
  <si>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</si>
  <si>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</si>
  <si>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</si>
  <si>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</si>
  <si>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</si>
  <si>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</si>
  <si>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</si>
  <si>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</si>
  <si>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</si>
  <si>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</si>
  <si>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</si>
  <si>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</si>
  <si>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</si>
  <si>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</si>
  <si>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</si>
  <si>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</si>
  <si>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</si>
  <si>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</si>
  <si>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</si>
  <si>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</si>
  <si>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</si>
  <si>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</si>
  <si>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</si>
  <si>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</si>
  <si>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</si>
  <si>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</si>
  <si>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</si>
  <si>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</si>
  <si>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</si>
  <si>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</si>
  <si>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</si>
  <si>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</si>
  <si>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</si>
  <si>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</si>
  <si>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</si>
  <si>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</si>
  <si>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</si>
  <si>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</si>
  <si>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</si>
  <si>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</si>
  <si>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</si>
  <si>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</si>
  <si>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</si>
  <si>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</si>
  <si>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</si>
  <si>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</si>
  <si>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</si>
  <si>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</si>
  <si>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</si>
  <si>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</si>
  <si>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</si>
  <si>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</si>
  <si>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</si>
  <si>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</si>
  <si>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</si>
  <si>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</si>
  <si>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</si>
  <si>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</si>
  <si>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</si>
  <si>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</si>
  <si>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</si>
  <si>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</si>
  <si>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</si>
  <si>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</si>
  <si>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</si>
  <si>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</si>
  <si>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</si>
  <si>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</si>
  <si>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</si>
  <si>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</si>
  <si>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</si>
  <si>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</si>
  <si>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</si>
  <si>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</si>
  <si>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</si>
  <si>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</si>
  <si>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</si>
  <si>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</si>
  <si>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</si>
  <si>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</si>
  <si>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</si>
  <si>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</si>
  <si>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</si>
  <si>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</si>
  <si>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</si>
  <si>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</si>
  <si>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</si>
  <si>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</si>
  <si>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</si>
  <si>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</si>
  <si>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</si>
  <si>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</si>
  <si>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</si>
  <si>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</si>
  <si>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</si>
  <si>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</si>
  <si>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</si>
  <si>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</si>
  <si>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</si>
  <si>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</si>
  <si>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</si>
  <si>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</si>
  <si>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</si>
  <si>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</si>
  <si>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</si>
  <si>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</si>
  <si>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</si>
  <si>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</si>
  <si>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</si>
  <si>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</si>
  <si>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</si>
  <si>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</si>
  <si>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</si>
  <si>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</si>
  <si>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</si>
  <si>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</si>
  <si>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</si>
  <si>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</si>
  <si>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</si>
  <si>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</si>
  <si>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</si>
  <si>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</si>
  <si>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</si>
  <si>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</si>
  <si>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</si>
  <si>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</si>
  <si>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</si>
  <si>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</si>
  <si>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</si>
  <si>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</si>
  <si>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</si>
  <si>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</si>
  <si>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</si>
  <si>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</si>
  <si>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</si>
  <si>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</si>
  <si>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</si>
  <si>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</si>
  <si>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</si>
  <si>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</si>
  <si>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</si>
  <si>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</si>
  <si>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</si>
  <si>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</si>
  <si>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</si>
  <si>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</si>
  <si>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</si>
  <si>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</si>
  <si>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</si>
  <si>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</si>
  <si>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</si>
  <si>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</si>
  <si>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</si>
  <si>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</si>
  <si>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</si>
  <si>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</si>
  <si>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</si>
  <si>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</si>
  <si>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</si>
  <si>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</si>
  <si>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</si>
  <si>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</si>
  <si>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</si>
  <si>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</si>
  <si>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</si>
  <si>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</si>
  <si>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</si>
  <si>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</si>
  <si>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</si>
  <si>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</si>
  <si>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</si>
  <si>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</si>
  <si>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</si>
  <si>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</si>
  <si>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</si>
  <si>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</si>
  <si>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</si>
  <si>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</si>
  <si>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</si>
  <si>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</si>
  <si>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</si>
  <si>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</si>
  <si>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</si>
  <si>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</si>
  <si>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</si>
  <si>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</si>
  <si>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</si>
  <si>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</si>
  <si>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</si>
  <si>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</si>
  <si>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</si>
  <si>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</si>
  <si>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</si>
  <si>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</si>
  <si>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</si>
  <si>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</si>
  <si>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</si>
  <si>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</si>
  <si>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</si>
  <si>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</si>
  <si>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</si>
  <si>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</si>
  <si>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</si>
  <si>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</si>
  <si>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</si>
  <si>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</si>
  <si>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</si>
  <si>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</si>
  <si>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</si>
  <si>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</si>
  <si>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</si>
  <si>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</si>
  <si>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</si>
  <si>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</si>
  <si>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</si>
  <si>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</si>
  <si>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</si>
  <si>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</si>
  <si>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</si>
  <si>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</si>
  <si>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</si>
  <si>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</si>
  <si>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</si>
  <si>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</si>
  <si>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</si>
  <si>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</si>
  <si>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</si>
  <si>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</si>
  <si>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</si>
  <si>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</si>
  <si>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</si>
  <si>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</si>
  <si>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</si>
  <si>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</si>
  <si>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</si>
  <si>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</si>
  <si>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</si>
  <si>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</si>
  <si>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</si>
  <si>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</si>
  <si>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</si>
  <si>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</si>
  <si>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</si>
  <si>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</si>
  <si>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</si>
  <si>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</si>
  <si>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</si>
  <si>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</si>
  <si>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</si>
  <si>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</si>
  <si>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</si>
  <si>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</si>
  <si>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</si>
  <si>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</si>
  <si>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</si>
  <si>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</si>
  <si>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</si>
  <si>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</si>
  <si>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</si>
  <si>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</si>
  <si>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</si>
  <si>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</si>
  <si>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</si>
  <si>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</si>
  <si>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</si>
  <si>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</si>
  <si>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</si>
  <si>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</si>
  <si>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</si>
  <si>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</si>
  <si>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</si>
  <si>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</si>
  <si>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</si>
  <si>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</si>
  <si>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</si>
  <si>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</si>
  <si>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</si>
  <si>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</si>
  <si>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</si>
  <si>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</si>
  <si>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</si>
  <si>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</si>
  <si>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</si>
  <si>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</si>
  <si>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</si>
  <si>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</si>
  <si>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</si>
  <si>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</si>
  <si>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</si>
  <si>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</si>
  <si>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</si>
  <si>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</si>
  <si>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</si>
  <si>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</si>
  <si>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</si>
  <si>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</si>
  <si>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</si>
  <si>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</si>
  <si>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</si>
  <si>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</si>
  <si>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</si>
  <si>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</si>
  <si>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</si>
  <si>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</si>
  <si>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</si>
  <si>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</si>
  <si>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</si>
  <si>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</si>
  <si>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</si>
  <si>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</si>
  <si>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</si>
  <si>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</si>
  <si>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</si>
  <si>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</si>
  <si>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</si>
  <si>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</si>
  <si>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</si>
  <si>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</si>
  <si>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</si>
  <si>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</si>
  <si>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</si>
  <si>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</si>
  <si>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</si>
  <si>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</si>
  <si>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</si>
  <si>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</si>
  <si>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</si>
  <si>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</si>
  <si>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</si>
  <si>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</si>
  <si>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</si>
  <si>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</si>
  <si>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</si>
  <si>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</si>
  <si>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</si>
  <si>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</si>
  <si>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</si>
  <si>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</si>
  <si>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</si>
  <si>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</si>
  <si>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</si>
  <si>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</si>
  <si>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</si>
  <si>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</si>
  <si>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</si>
  <si>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</si>
  <si>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</si>
  <si>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</si>
  <si>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</si>
  <si>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</si>
  <si>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</si>
  <si>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</si>
  <si>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</si>
  <si>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</si>
  <si>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</si>
  <si>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</si>
  <si>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</si>
  <si>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</si>
  <si>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</si>
  <si>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</si>
  <si>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</si>
  <si>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</si>
  <si>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</si>
  <si>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</si>
  <si>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</si>
  <si>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</si>
  <si>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</si>
  <si>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</si>
  <si>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</si>
  <si>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</si>
  <si>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</si>
  <si>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</si>
  <si>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</si>
  <si>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</si>
  <si>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</si>
  <si>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</si>
  <si>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</si>
  <si>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</si>
  <si>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</si>
  <si>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</si>
  <si>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</si>
  <si>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</si>
  <si>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</si>
  <si>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</si>
  <si>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</si>
  <si>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</si>
  <si>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</si>
  <si>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</si>
  <si>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</si>
  <si>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</si>
  <si>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</si>
  <si>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</si>
  <si>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</si>
  <si>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</si>
  <si>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</si>
  <si>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</si>
  <si>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</si>
  <si>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Column1</t>
  </si>
  <si>
    <t>Address</t>
  </si>
  <si>
    <t>Payment method</t>
  </si>
  <si>
    <t>Revenue per item</t>
  </si>
  <si>
    <t>0rder status</t>
  </si>
  <si>
    <t>Confirmation</t>
  </si>
  <si>
    <t>ok</t>
  </si>
  <si>
    <t xml:space="preserve">Original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</si>
</sst>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£&quot;#,##0.00"/>
    </dxf>
    <dxf>
      <numFmt numFmtId="165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£&quot;#,##0.00"/>
    </dxf>
    <dxf>
      <numFmt numFmtId="165" formatCode="&quot;£&quot;#,##0.00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1">
    <queryTableFields count="19">
      <queryTableField id="1" name="OrderID" tableColumnId="2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Confirmation" tableColumnId="15"/>
      <queryTableField id="16" name="Address" tableColumnId="16"/>
      <queryTableField id="17" name="Payment method" tableColumnId="17"/>
      <queryTableField id="18" name="Column1" tableColumnId="18"/>
      <queryTableField id="19" name="Revenue per ite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S1201" tableType="queryTable" totalsRowShown="0">
  <autoFilter ref="A1:S1201"/>
  <tableColumns count="19">
    <tableColumn id="21" uniqueName="21" name="Original " queryTableFieldId="1" dataDxfId="13"/>
    <tableColumn id="2" uniqueName="2" name="Date" queryTableFieldId="2" dataDxfId="12"/>
    <tableColumn id="3" uniqueName="3" name="CustomerID" queryTableFieldId="3" dataDxfId="11"/>
    <tableColumn id="4" uniqueName="4" name="Product" queryTableFieldId="4" dataDxfId="10"/>
    <tableColumn id="5" uniqueName="5" name="Quantity" queryTableFieldId="5"/>
    <tableColumn id="6" uniqueName="6" name="UnitPrice" queryTableFieldId="6"/>
    <tableColumn id="7" uniqueName="7" name="ShippingAddress" queryTableFieldId="7" dataDxfId="9"/>
    <tableColumn id="8" uniqueName="8" name="PaymentMethod" queryTableFieldId="8" dataDxfId="8"/>
    <tableColumn id="9" uniqueName="9" name="OrderStatus" queryTableFieldId="9" dataDxfId="7"/>
    <tableColumn id="10" uniqueName="10" name="TrackingNumber" queryTableFieldId="10" dataDxfId="6"/>
    <tableColumn id="11" uniqueName="11" name="ItemsInCart" queryTableFieldId="11"/>
    <tableColumn id="12" uniqueName="12" name="CouponCode" queryTableFieldId="12" dataDxfId="5"/>
    <tableColumn id="13" uniqueName="13" name="ReferralSource" queryTableFieldId="13" dataDxfId="4"/>
    <tableColumn id="14" uniqueName="14" name="TotalPrice" queryTableFieldId="14"/>
    <tableColumn id="15" uniqueName="15" name="Confirmation" queryTableFieldId="15" dataDxfId="3"/>
    <tableColumn id="16" uniqueName="16" name="Address" queryTableFieldId="16" dataDxfId="2"/>
    <tableColumn id="17" uniqueName="17" name="Payment method" queryTableFieldId="17" dataDxfId="1"/>
    <tableColumn id="18" uniqueName="18" name="Column1" queryTableFieldId="18" dataDxfId="0"/>
    <tableColumn id="19" uniqueName="19" name="Revenue per item" queryTableField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T1202" totalsRowCount="1" headerRowDxfId="32" headerRowBorderDxfId="31" tableBorderDxfId="30">
  <autoFilter ref="A1:T1201"/>
  <sortState ref="A2:R1201">
    <sortCondition ref="B1:B1201"/>
  </sortState>
  <tableColumns count="20">
    <tableColumn id="1" name="OrderID"/>
    <tableColumn id="2" name="Date" dataDxfId="29" totalsRowDxfId="28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27" totalsRowDxfId="26"/>
    <tableColumn id="16" name="Confirmation" dataDxfId="25" totalsRowDxfId="24">
      <calculatedColumnFormula>IF(ABS(Table1[[#This Row],[TotalPrice]]-Table1[[#This Row],[Quantity]]*Table1[[#This Row],[UnitPrice]]) &lt;0.01, "ok",)</calculatedColumnFormula>
    </tableColumn>
    <tableColumn id="17" name="Address" dataDxfId="23" totalsRowDxfId="22">
      <calculatedColumnFormula>PROPER(TRIM(Table1[[#This Row],[ShippingAddress]]))</calculatedColumnFormula>
    </tableColumn>
    <tableColumn id="18" name="Payment method" dataDxfId="21" totalsRowDxfId="20">
      <calculatedColumnFormula>PROPER(TRIM((Table1[[#This Row],[PaymentMethod]])))</calculatedColumnFormula>
    </tableColumn>
    <tableColumn id="19" name="Column1" dataDxfId="19" totalsRowDxfId="18">
      <calculatedColumnFormula>PROPER(TRIM(Table1[[#This Row],[ReferralSource]]))</calculatedColumnFormula>
    </tableColumn>
    <tableColumn id="20" name="Revenue per item" dataDxfId="17" totalsRowDxfId="16">
      <calculatedColumnFormula>Table1[[#This Row],[TotalPrice]]/Table1[[#This Row],[ItemsInCart]]</calculatedColumnFormula>
    </tableColumn>
    <tableColumn id="21" name="0rder status" dataDxfId="15" totalsRow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workbookViewId="0">
      <selection activeCell="K29" sqref="K29"/>
    </sheetView>
  </sheetViews>
  <sheetFormatPr defaultRowHeight="15.05" x14ac:dyDescent="0.3"/>
  <cols>
    <col min="1" max="1" width="10.6640625" bestFit="1" customWidth="1"/>
    <col min="2" max="2" width="10.5546875" bestFit="1" customWidth="1"/>
    <col min="3" max="3" width="13" bestFit="1" customWidth="1"/>
    <col min="4" max="4" width="9.77734375" bestFit="1" customWidth="1"/>
    <col min="5" max="5" width="10.44140625" bestFit="1" customWidth="1"/>
    <col min="6" max="6" width="10.77734375" bestFit="1" customWidth="1"/>
    <col min="7" max="7" width="17.21875" bestFit="1" customWidth="1"/>
    <col min="8" max="8" width="17.5546875" bestFit="1" customWidth="1"/>
    <col min="9" max="9" width="13.109375" bestFit="1" customWidth="1"/>
    <col min="10" max="10" width="17.21875" bestFit="1" customWidth="1"/>
    <col min="11" max="11" width="12.88671875" bestFit="1" customWidth="1"/>
    <col min="12" max="12" width="14.109375" bestFit="1" customWidth="1"/>
    <col min="13" max="13" width="15.5546875" bestFit="1" customWidth="1"/>
    <col min="14" max="14" width="11.44140625" bestFit="1" customWidth="1"/>
    <col min="15" max="15" width="14.21875" bestFit="1" customWidth="1"/>
    <col min="16" max="16" width="10.5546875" bestFit="1" customWidth="1"/>
    <col min="17" max="17" width="17.88671875" bestFit="1" customWidth="1"/>
    <col min="18" max="18" width="10.6640625" bestFit="1" customWidth="1"/>
    <col min="19" max="19" width="18" bestFit="1" customWidth="1"/>
    <col min="20" max="20" width="13" bestFit="1" customWidth="1"/>
  </cols>
  <sheetData>
    <row r="1" spans="1:19" x14ac:dyDescent="0.3">
      <c r="A1" t="s">
        <v>4291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4289</v>
      </c>
      <c r="P1" t="s">
        <v>4285</v>
      </c>
      <c r="Q1" t="s">
        <v>4286</v>
      </c>
      <c r="R1" t="s">
        <v>4284</v>
      </c>
      <c r="S1" t="s">
        <v>4287</v>
      </c>
    </row>
    <row r="2" spans="1:19" x14ac:dyDescent="0.3">
      <c r="A2" t="s">
        <v>126</v>
      </c>
      <c r="B2" s="3">
        <v>44927</v>
      </c>
      <c r="C2" t="s">
        <v>1326</v>
      </c>
      <c r="D2" t="s">
        <v>2403</v>
      </c>
      <c r="E2">
        <v>1</v>
      </c>
      <c r="F2">
        <v>410.6</v>
      </c>
      <c r="G2" t="s">
        <v>2515</v>
      </c>
      <c r="H2" t="s">
        <v>3066</v>
      </c>
      <c r="I2" t="s">
        <v>3071</v>
      </c>
      <c r="J2" t="s">
        <v>3187</v>
      </c>
      <c r="K2">
        <v>2</v>
      </c>
      <c r="L2" t="s">
        <v>4277</v>
      </c>
      <c r="M2" t="s">
        <v>4279</v>
      </c>
      <c r="N2">
        <v>410.6</v>
      </c>
      <c r="O2" t="s">
        <v>4290</v>
      </c>
      <c r="P2" t="s">
        <v>2515</v>
      </c>
      <c r="Q2" t="s">
        <v>3066</v>
      </c>
      <c r="R2" t="s">
        <v>4279</v>
      </c>
      <c r="S2">
        <v>205.3</v>
      </c>
    </row>
    <row r="3" spans="1:19" x14ac:dyDescent="0.3">
      <c r="A3" t="s">
        <v>250</v>
      </c>
      <c r="B3" s="3">
        <v>44927</v>
      </c>
      <c r="C3" t="s">
        <v>1450</v>
      </c>
      <c r="D3" t="s">
        <v>2403</v>
      </c>
      <c r="E3">
        <v>1</v>
      </c>
      <c r="F3">
        <v>318.81</v>
      </c>
      <c r="G3" t="s">
        <v>2613</v>
      </c>
      <c r="H3" t="s">
        <v>3065</v>
      </c>
      <c r="I3" t="s">
        <v>3074</v>
      </c>
      <c r="J3" t="s">
        <v>3311</v>
      </c>
      <c r="K3">
        <v>3</v>
      </c>
      <c r="L3" t="s">
        <v>4277</v>
      </c>
      <c r="M3" t="s">
        <v>4280</v>
      </c>
      <c r="N3">
        <v>318.81</v>
      </c>
      <c r="O3" t="s">
        <v>4290</v>
      </c>
      <c r="P3" t="s">
        <v>2613</v>
      </c>
      <c r="Q3" t="s">
        <v>3065</v>
      </c>
      <c r="R3" t="s">
        <v>4280</v>
      </c>
      <c r="S3">
        <v>106.27</v>
      </c>
    </row>
    <row r="4" spans="1:19" x14ac:dyDescent="0.3">
      <c r="A4" t="s">
        <v>862</v>
      </c>
      <c r="B4" s="3">
        <v>44927</v>
      </c>
      <c r="C4" t="s">
        <v>2058</v>
      </c>
      <c r="D4" t="s">
        <v>2406</v>
      </c>
      <c r="E4">
        <v>2</v>
      </c>
      <c r="F4">
        <v>645.85</v>
      </c>
      <c r="G4" t="s">
        <v>2466</v>
      </c>
      <c r="H4" t="s">
        <v>3066</v>
      </c>
      <c r="I4" t="s">
        <v>3070</v>
      </c>
      <c r="J4" t="s">
        <v>3923</v>
      </c>
      <c r="K4">
        <v>5</v>
      </c>
      <c r="L4" t="s">
        <v>4283</v>
      </c>
      <c r="M4" t="s">
        <v>4279</v>
      </c>
      <c r="N4">
        <v>1291.7</v>
      </c>
      <c r="O4" t="s">
        <v>4290</v>
      </c>
      <c r="P4" t="s">
        <v>2466</v>
      </c>
      <c r="Q4" t="s">
        <v>3066</v>
      </c>
      <c r="R4" t="s">
        <v>4279</v>
      </c>
      <c r="S4">
        <v>258.33999999999997</v>
      </c>
    </row>
    <row r="5" spans="1:19" x14ac:dyDescent="0.3">
      <c r="A5" t="s">
        <v>387</v>
      </c>
      <c r="B5" s="3">
        <v>44928</v>
      </c>
      <c r="C5" t="s">
        <v>1587</v>
      </c>
      <c r="D5" t="s">
        <v>2408</v>
      </c>
      <c r="E5">
        <v>3</v>
      </c>
      <c r="F5">
        <v>341.15</v>
      </c>
      <c r="G5" t="s">
        <v>2720</v>
      </c>
      <c r="H5" t="s">
        <v>3069</v>
      </c>
      <c r="I5" t="s">
        <v>3074</v>
      </c>
      <c r="J5" t="s">
        <v>3448</v>
      </c>
      <c r="K5">
        <v>4</v>
      </c>
      <c r="L5" t="s">
        <v>4276</v>
      </c>
      <c r="M5" t="s">
        <v>4278</v>
      </c>
      <c r="N5">
        <v>1023.45</v>
      </c>
      <c r="O5" t="s">
        <v>4290</v>
      </c>
      <c r="P5" t="s">
        <v>2720</v>
      </c>
      <c r="Q5" t="s">
        <v>3069</v>
      </c>
      <c r="R5" t="s">
        <v>4278</v>
      </c>
      <c r="S5">
        <v>255.86</v>
      </c>
    </row>
    <row r="6" spans="1:19" x14ac:dyDescent="0.3">
      <c r="A6" t="s">
        <v>659</v>
      </c>
      <c r="B6" s="3">
        <v>44928</v>
      </c>
      <c r="C6" t="s">
        <v>1858</v>
      </c>
      <c r="D6" t="s">
        <v>2408</v>
      </c>
      <c r="E6">
        <v>2</v>
      </c>
      <c r="F6">
        <v>150.05000000000001</v>
      </c>
      <c r="G6" t="s">
        <v>2525</v>
      </c>
      <c r="H6" t="s">
        <v>3067</v>
      </c>
      <c r="I6" t="s">
        <v>3071</v>
      </c>
      <c r="J6" t="s">
        <v>3720</v>
      </c>
      <c r="K6">
        <v>4</v>
      </c>
      <c r="L6" t="s">
        <v>4275</v>
      </c>
      <c r="M6" t="s">
        <v>4281</v>
      </c>
      <c r="N6">
        <v>300.10000000000002</v>
      </c>
      <c r="O6" t="s">
        <v>4290</v>
      </c>
      <c r="P6" t="s">
        <v>2525</v>
      </c>
      <c r="Q6" t="s">
        <v>3067</v>
      </c>
      <c r="R6" t="s">
        <v>4281</v>
      </c>
      <c r="S6">
        <v>75.02</v>
      </c>
    </row>
    <row r="7" spans="1:19" x14ac:dyDescent="0.3">
      <c r="A7" t="s">
        <v>895</v>
      </c>
      <c r="B7" s="3">
        <v>44929</v>
      </c>
      <c r="C7" t="s">
        <v>2091</v>
      </c>
      <c r="D7" t="s">
        <v>2405</v>
      </c>
      <c r="E7">
        <v>2</v>
      </c>
      <c r="F7">
        <v>448.85</v>
      </c>
      <c r="G7" t="s">
        <v>2966</v>
      </c>
      <c r="H7" t="s">
        <v>3067</v>
      </c>
      <c r="I7" t="s">
        <v>3074</v>
      </c>
      <c r="J7" t="s">
        <v>3956</v>
      </c>
      <c r="K7">
        <v>6</v>
      </c>
      <c r="L7" t="s">
        <v>4283</v>
      </c>
      <c r="M7" t="s">
        <v>4278</v>
      </c>
      <c r="N7">
        <v>897.7</v>
      </c>
      <c r="O7" t="s">
        <v>4290</v>
      </c>
      <c r="P7" t="s">
        <v>2966</v>
      </c>
      <c r="Q7" t="s">
        <v>3067</v>
      </c>
      <c r="R7" t="s">
        <v>4278</v>
      </c>
      <c r="S7">
        <v>149.62</v>
      </c>
    </row>
    <row r="8" spans="1:19" x14ac:dyDescent="0.3">
      <c r="A8" t="s">
        <v>14</v>
      </c>
      <c r="B8" s="3">
        <v>44930</v>
      </c>
      <c r="C8" t="s">
        <v>1214</v>
      </c>
      <c r="D8" t="s">
        <v>2403</v>
      </c>
      <c r="E8">
        <v>5</v>
      </c>
      <c r="F8">
        <v>570.62</v>
      </c>
      <c r="G8" t="s">
        <v>2410</v>
      </c>
      <c r="H8" t="s">
        <v>3065</v>
      </c>
      <c r="I8" t="s">
        <v>3070</v>
      </c>
      <c r="J8" t="s">
        <v>3075</v>
      </c>
      <c r="K8">
        <v>7</v>
      </c>
      <c r="L8" t="s">
        <v>4275</v>
      </c>
      <c r="M8" t="s">
        <v>4278</v>
      </c>
      <c r="N8">
        <v>2853.1</v>
      </c>
      <c r="O8" t="s">
        <v>4290</v>
      </c>
      <c r="P8" t="s">
        <v>2410</v>
      </c>
      <c r="Q8" t="s">
        <v>3065</v>
      </c>
      <c r="R8" t="s">
        <v>4278</v>
      </c>
      <c r="S8">
        <v>407.59</v>
      </c>
    </row>
    <row r="9" spans="1:19" x14ac:dyDescent="0.3">
      <c r="A9" t="s">
        <v>712</v>
      </c>
      <c r="B9" s="3">
        <v>44930</v>
      </c>
      <c r="C9" t="s">
        <v>1910</v>
      </c>
      <c r="D9" t="s">
        <v>2408</v>
      </c>
      <c r="E9">
        <v>2</v>
      </c>
      <c r="F9">
        <v>388.22</v>
      </c>
      <c r="G9" t="s">
        <v>2792</v>
      </c>
      <c r="H9" t="s">
        <v>3069</v>
      </c>
      <c r="I9" t="s">
        <v>3073</v>
      </c>
      <c r="J9" t="s">
        <v>3773</v>
      </c>
      <c r="K9">
        <v>2</v>
      </c>
      <c r="L9" t="s">
        <v>4277</v>
      </c>
      <c r="M9" t="s">
        <v>4278</v>
      </c>
      <c r="N9">
        <v>776.44</v>
      </c>
      <c r="O9" t="s">
        <v>4290</v>
      </c>
      <c r="P9" t="s">
        <v>2792</v>
      </c>
      <c r="Q9" t="s">
        <v>3069</v>
      </c>
      <c r="R9" t="s">
        <v>4278</v>
      </c>
      <c r="S9">
        <v>388.22</v>
      </c>
    </row>
    <row r="10" spans="1:19" x14ac:dyDescent="0.3">
      <c r="A10" t="s">
        <v>385</v>
      </c>
      <c r="B10" s="3">
        <v>44931</v>
      </c>
      <c r="C10" t="s">
        <v>1585</v>
      </c>
      <c r="D10" t="s">
        <v>2404</v>
      </c>
      <c r="E10">
        <v>5</v>
      </c>
      <c r="F10">
        <v>307.76</v>
      </c>
      <c r="G10" t="s">
        <v>2422</v>
      </c>
      <c r="H10" t="s">
        <v>3068</v>
      </c>
      <c r="I10" t="s">
        <v>3074</v>
      </c>
      <c r="J10" t="s">
        <v>3446</v>
      </c>
      <c r="K10">
        <v>9</v>
      </c>
      <c r="L10" t="s">
        <v>4276</v>
      </c>
      <c r="M10" t="s">
        <v>4282</v>
      </c>
      <c r="N10">
        <v>1538.8</v>
      </c>
      <c r="O10" t="s">
        <v>4290</v>
      </c>
      <c r="P10" t="s">
        <v>2422</v>
      </c>
      <c r="Q10" t="s">
        <v>3068</v>
      </c>
      <c r="R10" t="s">
        <v>4282</v>
      </c>
      <c r="S10">
        <v>170.98</v>
      </c>
    </row>
    <row r="11" spans="1:19" x14ac:dyDescent="0.3">
      <c r="A11" t="s">
        <v>505</v>
      </c>
      <c r="B11" s="3">
        <v>44931</v>
      </c>
      <c r="C11" t="s">
        <v>1705</v>
      </c>
      <c r="D11" t="s">
        <v>2404</v>
      </c>
      <c r="E11">
        <v>5</v>
      </c>
      <c r="F11">
        <v>420.7</v>
      </c>
      <c r="G11" t="s">
        <v>2780</v>
      </c>
      <c r="H11" t="s">
        <v>3069</v>
      </c>
      <c r="I11" t="s">
        <v>3074</v>
      </c>
      <c r="J11" t="s">
        <v>3566</v>
      </c>
      <c r="K11">
        <v>5</v>
      </c>
      <c r="L11" t="s">
        <v>4277</v>
      </c>
      <c r="M11" t="s">
        <v>4281</v>
      </c>
      <c r="N11">
        <v>2103.5</v>
      </c>
      <c r="O11" t="s">
        <v>4290</v>
      </c>
      <c r="P11" t="s">
        <v>2780</v>
      </c>
      <c r="Q11" t="s">
        <v>3069</v>
      </c>
      <c r="R11" t="s">
        <v>4281</v>
      </c>
      <c r="S11">
        <v>420.7</v>
      </c>
    </row>
    <row r="12" spans="1:19" x14ac:dyDescent="0.3">
      <c r="A12" t="s">
        <v>486</v>
      </c>
      <c r="B12" s="3">
        <v>44932</v>
      </c>
      <c r="C12" t="s">
        <v>1686</v>
      </c>
      <c r="D12" t="s">
        <v>2406</v>
      </c>
      <c r="E12">
        <v>3</v>
      </c>
      <c r="F12">
        <v>508.12</v>
      </c>
      <c r="G12" t="s">
        <v>2776</v>
      </c>
      <c r="H12" t="s">
        <v>3067</v>
      </c>
      <c r="I12" t="s">
        <v>3071</v>
      </c>
      <c r="J12" t="s">
        <v>3547</v>
      </c>
      <c r="K12">
        <v>8</v>
      </c>
      <c r="L12" t="s">
        <v>4276</v>
      </c>
      <c r="M12" t="s">
        <v>4279</v>
      </c>
      <c r="N12">
        <v>1524.36</v>
      </c>
      <c r="O12" t="s">
        <v>4290</v>
      </c>
      <c r="P12" t="s">
        <v>2776</v>
      </c>
      <c r="Q12" t="s">
        <v>3067</v>
      </c>
      <c r="R12" t="s">
        <v>4279</v>
      </c>
      <c r="S12">
        <v>190.54</v>
      </c>
    </row>
    <row r="13" spans="1:19" x14ac:dyDescent="0.3">
      <c r="A13" t="s">
        <v>48</v>
      </c>
      <c r="B13" s="3">
        <v>44933</v>
      </c>
      <c r="C13" t="s">
        <v>1248</v>
      </c>
      <c r="D13" t="s">
        <v>2406</v>
      </c>
      <c r="E13">
        <v>4</v>
      </c>
      <c r="F13">
        <v>576.52</v>
      </c>
      <c r="G13" t="s">
        <v>2444</v>
      </c>
      <c r="H13" t="s">
        <v>3067</v>
      </c>
      <c r="I13" t="s">
        <v>3074</v>
      </c>
      <c r="J13" t="s">
        <v>3109</v>
      </c>
      <c r="K13">
        <v>5</v>
      </c>
      <c r="L13" t="s">
        <v>4277</v>
      </c>
      <c r="M13" t="s">
        <v>4281</v>
      </c>
      <c r="N13">
        <v>2306.08</v>
      </c>
      <c r="O13" t="s">
        <v>4290</v>
      </c>
      <c r="P13" t="s">
        <v>2444</v>
      </c>
      <c r="Q13" t="s">
        <v>3067</v>
      </c>
      <c r="R13" t="s">
        <v>4281</v>
      </c>
      <c r="S13">
        <v>461.22</v>
      </c>
    </row>
    <row r="14" spans="1:19" x14ac:dyDescent="0.3">
      <c r="A14" t="s">
        <v>569</v>
      </c>
      <c r="B14" s="3">
        <v>44933</v>
      </c>
      <c r="C14" t="s">
        <v>1769</v>
      </c>
      <c r="D14" t="s">
        <v>2405</v>
      </c>
      <c r="E14">
        <v>1</v>
      </c>
      <c r="F14">
        <v>92.04</v>
      </c>
      <c r="G14" t="s">
        <v>2420</v>
      </c>
      <c r="H14" t="s">
        <v>3069</v>
      </c>
      <c r="I14" t="s">
        <v>3070</v>
      </c>
      <c r="J14" t="s">
        <v>3630</v>
      </c>
      <c r="K14">
        <v>2</v>
      </c>
      <c r="L14" t="s">
        <v>4283</v>
      </c>
      <c r="M14" t="s">
        <v>4281</v>
      </c>
      <c r="N14">
        <v>92.04</v>
      </c>
      <c r="O14" t="s">
        <v>4290</v>
      </c>
      <c r="P14" t="s">
        <v>2420</v>
      </c>
      <c r="Q14" t="s">
        <v>3069</v>
      </c>
      <c r="R14" t="s">
        <v>4281</v>
      </c>
      <c r="S14">
        <v>46.02</v>
      </c>
    </row>
    <row r="15" spans="1:19" x14ac:dyDescent="0.3">
      <c r="A15" t="s">
        <v>145</v>
      </c>
      <c r="B15" s="3">
        <v>44934</v>
      </c>
      <c r="C15" t="s">
        <v>1345</v>
      </c>
      <c r="D15" t="s">
        <v>2405</v>
      </c>
      <c r="E15">
        <v>1</v>
      </c>
      <c r="F15">
        <v>84.8</v>
      </c>
      <c r="G15" t="s">
        <v>2533</v>
      </c>
      <c r="H15" t="s">
        <v>3068</v>
      </c>
      <c r="I15" t="s">
        <v>3074</v>
      </c>
      <c r="J15" t="s">
        <v>3206</v>
      </c>
      <c r="K15">
        <v>5</v>
      </c>
      <c r="L15" t="s">
        <v>4283</v>
      </c>
      <c r="M15" t="s">
        <v>4278</v>
      </c>
      <c r="N15">
        <v>84.8</v>
      </c>
      <c r="O15" t="s">
        <v>4290</v>
      </c>
      <c r="P15" t="s">
        <v>2533</v>
      </c>
      <c r="Q15" t="s">
        <v>3068</v>
      </c>
      <c r="R15" t="s">
        <v>4278</v>
      </c>
      <c r="S15">
        <v>16.96</v>
      </c>
    </row>
    <row r="16" spans="1:19" x14ac:dyDescent="0.3">
      <c r="A16" t="s">
        <v>1098</v>
      </c>
      <c r="B16" s="3">
        <v>44934</v>
      </c>
      <c r="C16" t="s">
        <v>2290</v>
      </c>
      <c r="D16" t="s">
        <v>2404</v>
      </c>
      <c r="E16">
        <v>1</v>
      </c>
      <c r="F16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>
        <v>1</v>
      </c>
      <c r="L16" t="s">
        <v>4277</v>
      </c>
      <c r="M16" t="s">
        <v>4278</v>
      </c>
      <c r="N16">
        <v>70.819999999999993</v>
      </c>
      <c r="O16" t="s">
        <v>4290</v>
      </c>
      <c r="P16" t="s">
        <v>2445</v>
      </c>
      <c r="Q16" t="s">
        <v>3068</v>
      </c>
      <c r="R16" t="s">
        <v>4278</v>
      </c>
      <c r="S16">
        <v>70.819999999999993</v>
      </c>
    </row>
    <row r="17" spans="1:19" x14ac:dyDescent="0.3">
      <c r="A17" t="s">
        <v>1193</v>
      </c>
      <c r="B17" s="3">
        <v>44934</v>
      </c>
      <c r="C17" t="s">
        <v>2382</v>
      </c>
      <c r="D17" t="s">
        <v>2408</v>
      </c>
      <c r="E17">
        <v>5</v>
      </c>
      <c r="F1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>
        <v>6</v>
      </c>
      <c r="L17" t="s">
        <v>4277</v>
      </c>
      <c r="M17" t="s">
        <v>4278</v>
      </c>
      <c r="N17">
        <v>2592.75</v>
      </c>
      <c r="O17" t="s">
        <v>4290</v>
      </c>
      <c r="P17" t="s">
        <v>2709</v>
      </c>
      <c r="Q17" t="s">
        <v>3067</v>
      </c>
      <c r="R17" t="s">
        <v>4278</v>
      </c>
      <c r="S17">
        <v>432.12</v>
      </c>
    </row>
    <row r="18" spans="1:19" x14ac:dyDescent="0.3">
      <c r="A18" t="s">
        <v>276</v>
      </c>
      <c r="B18" s="3">
        <v>44936</v>
      </c>
      <c r="C18" t="s">
        <v>1476</v>
      </c>
      <c r="D18" t="s">
        <v>2404</v>
      </c>
      <c r="E18">
        <v>4</v>
      </c>
      <c r="F18">
        <v>249.07</v>
      </c>
      <c r="G18" t="s">
        <v>2536</v>
      </c>
      <c r="H18" t="s">
        <v>3067</v>
      </c>
      <c r="I18" t="s">
        <v>3072</v>
      </c>
      <c r="J18" t="s">
        <v>3337</v>
      </c>
      <c r="K18">
        <v>5</v>
      </c>
      <c r="L18" t="s">
        <v>4277</v>
      </c>
      <c r="M18" t="s">
        <v>4279</v>
      </c>
      <c r="N18">
        <v>996.28</v>
      </c>
      <c r="O18" t="s">
        <v>4290</v>
      </c>
      <c r="P18" t="s">
        <v>2536</v>
      </c>
      <c r="Q18" t="s">
        <v>3067</v>
      </c>
      <c r="R18" t="s">
        <v>4279</v>
      </c>
      <c r="S18">
        <v>199.26</v>
      </c>
    </row>
    <row r="19" spans="1:19" x14ac:dyDescent="0.3">
      <c r="A19" t="s">
        <v>432</v>
      </c>
      <c r="B19" s="3">
        <v>44937</v>
      </c>
      <c r="C19" t="s">
        <v>1632</v>
      </c>
      <c r="D19" t="s">
        <v>2407</v>
      </c>
      <c r="E19">
        <v>1</v>
      </c>
      <c r="F19">
        <v>310.93</v>
      </c>
      <c r="G19" t="s">
        <v>2743</v>
      </c>
      <c r="H19" t="s">
        <v>3066</v>
      </c>
      <c r="I19" t="s">
        <v>3071</v>
      </c>
      <c r="J19" t="s">
        <v>3493</v>
      </c>
      <c r="K19">
        <v>3</v>
      </c>
      <c r="L19" t="s">
        <v>4283</v>
      </c>
      <c r="M19" t="s">
        <v>4281</v>
      </c>
      <c r="N19">
        <v>310.93</v>
      </c>
      <c r="O19" t="s">
        <v>4290</v>
      </c>
      <c r="P19" t="s">
        <v>2743</v>
      </c>
      <c r="Q19" t="s">
        <v>3066</v>
      </c>
      <c r="R19" t="s">
        <v>4281</v>
      </c>
      <c r="S19">
        <v>103.64</v>
      </c>
    </row>
    <row r="20" spans="1:19" x14ac:dyDescent="0.3">
      <c r="A20" t="s">
        <v>1017</v>
      </c>
      <c r="B20" s="3">
        <v>44937</v>
      </c>
      <c r="C20" t="s">
        <v>2210</v>
      </c>
      <c r="D20" t="s">
        <v>2407</v>
      </c>
      <c r="E20">
        <v>5</v>
      </c>
      <c r="F20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>
        <v>7</v>
      </c>
      <c r="L20" t="s">
        <v>4275</v>
      </c>
      <c r="M20" t="s">
        <v>4282</v>
      </c>
      <c r="N20">
        <v>1599.85</v>
      </c>
      <c r="O20" t="s">
        <v>4290</v>
      </c>
      <c r="P20" t="s">
        <v>3001</v>
      </c>
      <c r="Q20" t="s">
        <v>3069</v>
      </c>
      <c r="R20" t="s">
        <v>4282</v>
      </c>
      <c r="S20">
        <v>228.55</v>
      </c>
    </row>
    <row r="21" spans="1:19" x14ac:dyDescent="0.3">
      <c r="A21" t="s">
        <v>971</v>
      </c>
      <c r="B21" s="3">
        <v>44938</v>
      </c>
      <c r="C21" t="s">
        <v>2164</v>
      </c>
      <c r="D21" t="s">
        <v>2403</v>
      </c>
      <c r="E21">
        <v>5</v>
      </c>
      <c r="F21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>
        <v>3219.45</v>
      </c>
      <c r="O21" t="s">
        <v>4290</v>
      </c>
      <c r="P21" t="s">
        <v>2988</v>
      </c>
      <c r="Q21" t="s">
        <v>3069</v>
      </c>
      <c r="R21" t="s">
        <v>4281</v>
      </c>
      <c r="S21">
        <v>402.43</v>
      </c>
    </row>
    <row r="22" spans="1:19" x14ac:dyDescent="0.3">
      <c r="A22" t="s">
        <v>1022</v>
      </c>
      <c r="B22" s="3">
        <v>44939</v>
      </c>
      <c r="C22" t="s">
        <v>2214</v>
      </c>
      <c r="D22" t="s">
        <v>2403</v>
      </c>
      <c r="E22">
        <v>3</v>
      </c>
      <c r="F22">
        <v>410.88</v>
      </c>
      <c r="G22" t="s">
        <v>2916</v>
      </c>
      <c r="H22" t="s">
        <v>3069</v>
      </c>
      <c r="I22" t="s">
        <v>3073</v>
      </c>
      <c r="J22" t="s">
        <v>4083</v>
      </c>
      <c r="K22">
        <v>8</v>
      </c>
      <c r="L22" t="s">
        <v>4276</v>
      </c>
      <c r="M22" t="s">
        <v>4278</v>
      </c>
      <c r="N22">
        <v>1232.6400000000001</v>
      </c>
      <c r="O22" t="s">
        <v>4290</v>
      </c>
      <c r="P22" t="s">
        <v>2916</v>
      </c>
      <c r="Q22" t="s">
        <v>3069</v>
      </c>
      <c r="R22" t="s">
        <v>4278</v>
      </c>
      <c r="S22">
        <v>154.08000000000001</v>
      </c>
    </row>
    <row r="23" spans="1:19" x14ac:dyDescent="0.3">
      <c r="A23" t="s">
        <v>107</v>
      </c>
      <c r="B23" s="3">
        <v>44940</v>
      </c>
      <c r="C23" t="s">
        <v>1307</v>
      </c>
      <c r="D23" t="s">
        <v>2409</v>
      </c>
      <c r="E23">
        <v>4</v>
      </c>
      <c r="F23">
        <v>431.01</v>
      </c>
      <c r="G23" t="s">
        <v>2497</v>
      </c>
      <c r="H23" t="s">
        <v>3067</v>
      </c>
      <c r="I23" t="s">
        <v>3072</v>
      </c>
      <c r="J23" t="s">
        <v>3168</v>
      </c>
      <c r="K23">
        <v>7</v>
      </c>
      <c r="L23" t="s">
        <v>4283</v>
      </c>
      <c r="M23" t="s">
        <v>4279</v>
      </c>
      <c r="N23">
        <v>1724.04</v>
      </c>
      <c r="O23" t="s">
        <v>4290</v>
      </c>
      <c r="P23" t="s">
        <v>2497</v>
      </c>
      <c r="Q23" t="s">
        <v>3067</v>
      </c>
      <c r="R23" t="s">
        <v>4279</v>
      </c>
      <c r="S23">
        <v>246.29</v>
      </c>
    </row>
    <row r="24" spans="1:19" x14ac:dyDescent="0.3">
      <c r="A24" t="s">
        <v>112</v>
      </c>
      <c r="B24" s="3">
        <v>44940</v>
      </c>
      <c r="C24" t="s">
        <v>1312</v>
      </c>
      <c r="D24" t="s">
        <v>2407</v>
      </c>
      <c r="E24">
        <v>2</v>
      </c>
      <c r="F24">
        <v>228.54</v>
      </c>
      <c r="G24" t="s">
        <v>2501</v>
      </c>
      <c r="H24" t="s">
        <v>3065</v>
      </c>
      <c r="I24" t="s">
        <v>3074</v>
      </c>
      <c r="J24" t="s">
        <v>3173</v>
      </c>
      <c r="K24">
        <v>3</v>
      </c>
      <c r="L24" t="s">
        <v>4283</v>
      </c>
      <c r="M24" t="s">
        <v>4280</v>
      </c>
      <c r="N24">
        <v>457.08</v>
      </c>
      <c r="O24" t="s">
        <v>4290</v>
      </c>
      <c r="P24" t="s">
        <v>2501</v>
      </c>
      <c r="Q24" t="s">
        <v>3065</v>
      </c>
      <c r="R24" t="s">
        <v>4280</v>
      </c>
      <c r="S24">
        <v>152.36000000000001</v>
      </c>
    </row>
    <row r="25" spans="1:19" x14ac:dyDescent="0.3">
      <c r="A25" t="s">
        <v>764</v>
      </c>
      <c r="B25" s="3">
        <v>44940</v>
      </c>
      <c r="C25" t="s">
        <v>1961</v>
      </c>
      <c r="D25" t="s">
        <v>2405</v>
      </c>
      <c r="E25">
        <v>4</v>
      </c>
      <c r="F25">
        <v>145.41</v>
      </c>
      <c r="G25" t="s">
        <v>2905</v>
      </c>
      <c r="H25" t="s">
        <v>3067</v>
      </c>
      <c r="I25" t="s">
        <v>3072</v>
      </c>
      <c r="J25" t="s">
        <v>3825</v>
      </c>
      <c r="K25">
        <v>7</v>
      </c>
      <c r="L25" t="s">
        <v>4276</v>
      </c>
      <c r="M25" t="s">
        <v>4280</v>
      </c>
      <c r="N25">
        <v>581.64</v>
      </c>
      <c r="O25" t="s">
        <v>4290</v>
      </c>
      <c r="P25" t="s">
        <v>2905</v>
      </c>
      <c r="Q25" t="s">
        <v>3067</v>
      </c>
      <c r="R25" t="s">
        <v>4280</v>
      </c>
      <c r="S25">
        <v>83.09</v>
      </c>
    </row>
    <row r="26" spans="1:19" x14ac:dyDescent="0.3">
      <c r="A26" t="s">
        <v>72</v>
      </c>
      <c r="B26" s="3">
        <v>44941</v>
      </c>
      <c r="C26" t="s">
        <v>1272</v>
      </c>
      <c r="D26" t="s">
        <v>2404</v>
      </c>
      <c r="E26">
        <v>4</v>
      </c>
      <c r="F26">
        <v>474.69</v>
      </c>
      <c r="G26" t="s">
        <v>2464</v>
      </c>
      <c r="H26" t="s">
        <v>3068</v>
      </c>
      <c r="I26" t="s">
        <v>3071</v>
      </c>
      <c r="J26" t="s">
        <v>3133</v>
      </c>
      <c r="K26">
        <v>6</v>
      </c>
      <c r="L26" t="s">
        <v>4275</v>
      </c>
      <c r="M26" t="s">
        <v>4282</v>
      </c>
      <c r="N26">
        <v>1898.76</v>
      </c>
      <c r="O26" t="s">
        <v>4290</v>
      </c>
      <c r="P26" t="s">
        <v>2464</v>
      </c>
      <c r="Q26" t="s">
        <v>3068</v>
      </c>
      <c r="R26" t="s">
        <v>4282</v>
      </c>
      <c r="S26">
        <v>316.45999999999998</v>
      </c>
    </row>
    <row r="27" spans="1:19" x14ac:dyDescent="0.3">
      <c r="A27" t="s">
        <v>497</v>
      </c>
      <c r="B27" s="3">
        <v>44944</v>
      </c>
      <c r="C27" t="s">
        <v>1697</v>
      </c>
      <c r="D27" t="s">
        <v>2404</v>
      </c>
      <c r="E27">
        <v>5</v>
      </c>
      <c r="F27">
        <v>347.92</v>
      </c>
      <c r="G27" t="s">
        <v>2782</v>
      </c>
      <c r="H27" t="s">
        <v>3069</v>
      </c>
      <c r="I27" t="s">
        <v>3074</v>
      </c>
      <c r="J27" t="s">
        <v>3558</v>
      </c>
      <c r="K27">
        <v>6</v>
      </c>
      <c r="L27" t="s">
        <v>4277</v>
      </c>
      <c r="M27" t="s">
        <v>4282</v>
      </c>
      <c r="N27">
        <v>1739.6</v>
      </c>
      <c r="O27" t="s">
        <v>4290</v>
      </c>
      <c r="P27" t="s">
        <v>2782</v>
      </c>
      <c r="Q27" t="s">
        <v>3069</v>
      </c>
      <c r="R27" t="s">
        <v>4282</v>
      </c>
      <c r="S27">
        <v>289.93</v>
      </c>
    </row>
    <row r="28" spans="1:19" x14ac:dyDescent="0.3">
      <c r="A28" t="s">
        <v>397</v>
      </c>
      <c r="B28" s="3">
        <v>44946</v>
      </c>
      <c r="C28" t="s">
        <v>1597</v>
      </c>
      <c r="D28" t="s">
        <v>2406</v>
      </c>
      <c r="E28">
        <v>4</v>
      </c>
      <c r="F28">
        <v>393.8</v>
      </c>
      <c r="G28" t="s">
        <v>2497</v>
      </c>
      <c r="H28" t="s">
        <v>3067</v>
      </c>
      <c r="I28" t="s">
        <v>3074</v>
      </c>
      <c r="J28" t="s">
        <v>3458</v>
      </c>
      <c r="K28">
        <v>7</v>
      </c>
      <c r="L28" t="s">
        <v>4275</v>
      </c>
      <c r="M28" t="s">
        <v>4280</v>
      </c>
      <c r="N28">
        <v>1575.2</v>
      </c>
      <c r="O28" t="s">
        <v>4290</v>
      </c>
      <c r="P28" t="s">
        <v>2497</v>
      </c>
      <c r="Q28" t="s">
        <v>3067</v>
      </c>
      <c r="R28" t="s">
        <v>4280</v>
      </c>
      <c r="S28">
        <v>225.03</v>
      </c>
    </row>
    <row r="29" spans="1:19" x14ac:dyDescent="0.3">
      <c r="A29" t="s">
        <v>653</v>
      </c>
      <c r="B29" s="3">
        <v>44946</v>
      </c>
      <c r="C29" t="s">
        <v>1852</v>
      </c>
      <c r="D29" t="s">
        <v>2406</v>
      </c>
      <c r="E29">
        <v>1</v>
      </c>
      <c r="F29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>
        <v>5</v>
      </c>
      <c r="L29" t="s">
        <v>4283</v>
      </c>
      <c r="M29" t="s">
        <v>4279</v>
      </c>
      <c r="N29">
        <v>529.19000000000005</v>
      </c>
      <c r="O29" t="s">
        <v>4290</v>
      </c>
      <c r="P29" t="s">
        <v>2772</v>
      </c>
      <c r="Q29" t="s">
        <v>3069</v>
      </c>
      <c r="R29" t="s">
        <v>4279</v>
      </c>
      <c r="S29">
        <v>105.84</v>
      </c>
    </row>
    <row r="30" spans="1:19" x14ac:dyDescent="0.3">
      <c r="A30" t="s">
        <v>1094</v>
      </c>
      <c r="B30" s="3">
        <v>44946</v>
      </c>
      <c r="C30" t="s">
        <v>2286</v>
      </c>
      <c r="D30" t="s">
        <v>2408</v>
      </c>
      <c r="E30">
        <v>5</v>
      </c>
      <c r="F30">
        <v>464.74</v>
      </c>
      <c r="G30" t="s">
        <v>3022</v>
      </c>
      <c r="H30" t="s">
        <v>3068</v>
      </c>
      <c r="I30" t="s">
        <v>3073</v>
      </c>
      <c r="J30" t="s">
        <v>4155</v>
      </c>
      <c r="K30">
        <v>7</v>
      </c>
      <c r="L30" t="s">
        <v>4283</v>
      </c>
      <c r="M30" t="s">
        <v>4279</v>
      </c>
      <c r="N30">
        <v>2323.6999999999998</v>
      </c>
      <c r="O30" t="s">
        <v>4290</v>
      </c>
      <c r="P30" t="s">
        <v>3022</v>
      </c>
      <c r="Q30" t="s">
        <v>3068</v>
      </c>
      <c r="R30" t="s">
        <v>4279</v>
      </c>
      <c r="S30">
        <v>331.96</v>
      </c>
    </row>
    <row r="31" spans="1:19" x14ac:dyDescent="0.3">
      <c r="A31" t="s">
        <v>71</v>
      </c>
      <c r="B31" s="3">
        <v>44948</v>
      </c>
      <c r="C31" t="s">
        <v>1271</v>
      </c>
      <c r="D31" t="s">
        <v>2407</v>
      </c>
      <c r="E31">
        <v>5</v>
      </c>
      <c r="F31">
        <v>314.27</v>
      </c>
      <c r="G31" t="s">
        <v>2463</v>
      </c>
      <c r="H31" t="s">
        <v>3069</v>
      </c>
      <c r="I31" t="s">
        <v>3072</v>
      </c>
      <c r="J31" t="s">
        <v>3132</v>
      </c>
      <c r="K31">
        <v>6</v>
      </c>
      <c r="L31" t="s">
        <v>4275</v>
      </c>
      <c r="M31" t="s">
        <v>4278</v>
      </c>
      <c r="N31">
        <v>1571.35</v>
      </c>
      <c r="O31" t="s">
        <v>4290</v>
      </c>
      <c r="P31" t="s">
        <v>2463</v>
      </c>
      <c r="Q31" t="s">
        <v>3069</v>
      </c>
      <c r="R31" t="s">
        <v>4278</v>
      </c>
      <c r="S31">
        <v>261.89</v>
      </c>
    </row>
    <row r="32" spans="1:19" x14ac:dyDescent="0.3">
      <c r="A32" t="s">
        <v>591</v>
      </c>
      <c r="B32" s="3">
        <v>44948</v>
      </c>
      <c r="C32" t="s">
        <v>1791</v>
      </c>
      <c r="D32" t="s">
        <v>2405</v>
      </c>
      <c r="E32">
        <v>4</v>
      </c>
      <c r="F32">
        <v>185.41</v>
      </c>
      <c r="G32" t="s">
        <v>2488</v>
      </c>
      <c r="H32" t="s">
        <v>3066</v>
      </c>
      <c r="I32" t="s">
        <v>3072</v>
      </c>
      <c r="J32" t="s">
        <v>3652</v>
      </c>
      <c r="K32">
        <v>9</v>
      </c>
      <c r="L32" t="s">
        <v>4277</v>
      </c>
      <c r="M32" t="s">
        <v>4282</v>
      </c>
      <c r="N32">
        <v>741.64</v>
      </c>
      <c r="O32" t="s">
        <v>4290</v>
      </c>
      <c r="P32" t="s">
        <v>2488</v>
      </c>
      <c r="Q32" t="s">
        <v>3066</v>
      </c>
      <c r="R32" t="s">
        <v>4282</v>
      </c>
      <c r="S32">
        <v>82.4</v>
      </c>
    </row>
    <row r="33" spans="1:19" x14ac:dyDescent="0.3">
      <c r="A33" t="s">
        <v>780</v>
      </c>
      <c r="B33" s="3">
        <v>44948</v>
      </c>
      <c r="C33" t="s">
        <v>1977</v>
      </c>
      <c r="D33" t="s">
        <v>2407</v>
      </c>
      <c r="E33">
        <v>2</v>
      </c>
      <c r="F33">
        <v>278.88</v>
      </c>
      <c r="G33" t="s">
        <v>2704</v>
      </c>
      <c r="H33" t="s">
        <v>3065</v>
      </c>
      <c r="I33" t="s">
        <v>3074</v>
      </c>
      <c r="J33" t="s">
        <v>3841</v>
      </c>
      <c r="K33">
        <v>3</v>
      </c>
      <c r="L33" t="s">
        <v>4276</v>
      </c>
      <c r="M33" t="s">
        <v>4279</v>
      </c>
      <c r="N33">
        <v>557.76</v>
      </c>
      <c r="O33" t="s">
        <v>4290</v>
      </c>
      <c r="P33" t="s">
        <v>2704</v>
      </c>
      <c r="Q33" t="s">
        <v>3065</v>
      </c>
      <c r="R33" t="s">
        <v>4279</v>
      </c>
      <c r="S33">
        <v>185.92</v>
      </c>
    </row>
    <row r="34" spans="1:19" x14ac:dyDescent="0.3">
      <c r="A34" t="s">
        <v>33</v>
      </c>
      <c r="B34" s="3">
        <v>44949</v>
      </c>
      <c r="C34" t="s">
        <v>1233</v>
      </c>
      <c r="D34" t="s">
        <v>2403</v>
      </c>
      <c r="E34">
        <v>5</v>
      </c>
      <c r="F34">
        <v>224</v>
      </c>
      <c r="G34" t="s">
        <v>2429</v>
      </c>
      <c r="H34" t="s">
        <v>3069</v>
      </c>
      <c r="I34" t="s">
        <v>3072</v>
      </c>
      <c r="J34" t="s">
        <v>3094</v>
      </c>
      <c r="K34">
        <v>9</v>
      </c>
      <c r="L34" t="s">
        <v>4275</v>
      </c>
      <c r="M34" t="s">
        <v>4282</v>
      </c>
      <c r="N34">
        <v>1120</v>
      </c>
      <c r="O34" t="s">
        <v>4290</v>
      </c>
      <c r="P34" t="s">
        <v>2429</v>
      </c>
      <c r="Q34" t="s">
        <v>3069</v>
      </c>
      <c r="R34" t="s">
        <v>4282</v>
      </c>
      <c r="S34">
        <v>124.44</v>
      </c>
    </row>
    <row r="35" spans="1:19" x14ac:dyDescent="0.3">
      <c r="A35" t="s">
        <v>706</v>
      </c>
      <c r="B35" s="3">
        <v>44949</v>
      </c>
      <c r="C35" t="s">
        <v>1904</v>
      </c>
      <c r="D35" t="s">
        <v>2409</v>
      </c>
      <c r="E35">
        <v>5</v>
      </c>
      <c r="F35">
        <v>196.84</v>
      </c>
      <c r="G35" t="s">
        <v>2732</v>
      </c>
      <c r="H35" t="s">
        <v>3067</v>
      </c>
      <c r="I35" t="s">
        <v>3073</v>
      </c>
      <c r="J35" t="s">
        <v>3767</v>
      </c>
      <c r="K35">
        <v>5</v>
      </c>
      <c r="L35" t="s">
        <v>4277</v>
      </c>
      <c r="M35" t="s">
        <v>4278</v>
      </c>
      <c r="N35">
        <v>984.2</v>
      </c>
      <c r="O35" t="s">
        <v>4290</v>
      </c>
      <c r="P35" t="s">
        <v>2732</v>
      </c>
      <c r="Q35" t="s">
        <v>3067</v>
      </c>
      <c r="R35" t="s">
        <v>4278</v>
      </c>
      <c r="S35">
        <v>196.84</v>
      </c>
    </row>
    <row r="36" spans="1:19" x14ac:dyDescent="0.3">
      <c r="A36" t="s">
        <v>969</v>
      </c>
      <c r="B36" s="3">
        <v>44949</v>
      </c>
      <c r="C36" t="s">
        <v>2163</v>
      </c>
      <c r="D36" t="s">
        <v>2406</v>
      </c>
      <c r="E36">
        <v>1</v>
      </c>
      <c r="F36">
        <v>408.13</v>
      </c>
      <c r="G36" t="s">
        <v>2623</v>
      </c>
      <c r="H36" t="s">
        <v>3068</v>
      </c>
      <c r="I36" t="s">
        <v>3070</v>
      </c>
      <c r="J36" t="s">
        <v>4030</v>
      </c>
      <c r="K36">
        <v>3</v>
      </c>
      <c r="L36" t="s">
        <v>4277</v>
      </c>
      <c r="M36" t="s">
        <v>4278</v>
      </c>
      <c r="N36">
        <v>408.13</v>
      </c>
      <c r="O36" t="s">
        <v>4290</v>
      </c>
      <c r="P36" t="s">
        <v>2623</v>
      </c>
      <c r="Q36" t="s">
        <v>3068</v>
      </c>
      <c r="R36" t="s">
        <v>4278</v>
      </c>
      <c r="S36">
        <v>136.04</v>
      </c>
    </row>
    <row r="37" spans="1:19" x14ac:dyDescent="0.3">
      <c r="A37" t="s">
        <v>30</v>
      </c>
      <c r="B37" s="3">
        <v>44950</v>
      </c>
      <c r="C37" t="s">
        <v>1230</v>
      </c>
      <c r="D37" t="s">
        <v>2407</v>
      </c>
      <c r="E37">
        <v>2</v>
      </c>
      <c r="F3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>
        <v>3</v>
      </c>
      <c r="L37" t="s">
        <v>4276</v>
      </c>
      <c r="M37" t="s">
        <v>4280</v>
      </c>
      <c r="N37">
        <v>1067.6199999999999</v>
      </c>
      <c r="O37" t="s">
        <v>4290</v>
      </c>
      <c r="P37" t="s">
        <v>2426</v>
      </c>
      <c r="Q37" t="s">
        <v>3067</v>
      </c>
      <c r="R37" t="s">
        <v>4280</v>
      </c>
      <c r="S37">
        <v>355.87</v>
      </c>
    </row>
    <row r="38" spans="1:19" x14ac:dyDescent="0.3">
      <c r="A38" t="s">
        <v>765</v>
      </c>
      <c r="B38" s="3">
        <v>44950</v>
      </c>
      <c r="C38" t="s">
        <v>1962</v>
      </c>
      <c r="D38" t="s">
        <v>2405</v>
      </c>
      <c r="E38">
        <v>2</v>
      </c>
      <c r="F38">
        <v>599.86</v>
      </c>
      <c r="G38" t="s">
        <v>2906</v>
      </c>
      <c r="H38" t="s">
        <v>3068</v>
      </c>
      <c r="I38" t="s">
        <v>3074</v>
      </c>
      <c r="J38" t="s">
        <v>3826</v>
      </c>
      <c r="K38">
        <v>7</v>
      </c>
      <c r="L38" t="s">
        <v>4276</v>
      </c>
      <c r="M38" t="s">
        <v>4281</v>
      </c>
      <c r="N38">
        <v>1199.72</v>
      </c>
      <c r="O38" t="s">
        <v>4290</v>
      </c>
      <c r="P38" t="s">
        <v>2906</v>
      </c>
      <c r="Q38" t="s">
        <v>3068</v>
      </c>
      <c r="R38" t="s">
        <v>4281</v>
      </c>
      <c r="S38">
        <v>171.39</v>
      </c>
    </row>
    <row r="39" spans="1:19" x14ac:dyDescent="0.3">
      <c r="A39" t="s">
        <v>309</v>
      </c>
      <c r="B39" s="3">
        <v>44951</v>
      </c>
      <c r="C39" t="s">
        <v>1509</v>
      </c>
      <c r="D39" t="s">
        <v>2407</v>
      </c>
      <c r="E39">
        <v>5</v>
      </c>
      <c r="F39">
        <v>107.48</v>
      </c>
      <c r="G39" t="s">
        <v>2660</v>
      </c>
      <c r="H39" t="s">
        <v>3065</v>
      </c>
      <c r="I39" t="s">
        <v>3071</v>
      </c>
      <c r="J39" t="s">
        <v>3370</v>
      </c>
      <c r="K39">
        <v>9</v>
      </c>
      <c r="L39" t="s">
        <v>4276</v>
      </c>
      <c r="M39" t="s">
        <v>4280</v>
      </c>
      <c r="N39">
        <v>537.4</v>
      </c>
      <c r="O39" t="s">
        <v>4290</v>
      </c>
      <c r="P39" t="s">
        <v>2660</v>
      </c>
      <c r="Q39" t="s">
        <v>3065</v>
      </c>
      <c r="R39" t="s">
        <v>4280</v>
      </c>
      <c r="S39">
        <v>59.71</v>
      </c>
    </row>
    <row r="40" spans="1:19" x14ac:dyDescent="0.3">
      <c r="A40" t="s">
        <v>587</v>
      </c>
      <c r="B40" s="3">
        <v>44951</v>
      </c>
      <c r="C40" t="s">
        <v>1787</v>
      </c>
      <c r="D40" t="s">
        <v>2406</v>
      </c>
      <c r="E40">
        <v>5</v>
      </c>
      <c r="F40">
        <v>421.42</v>
      </c>
      <c r="G40" t="s">
        <v>2511</v>
      </c>
      <c r="H40" t="s">
        <v>3065</v>
      </c>
      <c r="I40" t="s">
        <v>3071</v>
      </c>
      <c r="J40" t="s">
        <v>3648</v>
      </c>
      <c r="K40">
        <v>7</v>
      </c>
      <c r="L40" t="s">
        <v>4283</v>
      </c>
      <c r="M40" t="s">
        <v>4278</v>
      </c>
      <c r="N40">
        <v>2107.1</v>
      </c>
      <c r="O40" t="s">
        <v>4290</v>
      </c>
      <c r="P40" t="s">
        <v>2511</v>
      </c>
      <c r="Q40" t="s">
        <v>3065</v>
      </c>
      <c r="R40" t="s">
        <v>4278</v>
      </c>
      <c r="S40">
        <v>301.01</v>
      </c>
    </row>
    <row r="41" spans="1:19" x14ac:dyDescent="0.3">
      <c r="A41" t="s">
        <v>947</v>
      </c>
      <c r="B41" s="3">
        <v>44952</v>
      </c>
      <c r="C41" t="s">
        <v>2143</v>
      </c>
      <c r="D41" t="s">
        <v>2403</v>
      </c>
      <c r="E41">
        <v>2</v>
      </c>
      <c r="F41">
        <v>394.16</v>
      </c>
      <c r="G41" t="s">
        <v>2617</v>
      </c>
      <c r="H41" t="s">
        <v>3066</v>
      </c>
      <c r="I41" t="s">
        <v>3070</v>
      </c>
      <c r="J41" t="s">
        <v>4008</v>
      </c>
      <c r="K41">
        <v>2</v>
      </c>
      <c r="L41" t="s">
        <v>4283</v>
      </c>
      <c r="M41" t="s">
        <v>4279</v>
      </c>
      <c r="N41">
        <v>788.32</v>
      </c>
      <c r="O41" t="s">
        <v>4290</v>
      </c>
      <c r="P41" t="s">
        <v>2617</v>
      </c>
      <c r="Q41" t="s">
        <v>3066</v>
      </c>
      <c r="R41" t="s">
        <v>4279</v>
      </c>
      <c r="S41">
        <v>394.16</v>
      </c>
    </row>
    <row r="42" spans="1:19" x14ac:dyDescent="0.3">
      <c r="A42" t="s">
        <v>570</v>
      </c>
      <c r="B42" s="3">
        <v>44954</v>
      </c>
      <c r="C42" t="s">
        <v>1770</v>
      </c>
      <c r="D42" t="s">
        <v>2408</v>
      </c>
      <c r="E42">
        <v>1</v>
      </c>
      <c r="F42">
        <v>654.27</v>
      </c>
      <c r="G42" t="s">
        <v>2817</v>
      </c>
      <c r="H42" t="s">
        <v>3068</v>
      </c>
      <c r="I42" t="s">
        <v>3074</v>
      </c>
      <c r="J42" t="s">
        <v>3631</v>
      </c>
      <c r="K42">
        <v>2</v>
      </c>
      <c r="L42" t="s">
        <v>4275</v>
      </c>
      <c r="M42" t="s">
        <v>4281</v>
      </c>
      <c r="N42">
        <v>654.27</v>
      </c>
      <c r="O42" t="s">
        <v>4290</v>
      </c>
      <c r="P42" t="s">
        <v>2817</v>
      </c>
      <c r="Q42" t="s">
        <v>3068</v>
      </c>
      <c r="R42" t="s">
        <v>4281</v>
      </c>
      <c r="S42">
        <v>327.14</v>
      </c>
    </row>
    <row r="43" spans="1:19" x14ac:dyDescent="0.3">
      <c r="A43" t="s">
        <v>676</v>
      </c>
      <c r="B43" s="3">
        <v>44954</v>
      </c>
      <c r="C43" t="s">
        <v>1875</v>
      </c>
      <c r="D43" t="s">
        <v>2408</v>
      </c>
      <c r="E43">
        <v>3</v>
      </c>
      <c r="F43">
        <v>438.89</v>
      </c>
      <c r="G43" t="s">
        <v>2864</v>
      </c>
      <c r="H43" t="s">
        <v>3069</v>
      </c>
      <c r="I43" t="s">
        <v>3072</v>
      </c>
      <c r="J43" t="s">
        <v>3737</v>
      </c>
      <c r="K43">
        <v>3</v>
      </c>
      <c r="L43" t="s">
        <v>4283</v>
      </c>
      <c r="M43" t="s">
        <v>4281</v>
      </c>
      <c r="N43">
        <v>1316.67</v>
      </c>
      <c r="O43" t="s">
        <v>4290</v>
      </c>
      <c r="P43" t="s">
        <v>2864</v>
      </c>
      <c r="Q43" t="s">
        <v>3069</v>
      </c>
      <c r="R43" t="s">
        <v>4281</v>
      </c>
      <c r="S43">
        <v>438.89</v>
      </c>
    </row>
    <row r="44" spans="1:19" x14ac:dyDescent="0.3">
      <c r="A44" t="s">
        <v>991</v>
      </c>
      <c r="B44" s="3">
        <v>44954</v>
      </c>
      <c r="C44" t="s">
        <v>2184</v>
      </c>
      <c r="D44" t="s">
        <v>2406</v>
      </c>
      <c r="E44">
        <v>4</v>
      </c>
      <c r="F44">
        <v>649.47</v>
      </c>
      <c r="G44" t="s">
        <v>2994</v>
      </c>
      <c r="H44" t="s">
        <v>3069</v>
      </c>
      <c r="I44" t="s">
        <v>3074</v>
      </c>
      <c r="J44" t="s">
        <v>4052</v>
      </c>
      <c r="K44">
        <v>8</v>
      </c>
      <c r="L44" t="s">
        <v>4275</v>
      </c>
      <c r="M44" t="s">
        <v>4282</v>
      </c>
      <c r="N44">
        <v>2597.88</v>
      </c>
      <c r="O44" t="s">
        <v>4290</v>
      </c>
      <c r="P44" t="s">
        <v>2994</v>
      </c>
      <c r="Q44" t="s">
        <v>3069</v>
      </c>
      <c r="R44" t="s">
        <v>4282</v>
      </c>
      <c r="S44">
        <v>324.74</v>
      </c>
    </row>
    <row r="45" spans="1:19" x14ac:dyDescent="0.3">
      <c r="A45" t="s">
        <v>36</v>
      </c>
      <c r="B45" s="3">
        <v>44955</v>
      </c>
      <c r="C45" t="s">
        <v>1236</v>
      </c>
      <c r="D45" t="s">
        <v>2403</v>
      </c>
      <c r="E45">
        <v>2</v>
      </c>
      <c r="F45">
        <v>49.62</v>
      </c>
      <c r="G45" t="s">
        <v>2432</v>
      </c>
      <c r="H45" t="s">
        <v>3066</v>
      </c>
      <c r="I45" t="s">
        <v>3074</v>
      </c>
      <c r="J45" t="s">
        <v>3097</v>
      </c>
      <c r="K45">
        <v>2</v>
      </c>
      <c r="L45" t="s">
        <v>4275</v>
      </c>
      <c r="M45" t="s">
        <v>4282</v>
      </c>
      <c r="N45">
        <v>99.24</v>
      </c>
      <c r="O45" t="s">
        <v>4290</v>
      </c>
      <c r="P45" t="s">
        <v>2432</v>
      </c>
      <c r="Q45" t="s">
        <v>3066</v>
      </c>
      <c r="R45" t="s">
        <v>4282</v>
      </c>
      <c r="S45">
        <v>49.62</v>
      </c>
    </row>
    <row r="46" spans="1:19" x14ac:dyDescent="0.3">
      <c r="A46" t="s">
        <v>1165</v>
      </c>
      <c r="B46" s="3">
        <v>44955</v>
      </c>
      <c r="C46" t="s">
        <v>2354</v>
      </c>
      <c r="D46" t="s">
        <v>2406</v>
      </c>
      <c r="E46">
        <v>2</v>
      </c>
      <c r="F46">
        <v>608.04</v>
      </c>
      <c r="G46" t="s">
        <v>3047</v>
      </c>
      <c r="H46" t="s">
        <v>3069</v>
      </c>
      <c r="I46" t="s">
        <v>3071</v>
      </c>
      <c r="J46" t="s">
        <v>4226</v>
      </c>
      <c r="K46">
        <v>4</v>
      </c>
      <c r="L46" t="s">
        <v>4283</v>
      </c>
      <c r="M46" t="s">
        <v>4282</v>
      </c>
      <c r="N46">
        <v>1216.08</v>
      </c>
      <c r="O46" t="s">
        <v>4290</v>
      </c>
      <c r="P46" t="s">
        <v>3047</v>
      </c>
      <c r="Q46" t="s">
        <v>3069</v>
      </c>
      <c r="R46" t="s">
        <v>4282</v>
      </c>
      <c r="S46">
        <v>304.02</v>
      </c>
    </row>
    <row r="47" spans="1:19" x14ac:dyDescent="0.3">
      <c r="A47" t="s">
        <v>574</v>
      </c>
      <c r="B47" s="3">
        <v>44957</v>
      </c>
      <c r="C47" t="s">
        <v>1774</v>
      </c>
      <c r="D47" t="s">
        <v>2403</v>
      </c>
      <c r="E47">
        <v>4</v>
      </c>
      <c r="F47">
        <v>588.85</v>
      </c>
      <c r="G47" t="s">
        <v>2820</v>
      </c>
      <c r="H47" t="s">
        <v>3068</v>
      </c>
      <c r="I47" t="s">
        <v>3074</v>
      </c>
      <c r="J47" t="s">
        <v>3635</v>
      </c>
      <c r="K47">
        <v>7</v>
      </c>
      <c r="L47" t="s">
        <v>4283</v>
      </c>
      <c r="M47" t="s">
        <v>4280</v>
      </c>
      <c r="N47">
        <v>2355.4</v>
      </c>
      <c r="O47" t="s">
        <v>4290</v>
      </c>
      <c r="P47" t="s">
        <v>2820</v>
      </c>
      <c r="Q47" t="s">
        <v>3068</v>
      </c>
      <c r="R47" t="s">
        <v>4280</v>
      </c>
      <c r="S47">
        <v>336.49</v>
      </c>
    </row>
    <row r="48" spans="1:19" x14ac:dyDescent="0.3">
      <c r="A48" t="s">
        <v>575</v>
      </c>
      <c r="B48" s="3">
        <v>44957</v>
      </c>
      <c r="C48" t="s">
        <v>1775</v>
      </c>
      <c r="D48" t="s">
        <v>2407</v>
      </c>
      <c r="E48">
        <v>2</v>
      </c>
      <c r="F48">
        <v>494.78</v>
      </c>
      <c r="G48" t="s">
        <v>2821</v>
      </c>
      <c r="H48" t="s">
        <v>3066</v>
      </c>
      <c r="I48" t="s">
        <v>3070</v>
      </c>
      <c r="J48" t="s">
        <v>3636</v>
      </c>
      <c r="K48">
        <v>2</v>
      </c>
      <c r="L48" t="s">
        <v>4283</v>
      </c>
      <c r="M48" t="s">
        <v>4282</v>
      </c>
      <c r="N48">
        <v>989.56</v>
      </c>
      <c r="O48" t="s">
        <v>4290</v>
      </c>
      <c r="P48" t="s">
        <v>2821</v>
      </c>
      <c r="Q48" t="s">
        <v>3066</v>
      </c>
      <c r="R48" t="s">
        <v>4282</v>
      </c>
      <c r="S48">
        <v>494.78</v>
      </c>
    </row>
    <row r="49" spans="1:19" x14ac:dyDescent="0.3">
      <c r="A49" t="s">
        <v>693</v>
      </c>
      <c r="B49" s="3">
        <v>44959</v>
      </c>
      <c r="C49" t="s">
        <v>1891</v>
      </c>
      <c r="D49" t="s">
        <v>2405</v>
      </c>
      <c r="E49">
        <v>3</v>
      </c>
      <c r="F49">
        <v>360.66</v>
      </c>
      <c r="G49" t="s">
        <v>2733</v>
      </c>
      <c r="H49" t="s">
        <v>3066</v>
      </c>
      <c r="I49" t="s">
        <v>3072</v>
      </c>
      <c r="J49" t="s">
        <v>3754</v>
      </c>
      <c r="K49">
        <v>5</v>
      </c>
      <c r="L49" t="s">
        <v>4276</v>
      </c>
      <c r="M49" t="s">
        <v>4278</v>
      </c>
      <c r="N49">
        <v>1081.98</v>
      </c>
      <c r="O49" t="s">
        <v>4290</v>
      </c>
      <c r="P49" t="s">
        <v>2733</v>
      </c>
      <c r="Q49" t="s">
        <v>3066</v>
      </c>
      <c r="R49" t="s">
        <v>4278</v>
      </c>
      <c r="S49">
        <v>216.4</v>
      </c>
    </row>
    <row r="50" spans="1:19" x14ac:dyDescent="0.3">
      <c r="A50" t="s">
        <v>850</v>
      </c>
      <c r="B50" s="3">
        <v>44959</v>
      </c>
      <c r="C50" t="s">
        <v>2046</v>
      </c>
      <c r="D50" t="s">
        <v>2404</v>
      </c>
      <c r="E50">
        <v>1</v>
      </c>
      <c r="F50">
        <v>178.44</v>
      </c>
      <c r="G50" t="s">
        <v>2860</v>
      </c>
      <c r="H50" t="s">
        <v>3067</v>
      </c>
      <c r="I50" t="s">
        <v>3071</v>
      </c>
      <c r="J50" t="s">
        <v>3911</v>
      </c>
      <c r="K50">
        <v>2</v>
      </c>
      <c r="L50" t="s">
        <v>4276</v>
      </c>
      <c r="M50" t="s">
        <v>4282</v>
      </c>
      <c r="N50">
        <v>178.44</v>
      </c>
      <c r="O50" t="s">
        <v>4290</v>
      </c>
      <c r="P50" t="s">
        <v>2860</v>
      </c>
      <c r="Q50" t="s">
        <v>3067</v>
      </c>
      <c r="R50" t="s">
        <v>4282</v>
      </c>
      <c r="S50">
        <v>89.22</v>
      </c>
    </row>
    <row r="51" spans="1:19" x14ac:dyDescent="0.3">
      <c r="A51" t="s">
        <v>500</v>
      </c>
      <c r="B51" s="3">
        <v>44960</v>
      </c>
      <c r="C51" t="s">
        <v>1700</v>
      </c>
      <c r="D51" t="s">
        <v>2407</v>
      </c>
      <c r="E51">
        <v>4</v>
      </c>
      <c r="F51">
        <v>611.26</v>
      </c>
      <c r="G51" t="s">
        <v>2727</v>
      </c>
      <c r="H51" t="s">
        <v>3069</v>
      </c>
      <c r="I51" t="s">
        <v>3070</v>
      </c>
      <c r="J51" t="s">
        <v>3561</v>
      </c>
      <c r="K51">
        <v>5</v>
      </c>
      <c r="L51" t="s">
        <v>4275</v>
      </c>
      <c r="M51" t="s">
        <v>4279</v>
      </c>
      <c r="N51">
        <v>2445.04</v>
      </c>
      <c r="O51" t="s">
        <v>4290</v>
      </c>
      <c r="P51" t="s">
        <v>2727</v>
      </c>
      <c r="Q51" t="s">
        <v>3069</v>
      </c>
      <c r="R51" t="s">
        <v>4279</v>
      </c>
      <c r="S51">
        <v>489.01</v>
      </c>
    </row>
    <row r="52" spans="1:19" x14ac:dyDescent="0.3">
      <c r="A52" t="s">
        <v>288</v>
      </c>
      <c r="B52" s="3">
        <v>44961</v>
      </c>
      <c r="C52" t="s">
        <v>1488</v>
      </c>
      <c r="D52" t="s">
        <v>2404</v>
      </c>
      <c r="E52">
        <v>2</v>
      </c>
      <c r="F52">
        <v>182.4</v>
      </c>
      <c r="G52" t="s">
        <v>2644</v>
      </c>
      <c r="H52" t="s">
        <v>3068</v>
      </c>
      <c r="I52" t="s">
        <v>3071</v>
      </c>
      <c r="J52" t="s">
        <v>3349</v>
      </c>
      <c r="K52">
        <v>5</v>
      </c>
      <c r="L52" t="s">
        <v>4275</v>
      </c>
      <c r="M52" t="s">
        <v>4279</v>
      </c>
      <c r="N52">
        <v>364.8</v>
      </c>
      <c r="O52" t="s">
        <v>4290</v>
      </c>
      <c r="P52" t="s">
        <v>2644</v>
      </c>
      <c r="Q52" t="s">
        <v>3068</v>
      </c>
      <c r="R52" t="s">
        <v>4279</v>
      </c>
      <c r="S52">
        <v>72.959999999999994</v>
      </c>
    </row>
    <row r="53" spans="1:19" x14ac:dyDescent="0.3">
      <c r="A53" t="s">
        <v>683</v>
      </c>
      <c r="B53" s="3">
        <v>44962</v>
      </c>
      <c r="C53" t="s">
        <v>1881</v>
      </c>
      <c r="D53" t="s">
        <v>2409</v>
      </c>
      <c r="E53">
        <v>1</v>
      </c>
      <c r="F53">
        <v>257</v>
      </c>
      <c r="G53" t="s">
        <v>2867</v>
      </c>
      <c r="H53" t="s">
        <v>3065</v>
      </c>
      <c r="I53" t="s">
        <v>3071</v>
      </c>
      <c r="J53" t="s">
        <v>3744</v>
      </c>
      <c r="K53">
        <v>5</v>
      </c>
      <c r="L53" t="s">
        <v>4283</v>
      </c>
      <c r="M53" t="s">
        <v>4279</v>
      </c>
      <c r="N53">
        <v>257</v>
      </c>
      <c r="O53" t="s">
        <v>4290</v>
      </c>
      <c r="P53" t="s">
        <v>2867</v>
      </c>
      <c r="Q53" t="s">
        <v>3065</v>
      </c>
      <c r="R53" t="s">
        <v>4279</v>
      </c>
      <c r="S53">
        <v>51.4</v>
      </c>
    </row>
    <row r="54" spans="1:19" x14ac:dyDescent="0.3">
      <c r="A54" t="s">
        <v>843</v>
      </c>
      <c r="B54" s="3">
        <v>44962</v>
      </c>
      <c r="C54" t="s">
        <v>2039</v>
      </c>
      <c r="D54" t="s">
        <v>2403</v>
      </c>
      <c r="E54">
        <v>1</v>
      </c>
      <c r="F54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>
        <v>6</v>
      </c>
      <c r="L54" t="s">
        <v>4277</v>
      </c>
      <c r="M54" t="s">
        <v>4278</v>
      </c>
      <c r="N54">
        <v>76.930000000000007</v>
      </c>
      <c r="O54" t="s">
        <v>4290</v>
      </c>
      <c r="P54" t="s">
        <v>2946</v>
      </c>
      <c r="Q54" t="s">
        <v>3065</v>
      </c>
      <c r="R54" t="s">
        <v>4278</v>
      </c>
      <c r="S54">
        <v>12.82</v>
      </c>
    </row>
    <row r="55" spans="1:19" x14ac:dyDescent="0.3">
      <c r="A55" t="s">
        <v>967</v>
      </c>
      <c r="B55" s="3">
        <v>44963</v>
      </c>
      <c r="C55" t="s">
        <v>2161</v>
      </c>
      <c r="D55" t="s">
        <v>2404</v>
      </c>
      <c r="E55">
        <v>1</v>
      </c>
      <c r="F55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>
        <v>2</v>
      </c>
      <c r="L55" t="s">
        <v>4276</v>
      </c>
      <c r="M55" t="s">
        <v>4281</v>
      </c>
      <c r="N55">
        <v>131.61000000000001</v>
      </c>
      <c r="O55" t="s">
        <v>4290</v>
      </c>
      <c r="P55" t="s">
        <v>2486</v>
      </c>
      <c r="Q55" t="s">
        <v>3069</v>
      </c>
      <c r="R55" t="s">
        <v>4281</v>
      </c>
      <c r="S55">
        <v>65.8</v>
      </c>
    </row>
    <row r="56" spans="1:19" x14ac:dyDescent="0.3">
      <c r="A56" t="s">
        <v>201</v>
      </c>
      <c r="B56" s="3">
        <v>44965</v>
      </c>
      <c r="C56" t="s">
        <v>1401</v>
      </c>
      <c r="D56" t="s">
        <v>2406</v>
      </c>
      <c r="E56">
        <v>1</v>
      </c>
      <c r="F56">
        <v>590.87</v>
      </c>
      <c r="G56" t="s">
        <v>2579</v>
      </c>
      <c r="H56" t="s">
        <v>3068</v>
      </c>
      <c r="I56" t="s">
        <v>3072</v>
      </c>
      <c r="J56" t="s">
        <v>3262</v>
      </c>
      <c r="K56">
        <v>6</v>
      </c>
      <c r="L56" t="s">
        <v>4276</v>
      </c>
      <c r="M56" t="s">
        <v>4279</v>
      </c>
      <c r="N56">
        <v>590.87</v>
      </c>
      <c r="O56" t="s">
        <v>4290</v>
      </c>
      <c r="P56" t="s">
        <v>2579</v>
      </c>
      <c r="Q56" t="s">
        <v>3068</v>
      </c>
      <c r="R56" t="s">
        <v>4279</v>
      </c>
      <c r="S56">
        <v>98.48</v>
      </c>
    </row>
    <row r="57" spans="1:19" x14ac:dyDescent="0.3">
      <c r="A57" t="s">
        <v>380</v>
      </c>
      <c r="B57" s="3">
        <v>44967</v>
      </c>
      <c r="C57" t="s">
        <v>1580</v>
      </c>
      <c r="D57" t="s">
        <v>2407</v>
      </c>
      <c r="E57">
        <v>3</v>
      </c>
      <c r="F57">
        <v>602.24</v>
      </c>
      <c r="G57" t="s">
        <v>2715</v>
      </c>
      <c r="H57" t="s">
        <v>3065</v>
      </c>
      <c r="I57" t="s">
        <v>3074</v>
      </c>
      <c r="J57" t="s">
        <v>3441</v>
      </c>
      <c r="K57">
        <v>8</v>
      </c>
      <c r="L57" t="s">
        <v>4283</v>
      </c>
      <c r="M57" t="s">
        <v>4279</v>
      </c>
      <c r="N57">
        <v>1806.72</v>
      </c>
      <c r="O57" t="s">
        <v>4290</v>
      </c>
      <c r="P57" t="s">
        <v>2715</v>
      </c>
      <c r="Q57" t="s">
        <v>3065</v>
      </c>
      <c r="R57" t="s">
        <v>4279</v>
      </c>
      <c r="S57">
        <v>225.84</v>
      </c>
    </row>
    <row r="58" spans="1:19" x14ac:dyDescent="0.3">
      <c r="A58" t="s">
        <v>108</v>
      </c>
      <c r="B58" s="3">
        <v>44968</v>
      </c>
      <c r="C58" t="s">
        <v>1308</v>
      </c>
      <c r="D58" t="s">
        <v>2406</v>
      </c>
      <c r="E58">
        <v>1</v>
      </c>
      <c r="F58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>
        <v>6</v>
      </c>
      <c r="L58" t="s">
        <v>4277</v>
      </c>
      <c r="M58" t="s">
        <v>4278</v>
      </c>
      <c r="N58">
        <v>531.17999999999995</v>
      </c>
      <c r="O58" t="s">
        <v>4290</v>
      </c>
      <c r="P58" t="s">
        <v>2498</v>
      </c>
      <c r="Q58" t="s">
        <v>3068</v>
      </c>
      <c r="R58" t="s">
        <v>4278</v>
      </c>
      <c r="S58">
        <v>88.53</v>
      </c>
    </row>
    <row r="59" spans="1:19" x14ac:dyDescent="0.3">
      <c r="A59" t="s">
        <v>450</v>
      </c>
      <c r="B59" s="3">
        <v>44968</v>
      </c>
      <c r="C59" t="s">
        <v>1650</v>
      </c>
      <c r="D59" t="s">
        <v>2408</v>
      </c>
      <c r="E59">
        <v>4</v>
      </c>
      <c r="F59">
        <v>221.33</v>
      </c>
      <c r="G59" t="s">
        <v>2553</v>
      </c>
      <c r="H59" t="s">
        <v>3066</v>
      </c>
      <c r="I59" t="s">
        <v>3074</v>
      </c>
      <c r="J59" t="s">
        <v>3511</v>
      </c>
      <c r="K59">
        <v>5</v>
      </c>
      <c r="L59" t="s">
        <v>4283</v>
      </c>
      <c r="M59" t="s">
        <v>4282</v>
      </c>
      <c r="N59">
        <v>885.32</v>
      </c>
      <c r="O59" t="s">
        <v>4290</v>
      </c>
      <c r="P59" t="s">
        <v>2553</v>
      </c>
      <c r="Q59" t="s">
        <v>3066</v>
      </c>
      <c r="R59" t="s">
        <v>4282</v>
      </c>
      <c r="S59">
        <v>177.06</v>
      </c>
    </row>
    <row r="60" spans="1:19" x14ac:dyDescent="0.3">
      <c r="A60" t="s">
        <v>937</v>
      </c>
      <c r="B60" s="3">
        <v>44968</v>
      </c>
      <c r="C60" t="s">
        <v>2133</v>
      </c>
      <c r="D60" t="s">
        <v>2407</v>
      </c>
      <c r="E60">
        <v>3</v>
      </c>
      <c r="F60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>
        <v>7</v>
      </c>
      <c r="L60" t="s">
        <v>4277</v>
      </c>
      <c r="M60" t="s">
        <v>4281</v>
      </c>
      <c r="N60">
        <v>1949.79</v>
      </c>
      <c r="O60" t="s">
        <v>4290</v>
      </c>
      <c r="P60" t="s">
        <v>2979</v>
      </c>
      <c r="Q60" t="s">
        <v>3067</v>
      </c>
      <c r="R60" t="s">
        <v>4281</v>
      </c>
      <c r="S60">
        <v>278.54000000000002</v>
      </c>
    </row>
    <row r="61" spans="1:19" x14ac:dyDescent="0.3">
      <c r="A61" t="s">
        <v>1055</v>
      </c>
      <c r="B61" s="3">
        <v>44968</v>
      </c>
      <c r="C61" t="s">
        <v>2247</v>
      </c>
      <c r="D61" t="s">
        <v>2403</v>
      </c>
      <c r="E61">
        <v>4</v>
      </c>
      <c r="F61">
        <v>558.9</v>
      </c>
      <c r="G61" t="s">
        <v>2608</v>
      </c>
      <c r="H61" t="s">
        <v>3068</v>
      </c>
      <c r="I61" t="s">
        <v>3070</v>
      </c>
      <c r="J61" t="s">
        <v>4116</v>
      </c>
      <c r="K61">
        <v>9</v>
      </c>
      <c r="L61" t="s">
        <v>4277</v>
      </c>
      <c r="M61" t="s">
        <v>4282</v>
      </c>
      <c r="N61">
        <v>2235.6</v>
      </c>
      <c r="O61" t="s">
        <v>4290</v>
      </c>
      <c r="P61" t="s">
        <v>2608</v>
      </c>
      <c r="Q61" t="s">
        <v>3068</v>
      </c>
      <c r="R61" t="s">
        <v>4282</v>
      </c>
      <c r="S61">
        <v>248.4</v>
      </c>
    </row>
    <row r="62" spans="1:19" x14ac:dyDescent="0.3">
      <c r="A62" t="s">
        <v>941</v>
      </c>
      <c r="B62" s="3">
        <v>44971</v>
      </c>
      <c r="C62" t="s">
        <v>2137</v>
      </c>
      <c r="D62" t="s">
        <v>2408</v>
      </c>
      <c r="E62">
        <v>4</v>
      </c>
      <c r="F62">
        <v>64.69</v>
      </c>
      <c r="G62" t="s">
        <v>2873</v>
      </c>
      <c r="H62" t="s">
        <v>3065</v>
      </c>
      <c r="I62" t="s">
        <v>3070</v>
      </c>
      <c r="J62" t="s">
        <v>4002</v>
      </c>
      <c r="K62">
        <v>7</v>
      </c>
      <c r="L62" t="s">
        <v>4277</v>
      </c>
      <c r="M62" t="s">
        <v>4282</v>
      </c>
      <c r="N62">
        <v>258.76</v>
      </c>
      <c r="O62" t="s">
        <v>4290</v>
      </c>
      <c r="P62" t="s">
        <v>2873</v>
      </c>
      <c r="Q62" t="s">
        <v>3065</v>
      </c>
      <c r="R62" t="s">
        <v>4282</v>
      </c>
      <c r="S62">
        <v>36.97</v>
      </c>
    </row>
    <row r="63" spans="1:19" x14ac:dyDescent="0.3">
      <c r="A63" t="s">
        <v>523</v>
      </c>
      <c r="B63" s="3">
        <v>44972</v>
      </c>
      <c r="C63" t="s">
        <v>1723</v>
      </c>
      <c r="D63" t="s">
        <v>2408</v>
      </c>
      <c r="E63">
        <v>2</v>
      </c>
      <c r="F63">
        <v>425.03</v>
      </c>
      <c r="G63" t="s">
        <v>2798</v>
      </c>
      <c r="H63" t="s">
        <v>3069</v>
      </c>
      <c r="I63" t="s">
        <v>3072</v>
      </c>
      <c r="J63" t="s">
        <v>3584</v>
      </c>
      <c r="K63">
        <v>2</v>
      </c>
      <c r="L63" t="s">
        <v>4277</v>
      </c>
      <c r="M63" t="s">
        <v>4282</v>
      </c>
      <c r="N63">
        <v>850.06</v>
      </c>
      <c r="O63" t="s">
        <v>4290</v>
      </c>
      <c r="P63" t="s">
        <v>2798</v>
      </c>
      <c r="Q63" t="s">
        <v>3069</v>
      </c>
      <c r="R63" t="s">
        <v>4282</v>
      </c>
      <c r="S63">
        <v>425.03</v>
      </c>
    </row>
    <row r="64" spans="1:19" x14ac:dyDescent="0.3">
      <c r="A64" t="s">
        <v>258</v>
      </c>
      <c r="B64" s="3">
        <v>44973</v>
      </c>
      <c r="C64" t="s">
        <v>1458</v>
      </c>
      <c r="D64" t="s">
        <v>2409</v>
      </c>
      <c r="E64">
        <v>2</v>
      </c>
      <c r="F64">
        <v>317.77</v>
      </c>
      <c r="G64" t="s">
        <v>2621</v>
      </c>
      <c r="H64" t="s">
        <v>3065</v>
      </c>
      <c r="I64" t="s">
        <v>3071</v>
      </c>
      <c r="J64" t="s">
        <v>3319</v>
      </c>
      <c r="K64">
        <v>4</v>
      </c>
      <c r="L64" t="s">
        <v>4277</v>
      </c>
      <c r="M64" t="s">
        <v>4281</v>
      </c>
      <c r="N64">
        <v>635.54</v>
      </c>
      <c r="O64" t="s">
        <v>4290</v>
      </c>
      <c r="P64" t="s">
        <v>2621</v>
      </c>
      <c r="Q64" t="s">
        <v>3065</v>
      </c>
      <c r="R64" t="s">
        <v>4281</v>
      </c>
      <c r="S64">
        <v>158.88</v>
      </c>
    </row>
    <row r="65" spans="1:19" x14ac:dyDescent="0.3">
      <c r="A65" t="s">
        <v>298</v>
      </c>
      <c r="B65" s="3">
        <v>44973</v>
      </c>
      <c r="C65" t="s">
        <v>1498</v>
      </c>
      <c r="D65" t="s">
        <v>2408</v>
      </c>
      <c r="E65">
        <v>5</v>
      </c>
      <c r="F65">
        <v>208.17</v>
      </c>
      <c r="G65" t="s">
        <v>2654</v>
      </c>
      <c r="H65" t="s">
        <v>3067</v>
      </c>
      <c r="I65" t="s">
        <v>3072</v>
      </c>
      <c r="J65" t="s">
        <v>3359</v>
      </c>
      <c r="K65">
        <v>6</v>
      </c>
      <c r="L65" t="s">
        <v>4275</v>
      </c>
      <c r="M65" t="s">
        <v>4281</v>
      </c>
      <c r="N65">
        <v>1040.8499999999999</v>
      </c>
      <c r="O65" t="s">
        <v>4290</v>
      </c>
      <c r="P65" t="s">
        <v>2654</v>
      </c>
      <c r="Q65" t="s">
        <v>3067</v>
      </c>
      <c r="R65" t="s">
        <v>4281</v>
      </c>
      <c r="S65">
        <v>173.48</v>
      </c>
    </row>
    <row r="66" spans="1:19" x14ac:dyDescent="0.3">
      <c r="A66" t="s">
        <v>307</v>
      </c>
      <c r="B66" s="3">
        <v>44973</v>
      </c>
      <c r="C66" t="s">
        <v>1507</v>
      </c>
      <c r="D66" t="s">
        <v>2405</v>
      </c>
      <c r="E66">
        <v>4</v>
      </c>
      <c r="F66">
        <v>463.04</v>
      </c>
      <c r="G66" t="s">
        <v>2658</v>
      </c>
      <c r="H66" t="s">
        <v>3068</v>
      </c>
      <c r="I66" t="s">
        <v>3072</v>
      </c>
      <c r="J66" t="s">
        <v>3368</v>
      </c>
      <c r="K66">
        <v>9</v>
      </c>
      <c r="L66" t="s">
        <v>4283</v>
      </c>
      <c r="M66" t="s">
        <v>4278</v>
      </c>
      <c r="N66">
        <v>1852.16</v>
      </c>
      <c r="O66" t="s">
        <v>4290</v>
      </c>
      <c r="P66" t="s">
        <v>2658</v>
      </c>
      <c r="Q66" t="s">
        <v>3068</v>
      </c>
      <c r="R66" t="s">
        <v>4278</v>
      </c>
      <c r="S66">
        <v>205.8</v>
      </c>
    </row>
    <row r="67" spans="1:19" x14ac:dyDescent="0.3">
      <c r="A67" t="s">
        <v>927</v>
      </c>
      <c r="B67" s="3">
        <v>44973</v>
      </c>
      <c r="C67" t="s">
        <v>2123</v>
      </c>
      <c r="D67" t="s">
        <v>2407</v>
      </c>
      <c r="E67">
        <v>5</v>
      </c>
      <c r="F67">
        <v>475.95</v>
      </c>
      <c r="G67" t="s">
        <v>2583</v>
      </c>
      <c r="H67" t="s">
        <v>3067</v>
      </c>
      <c r="I67" t="s">
        <v>3072</v>
      </c>
      <c r="J67" t="s">
        <v>3988</v>
      </c>
      <c r="K67">
        <v>8</v>
      </c>
      <c r="L67" t="s">
        <v>4277</v>
      </c>
      <c r="M67" t="s">
        <v>4281</v>
      </c>
      <c r="N67">
        <v>2379.75</v>
      </c>
      <c r="O67" t="s">
        <v>4290</v>
      </c>
      <c r="P67" t="s">
        <v>2583</v>
      </c>
      <c r="Q67" t="s">
        <v>3067</v>
      </c>
      <c r="R67" t="s">
        <v>4281</v>
      </c>
      <c r="S67">
        <v>297.47000000000003</v>
      </c>
    </row>
    <row r="68" spans="1:19" x14ac:dyDescent="0.3">
      <c r="A68" t="s">
        <v>1158</v>
      </c>
      <c r="B68" s="3">
        <v>44973</v>
      </c>
      <c r="C68" t="s">
        <v>2347</v>
      </c>
      <c r="D68" t="s">
        <v>2409</v>
      </c>
      <c r="E68">
        <v>5</v>
      </c>
      <c r="F68">
        <v>507.94</v>
      </c>
      <c r="G68" t="s">
        <v>3043</v>
      </c>
      <c r="H68" t="s">
        <v>3066</v>
      </c>
      <c r="I68" t="s">
        <v>3071</v>
      </c>
      <c r="J68" t="s">
        <v>4219</v>
      </c>
      <c r="K68">
        <v>9</v>
      </c>
      <c r="L68" t="s">
        <v>4283</v>
      </c>
      <c r="M68" t="s">
        <v>4281</v>
      </c>
      <c r="N68">
        <v>2539.6999999999998</v>
      </c>
      <c r="O68" t="s">
        <v>4290</v>
      </c>
      <c r="P68" t="s">
        <v>3043</v>
      </c>
      <c r="Q68" t="s">
        <v>3066</v>
      </c>
      <c r="R68" t="s">
        <v>4281</v>
      </c>
      <c r="S68">
        <v>282.19</v>
      </c>
    </row>
    <row r="69" spans="1:19" x14ac:dyDescent="0.3">
      <c r="A69" t="s">
        <v>114</v>
      </c>
      <c r="B69" s="3">
        <v>44974</v>
      </c>
      <c r="C69" t="s">
        <v>1314</v>
      </c>
      <c r="D69" t="s">
        <v>2404</v>
      </c>
      <c r="E69">
        <v>3</v>
      </c>
      <c r="F69">
        <v>664.79</v>
      </c>
      <c r="G69" t="s">
        <v>2503</v>
      </c>
      <c r="H69" t="s">
        <v>3066</v>
      </c>
      <c r="I69" t="s">
        <v>3073</v>
      </c>
      <c r="J69" t="s">
        <v>3175</v>
      </c>
      <c r="K69">
        <v>6</v>
      </c>
      <c r="L69" t="s">
        <v>4283</v>
      </c>
      <c r="M69" t="s">
        <v>4281</v>
      </c>
      <c r="N69">
        <v>1994.37</v>
      </c>
      <c r="O69" t="s">
        <v>4290</v>
      </c>
      <c r="P69" t="s">
        <v>2503</v>
      </c>
      <c r="Q69" t="s">
        <v>3066</v>
      </c>
      <c r="R69" t="s">
        <v>4281</v>
      </c>
      <c r="S69">
        <v>332.4</v>
      </c>
    </row>
    <row r="70" spans="1:19" x14ac:dyDescent="0.3">
      <c r="A70" t="s">
        <v>142</v>
      </c>
      <c r="B70" s="3">
        <v>44974</v>
      </c>
      <c r="C70" t="s">
        <v>1342</v>
      </c>
      <c r="D70" t="s">
        <v>2405</v>
      </c>
      <c r="E70">
        <v>4</v>
      </c>
      <c r="F70">
        <v>21.07</v>
      </c>
      <c r="G70" t="s">
        <v>2530</v>
      </c>
      <c r="H70" t="s">
        <v>3068</v>
      </c>
      <c r="I70" t="s">
        <v>3073</v>
      </c>
      <c r="J70" t="s">
        <v>3203</v>
      </c>
      <c r="K70">
        <v>4</v>
      </c>
      <c r="L70" t="s">
        <v>4276</v>
      </c>
      <c r="M70" t="s">
        <v>4282</v>
      </c>
      <c r="N70">
        <v>84.28</v>
      </c>
      <c r="O70" t="s">
        <v>4290</v>
      </c>
      <c r="P70" t="s">
        <v>2530</v>
      </c>
      <c r="Q70" t="s">
        <v>3068</v>
      </c>
      <c r="R70" t="s">
        <v>4282</v>
      </c>
      <c r="S70">
        <v>21.07</v>
      </c>
    </row>
    <row r="71" spans="1:19" x14ac:dyDescent="0.3">
      <c r="A71" t="s">
        <v>174</v>
      </c>
      <c r="B71" s="3">
        <v>44974</v>
      </c>
      <c r="C71" t="s">
        <v>1374</v>
      </c>
      <c r="D71" t="s">
        <v>2403</v>
      </c>
      <c r="E71">
        <v>4</v>
      </c>
      <c r="F71">
        <v>101.32</v>
      </c>
      <c r="G71" t="s">
        <v>2556</v>
      </c>
      <c r="H71" t="s">
        <v>3069</v>
      </c>
      <c r="I71" t="s">
        <v>3074</v>
      </c>
      <c r="J71" t="s">
        <v>3235</v>
      </c>
      <c r="K71">
        <v>7</v>
      </c>
      <c r="L71" t="s">
        <v>4283</v>
      </c>
      <c r="M71" t="s">
        <v>4279</v>
      </c>
      <c r="N71">
        <v>405.28</v>
      </c>
      <c r="O71" t="s">
        <v>4290</v>
      </c>
      <c r="P71" t="s">
        <v>2556</v>
      </c>
      <c r="Q71" t="s">
        <v>3069</v>
      </c>
      <c r="R71" t="s">
        <v>4279</v>
      </c>
      <c r="S71">
        <v>57.9</v>
      </c>
    </row>
    <row r="72" spans="1:19" x14ac:dyDescent="0.3">
      <c r="A72" t="s">
        <v>1042</v>
      </c>
      <c r="B72" s="3">
        <v>44974</v>
      </c>
      <c r="C72" t="s">
        <v>2234</v>
      </c>
      <c r="D72" t="s">
        <v>2409</v>
      </c>
      <c r="E72">
        <v>4</v>
      </c>
      <c r="F72">
        <v>440.31</v>
      </c>
      <c r="G72" t="s">
        <v>2610</v>
      </c>
      <c r="H72" t="s">
        <v>3069</v>
      </c>
      <c r="I72" t="s">
        <v>3071</v>
      </c>
      <c r="J72" t="s">
        <v>4103</v>
      </c>
      <c r="K72">
        <v>6</v>
      </c>
      <c r="L72" t="s">
        <v>4283</v>
      </c>
      <c r="M72" t="s">
        <v>4278</v>
      </c>
      <c r="N72">
        <v>1761.24</v>
      </c>
      <c r="O72" t="s">
        <v>4290</v>
      </c>
      <c r="P72" t="s">
        <v>2610</v>
      </c>
      <c r="Q72" t="s">
        <v>3069</v>
      </c>
      <c r="R72" t="s">
        <v>4278</v>
      </c>
      <c r="S72">
        <v>293.54000000000002</v>
      </c>
    </row>
    <row r="73" spans="1:19" x14ac:dyDescent="0.3">
      <c r="A73" t="s">
        <v>493</v>
      </c>
      <c r="B73" s="3">
        <v>44975</v>
      </c>
      <c r="C73" t="s">
        <v>1693</v>
      </c>
      <c r="D73" t="s">
        <v>2403</v>
      </c>
      <c r="E73">
        <v>4</v>
      </c>
      <c r="F73">
        <v>25.29</v>
      </c>
      <c r="G73" t="s">
        <v>2781</v>
      </c>
      <c r="H73" t="s">
        <v>3067</v>
      </c>
      <c r="I73" t="s">
        <v>3074</v>
      </c>
      <c r="J73" t="s">
        <v>3554</v>
      </c>
      <c r="K73">
        <v>8</v>
      </c>
      <c r="L73" t="s">
        <v>4283</v>
      </c>
      <c r="M73" t="s">
        <v>4282</v>
      </c>
      <c r="N73">
        <v>101.16</v>
      </c>
      <c r="O73" t="s">
        <v>4290</v>
      </c>
      <c r="P73" t="s">
        <v>2781</v>
      </c>
      <c r="Q73" t="s">
        <v>3067</v>
      </c>
      <c r="R73" t="s">
        <v>4282</v>
      </c>
      <c r="S73">
        <v>12.64</v>
      </c>
    </row>
    <row r="74" spans="1:19" x14ac:dyDescent="0.3">
      <c r="A74" t="s">
        <v>249</v>
      </c>
      <c r="B74" s="3">
        <v>44977</v>
      </c>
      <c r="C74" t="s">
        <v>1449</v>
      </c>
      <c r="D74" t="s">
        <v>2409</v>
      </c>
      <c r="E74">
        <v>1</v>
      </c>
      <c r="F74">
        <v>65.45</v>
      </c>
      <c r="G74" t="s">
        <v>2612</v>
      </c>
      <c r="H74" t="s">
        <v>3069</v>
      </c>
      <c r="I74" t="s">
        <v>3074</v>
      </c>
      <c r="J74" t="s">
        <v>3310</v>
      </c>
      <c r="K74">
        <v>2</v>
      </c>
      <c r="L74" t="s">
        <v>4277</v>
      </c>
      <c r="M74" t="s">
        <v>4282</v>
      </c>
      <c r="N74">
        <v>65.45</v>
      </c>
      <c r="O74" t="s">
        <v>4290</v>
      </c>
      <c r="P74" t="s">
        <v>2612</v>
      </c>
      <c r="Q74" t="s">
        <v>3069</v>
      </c>
      <c r="R74" t="s">
        <v>4282</v>
      </c>
      <c r="S74">
        <v>32.72</v>
      </c>
    </row>
    <row r="75" spans="1:19" x14ac:dyDescent="0.3">
      <c r="A75" t="s">
        <v>1164</v>
      </c>
      <c r="B75" s="3">
        <v>44977</v>
      </c>
      <c r="C75" t="s">
        <v>2353</v>
      </c>
      <c r="D75" t="s">
        <v>2409</v>
      </c>
      <c r="E75">
        <v>4</v>
      </c>
      <c r="F75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>
        <v>8</v>
      </c>
      <c r="L75" t="s">
        <v>4275</v>
      </c>
      <c r="M75" t="s">
        <v>4279</v>
      </c>
      <c r="N75">
        <v>1210.5999999999999</v>
      </c>
      <c r="O75" t="s">
        <v>4290</v>
      </c>
      <c r="P75" t="s">
        <v>2642</v>
      </c>
      <c r="Q75" t="s">
        <v>3067</v>
      </c>
      <c r="R75" t="s">
        <v>4279</v>
      </c>
      <c r="S75">
        <v>151.32</v>
      </c>
    </row>
    <row r="76" spans="1:19" x14ac:dyDescent="0.3">
      <c r="A76" t="s">
        <v>687</v>
      </c>
      <c r="B76" s="3">
        <v>44978</v>
      </c>
      <c r="C76" t="s">
        <v>1885</v>
      </c>
      <c r="D76" t="s">
        <v>2405</v>
      </c>
      <c r="E76">
        <v>2</v>
      </c>
      <c r="F76">
        <v>372.92</v>
      </c>
      <c r="G76" t="s">
        <v>2512</v>
      </c>
      <c r="H76" t="s">
        <v>3067</v>
      </c>
      <c r="I76" t="s">
        <v>3073</v>
      </c>
      <c r="J76" t="s">
        <v>3748</v>
      </c>
      <c r="K76">
        <v>7</v>
      </c>
      <c r="L76" t="s">
        <v>4275</v>
      </c>
      <c r="M76" t="s">
        <v>4280</v>
      </c>
      <c r="N76">
        <v>745.84</v>
      </c>
      <c r="O76" t="s">
        <v>4290</v>
      </c>
      <c r="P76" t="s">
        <v>2512</v>
      </c>
      <c r="Q76" t="s">
        <v>3067</v>
      </c>
      <c r="R76" t="s">
        <v>4280</v>
      </c>
      <c r="S76">
        <v>106.55</v>
      </c>
    </row>
    <row r="77" spans="1:19" x14ac:dyDescent="0.3">
      <c r="A77" t="s">
        <v>311</v>
      </c>
      <c r="B77" s="3">
        <v>44979</v>
      </c>
      <c r="C77" t="s">
        <v>1511</v>
      </c>
      <c r="D77" t="s">
        <v>2409</v>
      </c>
      <c r="E77">
        <v>2</v>
      </c>
      <c r="F77">
        <v>493.88</v>
      </c>
      <c r="G77" t="s">
        <v>2661</v>
      </c>
      <c r="H77" t="s">
        <v>3067</v>
      </c>
      <c r="I77" t="s">
        <v>3072</v>
      </c>
      <c r="J77" t="s">
        <v>3372</v>
      </c>
      <c r="K77">
        <v>7</v>
      </c>
      <c r="L77" t="s">
        <v>4275</v>
      </c>
      <c r="M77" t="s">
        <v>4278</v>
      </c>
      <c r="N77">
        <v>987.76</v>
      </c>
      <c r="O77" t="s">
        <v>4290</v>
      </c>
      <c r="P77" t="s">
        <v>2661</v>
      </c>
      <c r="Q77" t="s">
        <v>3067</v>
      </c>
      <c r="R77" t="s">
        <v>4278</v>
      </c>
      <c r="S77">
        <v>141.11000000000001</v>
      </c>
    </row>
    <row r="78" spans="1:19" x14ac:dyDescent="0.3">
      <c r="A78" t="s">
        <v>1083</v>
      </c>
      <c r="B78" s="3">
        <v>44982</v>
      </c>
      <c r="C78" t="s">
        <v>2275</v>
      </c>
      <c r="D78" t="s">
        <v>2403</v>
      </c>
      <c r="E78">
        <v>1</v>
      </c>
      <c r="F78">
        <v>454.23</v>
      </c>
      <c r="G78" t="s">
        <v>2617</v>
      </c>
      <c r="H78" t="s">
        <v>3068</v>
      </c>
      <c r="I78" t="s">
        <v>3072</v>
      </c>
      <c r="J78" t="s">
        <v>4144</v>
      </c>
      <c r="K78">
        <v>3</v>
      </c>
      <c r="L78" t="s">
        <v>4283</v>
      </c>
      <c r="M78" t="s">
        <v>4281</v>
      </c>
      <c r="N78">
        <v>454.23</v>
      </c>
      <c r="O78" t="s">
        <v>4290</v>
      </c>
      <c r="P78" t="s">
        <v>2617</v>
      </c>
      <c r="Q78" t="s">
        <v>3068</v>
      </c>
      <c r="R78" t="s">
        <v>4281</v>
      </c>
      <c r="S78">
        <v>151.41</v>
      </c>
    </row>
    <row r="79" spans="1:19" x14ac:dyDescent="0.3">
      <c r="A79" t="s">
        <v>1104</v>
      </c>
      <c r="B79" s="3">
        <v>44982</v>
      </c>
      <c r="C79" t="s">
        <v>2296</v>
      </c>
      <c r="D79" t="s">
        <v>2403</v>
      </c>
      <c r="E79">
        <v>2</v>
      </c>
      <c r="F79">
        <v>650.25</v>
      </c>
      <c r="G79" t="s">
        <v>2441</v>
      </c>
      <c r="H79" t="s">
        <v>3068</v>
      </c>
      <c r="I79" t="s">
        <v>3072</v>
      </c>
      <c r="J79" t="s">
        <v>4165</v>
      </c>
      <c r="K79">
        <v>6</v>
      </c>
      <c r="L79" t="s">
        <v>4283</v>
      </c>
      <c r="M79" t="s">
        <v>4278</v>
      </c>
      <c r="N79">
        <v>1300.5</v>
      </c>
      <c r="O79" t="s">
        <v>4290</v>
      </c>
      <c r="P79" t="s">
        <v>2441</v>
      </c>
      <c r="Q79" t="s">
        <v>3068</v>
      </c>
      <c r="R79" t="s">
        <v>4278</v>
      </c>
      <c r="S79">
        <v>216.75</v>
      </c>
    </row>
    <row r="80" spans="1:19" x14ac:dyDescent="0.3">
      <c r="A80" t="s">
        <v>357</v>
      </c>
      <c r="B80" s="3">
        <v>44983</v>
      </c>
      <c r="C80" t="s">
        <v>1557</v>
      </c>
      <c r="D80" t="s">
        <v>2407</v>
      </c>
      <c r="E80">
        <v>1</v>
      </c>
      <c r="F80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>
        <v>3</v>
      </c>
      <c r="L80" t="s">
        <v>4276</v>
      </c>
      <c r="M80" t="s">
        <v>4281</v>
      </c>
      <c r="N80">
        <v>527.57000000000005</v>
      </c>
      <c r="O80" t="s">
        <v>4290</v>
      </c>
      <c r="P80" t="s">
        <v>2696</v>
      </c>
      <c r="Q80" t="s">
        <v>3065</v>
      </c>
      <c r="R80" t="s">
        <v>4281</v>
      </c>
      <c r="S80">
        <v>175.86</v>
      </c>
    </row>
    <row r="81" spans="1:19" x14ac:dyDescent="0.3">
      <c r="A81" t="s">
        <v>1086</v>
      </c>
      <c r="B81" s="3">
        <v>44983</v>
      </c>
      <c r="C81" t="s">
        <v>2278</v>
      </c>
      <c r="D81" t="s">
        <v>2403</v>
      </c>
      <c r="E81">
        <v>1</v>
      </c>
      <c r="F81">
        <v>392.61</v>
      </c>
      <c r="G81" t="s">
        <v>2635</v>
      </c>
      <c r="H81" t="s">
        <v>3068</v>
      </c>
      <c r="I81" t="s">
        <v>3071</v>
      </c>
      <c r="J81" t="s">
        <v>4147</v>
      </c>
      <c r="K81">
        <v>4</v>
      </c>
      <c r="L81" t="s">
        <v>4275</v>
      </c>
      <c r="M81" t="s">
        <v>4279</v>
      </c>
      <c r="N81">
        <v>392.61</v>
      </c>
      <c r="O81" t="s">
        <v>4290</v>
      </c>
      <c r="P81" t="s">
        <v>2635</v>
      </c>
      <c r="Q81" t="s">
        <v>3068</v>
      </c>
      <c r="R81" t="s">
        <v>4279</v>
      </c>
      <c r="S81">
        <v>98.15</v>
      </c>
    </row>
    <row r="82" spans="1:19" x14ac:dyDescent="0.3">
      <c r="A82" t="s">
        <v>169</v>
      </c>
      <c r="B82" s="3">
        <v>44984</v>
      </c>
      <c r="C82" t="s">
        <v>1369</v>
      </c>
      <c r="D82" t="s">
        <v>2404</v>
      </c>
      <c r="E82">
        <v>1</v>
      </c>
      <c r="F82">
        <v>424.4</v>
      </c>
      <c r="G82" t="s">
        <v>2457</v>
      </c>
      <c r="H82" t="s">
        <v>3066</v>
      </c>
      <c r="I82" t="s">
        <v>3070</v>
      </c>
      <c r="J82" t="s">
        <v>3230</v>
      </c>
      <c r="K82">
        <v>6</v>
      </c>
      <c r="L82" t="s">
        <v>4277</v>
      </c>
      <c r="M82" t="s">
        <v>4279</v>
      </c>
      <c r="N82">
        <v>424.4</v>
      </c>
      <c r="O82" t="s">
        <v>4290</v>
      </c>
      <c r="P82" t="s">
        <v>2457</v>
      </c>
      <c r="Q82" t="s">
        <v>3066</v>
      </c>
      <c r="R82" t="s">
        <v>4279</v>
      </c>
      <c r="S82">
        <v>70.73</v>
      </c>
    </row>
    <row r="83" spans="1:19" x14ac:dyDescent="0.3">
      <c r="A83" t="s">
        <v>811</v>
      </c>
      <c r="B83" s="3">
        <v>44984</v>
      </c>
      <c r="C83" t="s">
        <v>2008</v>
      </c>
      <c r="D83" t="s">
        <v>2408</v>
      </c>
      <c r="E83">
        <v>2</v>
      </c>
      <c r="F83">
        <v>438.76</v>
      </c>
      <c r="G83" t="s">
        <v>2929</v>
      </c>
      <c r="H83" t="s">
        <v>3065</v>
      </c>
      <c r="I83" t="s">
        <v>3072</v>
      </c>
      <c r="J83" t="s">
        <v>3872</v>
      </c>
      <c r="K83">
        <v>2</v>
      </c>
      <c r="L83" t="s">
        <v>4283</v>
      </c>
      <c r="M83" t="s">
        <v>4281</v>
      </c>
      <c r="N83">
        <v>877.52</v>
      </c>
      <c r="O83" t="s">
        <v>4290</v>
      </c>
      <c r="P83" t="s">
        <v>2929</v>
      </c>
      <c r="Q83" t="s">
        <v>3065</v>
      </c>
      <c r="R83" t="s">
        <v>4281</v>
      </c>
      <c r="S83">
        <v>438.76</v>
      </c>
    </row>
    <row r="84" spans="1:19" x14ac:dyDescent="0.3">
      <c r="A84" t="s">
        <v>342</v>
      </c>
      <c r="B84" s="3">
        <v>44985</v>
      </c>
      <c r="C84" t="s">
        <v>1542</v>
      </c>
      <c r="D84" t="s">
        <v>2405</v>
      </c>
      <c r="E84">
        <v>5</v>
      </c>
      <c r="F84">
        <v>674.04</v>
      </c>
      <c r="G84" t="s">
        <v>2684</v>
      </c>
      <c r="H84" t="s">
        <v>3066</v>
      </c>
      <c r="I84" t="s">
        <v>3071</v>
      </c>
      <c r="J84" t="s">
        <v>3403</v>
      </c>
      <c r="K84">
        <v>7</v>
      </c>
      <c r="L84" t="s">
        <v>4275</v>
      </c>
      <c r="M84" t="s">
        <v>4282</v>
      </c>
      <c r="N84">
        <v>3370.2</v>
      </c>
      <c r="O84" t="s">
        <v>4290</v>
      </c>
      <c r="P84" t="s">
        <v>2684</v>
      </c>
      <c r="Q84" t="s">
        <v>3066</v>
      </c>
      <c r="R84" t="s">
        <v>4282</v>
      </c>
      <c r="S84">
        <v>481.46</v>
      </c>
    </row>
    <row r="85" spans="1:19" x14ac:dyDescent="0.3">
      <c r="A85" t="s">
        <v>1045</v>
      </c>
      <c r="B85" s="3">
        <v>44985</v>
      </c>
      <c r="C85" t="s">
        <v>2237</v>
      </c>
      <c r="D85" t="s">
        <v>2404</v>
      </c>
      <c r="E85">
        <v>5</v>
      </c>
      <c r="F85">
        <v>664.51</v>
      </c>
      <c r="G85" t="s">
        <v>3006</v>
      </c>
      <c r="H85" t="s">
        <v>3065</v>
      </c>
      <c r="I85" t="s">
        <v>3074</v>
      </c>
      <c r="J85" t="s">
        <v>4106</v>
      </c>
      <c r="K85">
        <v>8</v>
      </c>
      <c r="L85" t="s">
        <v>4275</v>
      </c>
      <c r="M85" t="s">
        <v>4280</v>
      </c>
      <c r="N85">
        <v>3322.55</v>
      </c>
      <c r="O85" t="s">
        <v>4290</v>
      </c>
      <c r="P85" t="s">
        <v>3006</v>
      </c>
      <c r="Q85" t="s">
        <v>3065</v>
      </c>
      <c r="R85" t="s">
        <v>4280</v>
      </c>
      <c r="S85">
        <v>415.32</v>
      </c>
    </row>
    <row r="86" spans="1:19" x14ac:dyDescent="0.3">
      <c r="A86" t="s">
        <v>759</v>
      </c>
      <c r="B86" s="3">
        <v>44987</v>
      </c>
      <c r="C86" t="s">
        <v>1956</v>
      </c>
      <c r="D86" t="s">
        <v>2407</v>
      </c>
      <c r="E86">
        <v>4</v>
      </c>
      <c r="F86">
        <v>111.3</v>
      </c>
      <c r="G86" t="s">
        <v>2901</v>
      </c>
      <c r="H86" t="s">
        <v>3065</v>
      </c>
      <c r="I86" t="s">
        <v>3074</v>
      </c>
      <c r="J86" t="s">
        <v>3820</v>
      </c>
      <c r="K86">
        <v>7</v>
      </c>
      <c r="L86" t="s">
        <v>4276</v>
      </c>
      <c r="M86" t="s">
        <v>4280</v>
      </c>
      <c r="N86">
        <v>445.2</v>
      </c>
      <c r="O86" t="s">
        <v>4290</v>
      </c>
      <c r="P86" t="s">
        <v>2901</v>
      </c>
      <c r="Q86" t="s">
        <v>3065</v>
      </c>
      <c r="R86" t="s">
        <v>4280</v>
      </c>
      <c r="S86">
        <v>63.6</v>
      </c>
    </row>
    <row r="87" spans="1:19" x14ac:dyDescent="0.3">
      <c r="A87" t="s">
        <v>832</v>
      </c>
      <c r="B87" s="3">
        <v>44987</v>
      </c>
      <c r="C87" t="s">
        <v>2028</v>
      </c>
      <c r="D87" t="s">
        <v>2404</v>
      </c>
      <c r="E87">
        <v>4</v>
      </c>
      <c r="F87">
        <v>390.84</v>
      </c>
      <c r="G87" t="s">
        <v>2868</v>
      </c>
      <c r="H87" t="s">
        <v>3067</v>
      </c>
      <c r="I87" t="s">
        <v>3071</v>
      </c>
      <c r="J87" t="s">
        <v>3893</v>
      </c>
      <c r="K87">
        <v>9</v>
      </c>
      <c r="L87" t="s">
        <v>4277</v>
      </c>
      <c r="M87" t="s">
        <v>4279</v>
      </c>
      <c r="N87">
        <v>1563.36</v>
      </c>
      <c r="O87" t="s">
        <v>4290</v>
      </c>
      <c r="P87" t="s">
        <v>2868</v>
      </c>
      <c r="Q87" t="s">
        <v>3067</v>
      </c>
      <c r="R87" t="s">
        <v>4279</v>
      </c>
      <c r="S87">
        <v>173.71</v>
      </c>
    </row>
    <row r="88" spans="1:19" x14ac:dyDescent="0.3">
      <c r="A88" t="s">
        <v>1019</v>
      </c>
      <c r="B88" s="3">
        <v>44987</v>
      </c>
      <c r="C88" t="s">
        <v>2212</v>
      </c>
      <c r="D88" t="s">
        <v>2407</v>
      </c>
      <c r="E88">
        <v>3</v>
      </c>
      <c r="F88">
        <v>392.85</v>
      </c>
      <c r="G88" t="s">
        <v>2929</v>
      </c>
      <c r="H88" t="s">
        <v>3067</v>
      </c>
      <c r="I88" t="s">
        <v>3072</v>
      </c>
      <c r="J88" t="s">
        <v>4080</v>
      </c>
      <c r="K88">
        <v>6</v>
      </c>
      <c r="L88" t="s">
        <v>4283</v>
      </c>
      <c r="M88" t="s">
        <v>4282</v>
      </c>
      <c r="N88">
        <v>1178.55</v>
      </c>
      <c r="O88" t="s">
        <v>4290</v>
      </c>
      <c r="P88" t="s">
        <v>2929</v>
      </c>
      <c r="Q88" t="s">
        <v>3067</v>
      </c>
      <c r="R88" t="s">
        <v>4282</v>
      </c>
      <c r="S88">
        <v>196.42</v>
      </c>
    </row>
    <row r="89" spans="1:19" x14ac:dyDescent="0.3">
      <c r="A89" t="s">
        <v>219</v>
      </c>
      <c r="B89" s="3">
        <v>44989</v>
      </c>
      <c r="C89" t="s">
        <v>1419</v>
      </c>
      <c r="D89" t="s">
        <v>2409</v>
      </c>
      <c r="E89">
        <v>3</v>
      </c>
      <c r="F89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>
        <v>3</v>
      </c>
      <c r="L89" t="s">
        <v>4283</v>
      </c>
      <c r="M89" t="s">
        <v>4280</v>
      </c>
      <c r="N89">
        <v>442.17</v>
      </c>
      <c r="O89" t="s">
        <v>4290</v>
      </c>
      <c r="P89" t="s">
        <v>2591</v>
      </c>
      <c r="Q89" t="s">
        <v>3065</v>
      </c>
      <c r="R89" t="s">
        <v>4280</v>
      </c>
      <c r="S89">
        <v>147.38999999999999</v>
      </c>
    </row>
    <row r="90" spans="1:19" x14ac:dyDescent="0.3">
      <c r="A90" t="s">
        <v>789</v>
      </c>
      <c r="B90" s="3">
        <v>44989</v>
      </c>
      <c r="C90" t="s">
        <v>1986</v>
      </c>
      <c r="D90" t="s">
        <v>2404</v>
      </c>
      <c r="E90">
        <v>2</v>
      </c>
      <c r="F90">
        <v>625.22</v>
      </c>
      <c r="G90" t="s">
        <v>2431</v>
      </c>
      <c r="H90" t="s">
        <v>3066</v>
      </c>
      <c r="I90" t="s">
        <v>3071</v>
      </c>
      <c r="J90" t="s">
        <v>3850</v>
      </c>
      <c r="K90">
        <v>5</v>
      </c>
      <c r="L90" t="s">
        <v>4283</v>
      </c>
      <c r="M90" t="s">
        <v>4282</v>
      </c>
      <c r="N90">
        <v>1250.44</v>
      </c>
      <c r="O90" t="s">
        <v>4290</v>
      </c>
      <c r="P90" t="s">
        <v>2431</v>
      </c>
      <c r="Q90" t="s">
        <v>3066</v>
      </c>
      <c r="R90" t="s">
        <v>4282</v>
      </c>
      <c r="S90">
        <v>250.09</v>
      </c>
    </row>
    <row r="91" spans="1:19" x14ac:dyDescent="0.3">
      <c r="A91" t="s">
        <v>547</v>
      </c>
      <c r="B91" s="3">
        <v>44990</v>
      </c>
      <c r="C91" t="s">
        <v>1747</v>
      </c>
      <c r="D91" t="s">
        <v>2409</v>
      </c>
      <c r="E91">
        <v>1</v>
      </c>
      <c r="F91">
        <v>565.85</v>
      </c>
      <c r="G91" t="s">
        <v>2472</v>
      </c>
      <c r="H91" t="s">
        <v>3068</v>
      </c>
      <c r="I91" t="s">
        <v>3072</v>
      </c>
      <c r="J91" t="s">
        <v>3608</v>
      </c>
      <c r="K91">
        <v>1</v>
      </c>
      <c r="L91" t="s">
        <v>4276</v>
      </c>
      <c r="M91" t="s">
        <v>4281</v>
      </c>
      <c r="N91">
        <v>565.85</v>
      </c>
      <c r="O91" t="s">
        <v>4290</v>
      </c>
      <c r="P91" t="s">
        <v>2472</v>
      </c>
      <c r="Q91" t="s">
        <v>3068</v>
      </c>
      <c r="R91" t="s">
        <v>4281</v>
      </c>
      <c r="S91">
        <v>565.85</v>
      </c>
    </row>
    <row r="92" spans="1:19" x14ac:dyDescent="0.3">
      <c r="A92" t="s">
        <v>116</v>
      </c>
      <c r="B92" s="3">
        <v>44993</v>
      </c>
      <c r="C92" t="s">
        <v>1316</v>
      </c>
      <c r="D92" t="s">
        <v>2408</v>
      </c>
      <c r="E92">
        <v>2</v>
      </c>
      <c r="F92">
        <v>70.34</v>
      </c>
      <c r="G92" t="s">
        <v>2505</v>
      </c>
      <c r="H92" t="s">
        <v>3068</v>
      </c>
      <c r="I92" t="s">
        <v>3071</v>
      </c>
      <c r="J92" t="s">
        <v>3177</v>
      </c>
      <c r="K92">
        <v>3</v>
      </c>
      <c r="L92" t="s">
        <v>4276</v>
      </c>
      <c r="M92" t="s">
        <v>4280</v>
      </c>
      <c r="N92">
        <v>140.68</v>
      </c>
      <c r="O92" t="s">
        <v>4290</v>
      </c>
      <c r="P92" t="s">
        <v>2505</v>
      </c>
      <c r="Q92" t="s">
        <v>3068</v>
      </c>
      <c r="R92" t="s">
        <v>4280</v>
      </c>
      <c r="S92">
        <v>46.89</v>
      </c>
    </row>
    <row r="93" spans="1:19" x14ac:dyDescent="0.3">
      <c r="A93" t="s">
        <v>131</v>
      </c>
      <c r="B93" s="3">
        <v>44993</v>
      </c>
      <c r="C93" t="s">
        <v>1331</v>
      </c>
      <c r="D93" t="s">
        <v>2405</v>
      </c>
      <c r="E93">
        <v>1</v>
      </c>
      <c r="F93">
        <v>535.5</v>
      </c>
      <c r="G93" t="s">
        <v>2520</v>
      </c>
      <c r="H93" t="s">
        <v>3068</v>
      </c>
      <c r="I93" t="s">
        <v>3071</v>
      </c>
      <c r="J93" t="s">
        <v>3192</v>
      </c>
      <c r="K93">
        <v>5</v>
      </c>
      <c r="L93" t="s">
        <v>4277</v>
      </c>
      <c r="M93" t="s">
        <v>4279</v>
      </c>
      <c r="N93">
        <v>535.5</v>
      </c>
      <c r="O93" t="s">
        <v>4290</v>
      </c>
      <c r="P93" t="s">
        <v>2520</v>
      </c>
      <c r="Q93" t="s">
        <v>3068</v>
      </c>
      <c r="R93" t="s">
        <v>4279</v>
      </c>
      <c r="S93">
        <v>107.1</v>
      </c>
    </row>
    <row r="94" spans="1:19" x14ac:dyDescent="0.3">
      <c r="A94" t="s">
        <v>418</v>
      </c>
      <c r="B94" s="3">
        <v>44994</v>
      </c>
      <c r="C94" t="s">
        <v>1618</v>
      </c>
      <c r="D94" t="s">
        <v>2403</v>
      </c>
      <c r="E94">
        <v>2</v>
      </c>
      <c r="F94">
        <v>99.1</v>
      </c>
      <c r="G94" t="s">
        <v>2473</v>
      </c>
      <c r="H94" t="s">
        <v>3069</v>
      </c>
      <c r="I94" t="s">
        <v>3073</v>
      </c>
      <c r="J94" t="s">
        <v>3479</v>
      </c>
      <c r="K94">
        <v>6</v>
      </c>
      <c r="L94" t="s">
        <v>4283</v>
      </c>
      <c r="M94" t="s">
        <v>4278</v>
      </c>
      <c r="N94">
        <v>198.2</v>
      </c>
      <c r="O94" t="s">
        <v>4290</v>
      </c>
      <c r="P94" t="s">
        <v>2473</v>
      </c>
      <c r="Q94" t="s">
        <v>3069</v>
      </c>
      <c r="R94" t="s">
        <v>4278</v>
      </c>
      <c r="S94">
        <v>33.03</v>
      </c>
    </row>
    <row r="95" spans="1:19" x14ac:dyDescent="0.3">
      <c r="A95" t="s">
        <v>439</v>
      </c>
      <c r="B95" s="3">
        <v>44994</v>
      </c>
      <c r="C95" t="s">
        <v>1639</v>
      </c>
      <c r="D95" t="s">
        <v>2408</v>
      </c>
      <c r="E95">
        <v>2</v>
      </c>
      <c r="F95">
        <v>301.88</v>
      </c>
      <c r="G95" t="s">
        <v>2746</v>
      </c>
      <c r="H95" t="s">
        <v>3068</v>
      </c>
      <c r="I95" t="s">
        <v>3072</v>
      </c>
      <c r="J95" t="s">
        <v>3500</v>
      </c>
      <c r="K95">
        <v>5</v>
      </c>
      <c r="L95" t="s">
        <v>4277</v>
      </c>
      <c r="M95" t="s">
        <v>4280</v>
      </c>
      <c r="N95">
        <v>603.76</v>
      </c>
      <c r="O95" t="s">
        <v>4290</v>
      </c>
      <c r="P95" t="s">
        <v>2746</v>
      </c>
      <c r="Q95" t="s">
        <v>3068</v>
      </c>
      <c r="R95" t="s">
        <v>4280</v>
      </c>
      <c r="S95">
        <v>120.75</v>
      </c>
    </row>
    <row r="96" spans="1:19" x14ac:dyDescent="0.3">
      <c r="A96" t="s">
        <v>501</v>
      </c>
      <c r="B96" s="3">
        <v>44994</v>
      </c>
      <c r="C96" t="s">
        <v>1701</v>
      </c>
      <c r="D96" t="s">
        <v>2407</v>
      </c>
      <c r="E96">
        <v>3</v>
      </c>
      <c r="F96">
        <v>346.52</v>
      </c>
      <c r="G96" t="s">
        <v>2784</v>
      </c>
      <c r="H96" t="s">
        <v>3067</v>
      </c>
      <c r="I96" t="s">
        <v>3074</v>
      </c>
      <c r="J96" t="s">
        <v>3562</v>
      </c>
      <c r="K96">
        <v>3</v>
      </c>
      <c r="L96" t="s">
        <v>4275</v>
      </c>
      <c r="M96" t="s">
        <v>4282</v>
      </c>
      <c r="N96">
        <v>1039.56</v>
      </c>
      <c r="O96" t="s">
        <v>4290</v>
      </c>
      <c r="P96" t="s">
        <v>2784</v>
      </c>
      <c r="Q96" t="s">
        <v>3067</v>
      </c>
      <c r="R96" t="s">
        <v>4282</v>
      </c>
      <c r="S96">
        <v>346.52</v>
      </c>
    </row>
    <row r="97" spans="1:19" x14ac:dyDescent="0.3">
      <c r="A97" t="s">
        <v>808</v>
      </c>
      <c r="B97" s="3">
        <v>44994</v>
      </c>
      <c r="C97" t="s">
        <v>2005</v>
      </c>
      <c r="D97" t="s">
        <v>2407</v>
      </c>
      <c r="E97">
        <v>4</v>
      </c>
      <c r="F97">
        <v>384.85</v>
      </c>
      <c r="G97" t="s">
        <v>2927</v>
      </c>
      <c r="H97" t="s">
        <v>3066</v>
      </c>
      <c r="I97" t="s">
        <v>3073</v>
      </c>
      <c r="J97" t="s">
        <v>3869</v>
      </c>
      <c r="K97">
        <v>9</v>
      </c>
      <c r="L97" t="s">
        <v>4276</v>
      </c>
      <c r="M97" t="s">
        <v>4278</v>
      </c>
      <c r="N97">
        <v>1539.4</v>
      </c>
      <c r="O97" t="s">
        <v>4290</v>
      </c>
      <c r="P97" t="s">
        <v>2927</v>
      </c>
      <c r="Q97" t="s">
        <v>3066</v>
      </c>
      <c r="R97" t="s">
        <v>4278</v>
      </c>
      <c r="S97">
        <v>171.04</v>
      </c>
    </row>
    <row r="98" spans="1:19" x14ac:dyDescent="0.3">
      <c r="A98" t="s">
        <v>534</v>
      </c>
      <c r="B98" s="3">
        <v>44995</v>
      </c>
      <c r="C98" t="s">
        <v>1734</v>
      </c>
      <c r="D98" t="s">
        <v>2403</v>
      </c>
      <c r="E98">
        <v>3</v>
      </c>
      <c r="F98">
        <v>635.98</v>
      </c>
      <c r="G98" t="s">
        <v>2801</v>
      </c>
      <c r="H98" t="s">
        <v>3069</v>
      </c>
      <c r="I98" t="s">
        <v>3072</v>
      </c>
      <c r="J98" t="s">
        <v>3595</v>
      </c>
      <c r="K98">
        <v>5</v>
      </c>
      <c r="L98" t="s">
        <v>4283</v>
      </c>
      <c r="M98" t="s">
        <v>4279</v>
      </c>
      <c r="N98">
        <v>1907.94</v>
      </c>
      <c r="O98" t="s">
        <v>4290</v>
      </c>
      <c r="P98" t="s">
        <v>2801</v>
      </c>
      <c r="Q98" t="s">
        <v>3069</v>
      </c>
      <c r="R98" t="s">
        <v>4279</v>
      </c>
      <c r="S98">
        <v>381.59</v>
      </c>
    </row>
    <row r="99" spans="1:19" x14ac:dyDescent="0.3">
      <c r="A99" t="s">
        <v>582</v>
      </c>
      <c r="B99" s="3">
        <v>44995</v>
      </c>
      <c r="C99" t="s">
        <v>1782</v>
      </c>
      <c r="D99" t="s">
        <v>2408</v>
      </c>
      <c r="E99">
        <v>2</v>
      </c>
      <c r="F99">
        <v>343.99</v>
      </c>
      <c r="G99" t="s">
        <v>2714</v>
      </c>
      <c r="H99" t="s">
        <v>3066</v>
      </c>
      <c r="I99" t="s">
        <v>3073</v>
      </c>
      <c r="J99" t="s">
        <v>3643</v>
      </c>
      <c r="K99">
        <v>4</v>
      </c>
      <c r="L99" t="s">
        <v>4283</v>
      </c>
      <c r="M99" t="s">
        <v>4282</v>
      </c>
      <c r="N99">
        <v>687.98</v>
      </c>
      <c r="O99" t="s">
        <v>4290</v>
      </c>
      <c r="P99" t="s">
        <v>2714</v>
      </c>
      <c r="Q99" t="s">
        <v>3066</v>
      </c>
      <c r="R99" t="s">
        <v>4282</v>
      </c>
      <c r="S99">
        <v>172</v>
      </c>
    </row>
    <row r="100" spans="1:19" x14ac:dyDescent="0.3">
      <c r="A100" t="s">
        <v>302</v>
      </c>
      <c r="B100" s="3">
        <v>44997</v>
      </c>
      <c r="C100" t="s">
        <v>1502</v>
      </c>
      <c r="D100" t="s">
        <v>2408</v>
      </c>
      <c r="E100">
        <v>4</v>
      </c>
      <c r="F100">
        <v>512.75</v>
      </c>
      <c r="G100" t="s">
        <v>2656</v>
      </c>
      <c r="H100" t="s">
        <v>3065</v>
      </c>
      <c r="I100" t="s">
        <v>3072</v>
      </c>
      <c r="J100" t="s">
        <v>3363</v>
      </c>
      <c r="K100">
        <v>8</v>
      </c>
      <c r="L100" t="s">
        <v>4277</v>
      </c>
      <c r="M100" t="s">
        <v>4282</v>
      </c>
      <c r="N100">
        <v>2051</v>
      </c>
      <c r="O100" t="s">
        <v>4290</v>
      </c>
      <c r="P100" t="s">
        <v>2656</v>
      </c>
      <c r="Q100" t="s">
        <v>3065</v>
      </c>
      <c r="R100" t="s">
        <v>4282</v>
      </c>
      <c r="S100">
        <v>256.38</v>
      </c>
    </row>
    <row r="101" spans="1:19" x14ac:dyDescent="0.3">
      <c r="A101" t="s">
        <v>739</v>
      </c>
      <c r="B101" s="3">
        <v>44997</v>
      </c>
      <c r="C101" t="s">
        <v>1936</v>
      </c>
      <c r="D101" t="s">
        <v>2406</v>
      </c>
      <c r="E101">
        <v>2</v>
      </c>
      <c r="F101">
        <v>194.85</v>
      </c>
      <c r="G101" t="s">
        <v>2787</v>
      </c>
      <c r="H101" t="s">
        <v>3068</v>
      </c>
      <c r="I101" t="s">
        <v>3072</v>
      </c>
      <c r="J101" t="s">
        <v>3800</v>
      </c>
      <c r="K101">
        <v>5</v>
      </c>
      <c r="L101" t="s">
        <v>4283</v>
      </c>
      <c r="M101" t="s">
        <v>4279</v>
      </c>
      <c r="N101">
        <v>389.7</v>
      </c>
      <c r="O101" t="s">
        <v>4290</v>
      </c>
      <c r="P101" t="s">
        <v>2787</v>
      </c>
      <c r="Q101" t="s">
        <v>3068</v>
      </c>
      <c r="R101" t="s">
        <v>4279</v>
      </c>
      <c r="S101">
        <v>77.94</v>
      </c>
    </row>
    <row r="102" spans="1:19" x14ac:dyDescent="0.3">
      <c r="A102" t="s">
        <v>1120</v>
      </c>
      <c r="B102" s="3">
        <v>44997</v>
      </c>
      <c r="C102" t="s">
        <v>2311</v>
      </c>
      <c r="D102" t="s">
        <v>2406</v>
      </c>
      <c r="E102">
        <v>1</v>
      </c>
      <c r="F102">
        <v>372.8</v>
      </c>
      <c r="G102" t="s">
        <v>2423</v>
      </c>
      <c r="H102" t="s">
        <v>3069</v>
      </c>
      <c r="I102" t="s">
        <v>3071</v>
      </c>
      <c r="J102" t="s">
        <v>4181</v>
      </c>
      <c r="K102">
        <v>6</v>
      </c>
      <c r="L102" t="s">
        <v>4275</v>
      </c>
      <c r="M102" t="s">
        <v>4281</v>
      </c>
      <c r="N102">
        <v>372.8</v>
      </c>
      <c r="O102" t="s">
        <v>4290</v>
      </c>
      <c r="P102" t="s">
        <v>2423</v>
      </c>
      <c r="Q102" t="s">
        <v>3069</v>
      </c>
      <c r="R102" t="s">
        <v>4281</v>
      </c>
      <c r="S102">
        <v>62.13</v>
      </c>
    </row>
    <row r="103" spans="1:19" x14ac:dyDescent="0.3">
      <c r="A103" t="s">
        <v>478</v>
      </c>
      <c r="B103" s="3">
        <v>44999</v>
      </c>
      <c r="C103" t="s">
        <v>1678</v>
      </c>
      <c r="D103" t="s">
        <v>2405</v>
      </c>
      <c r="E103">
        <v>4</v>
      </c>
      <c r="F103">
        <v>434.42</v>
      </c>
      <c r="G103" t="s">
        <v>2771</v>
      </c>
      <c r="H103" t="s">
        <v>3066</v>
      </c>
      <c r="I103" t="s">
        <v>3071</v>
      </c>
      <c r="J103" t="s">
        <v>3539</v>
      </c>
      <c r="K103">
        <v>6</v>
      </c>
      <c r="L103" t="s">
        <v>4276</v>
      </c>
      <c r="M103" t="s">
        <v>4282</v>
      </c>
      <c r="N103">
        <v>1737.68</v>
      </c>
      <c r="O103" t="s">
        <v>4290</v>
      </c>
      <c r="P103" t="s">
        <v>2771</v>
      </c>
      <c r="Q103" t="s">
        <v>3066</v>
      </c>
      <c r="R103" t="s">
        <v>4282</v>
      </c>
      <c r="S103">
        <v>289.61</v>
      </c>
    </row>
    <row r="104" spans="1:19" x14ac:dyDescent="0.3">
      <c r="A104" t="s">
        <v>529</v>
      </c>
      <c r="B104" s="3">
        <v>44999</v>
      </c>
      <c r="C104" t="s">
        <v>1729</v>
      </c>
      <c r="D104" t="s">
        <v>2404</v>
      </c>
      <c r="E104">
        <v>3</v>
      </c>
      <c r="F104">
        <v>553.52</v>
      </c>
      <c r="G104" t="s">
        <v>2762</v>
      </c>
      <c r="H104" t="s">
        <v>3068</v>
      </c>
      <c r="I104" t="s">
        <v>3070</v>
      </c>
      <c r="J104" t="s">
        <v>3590</v>
      </c>
      <c r="K104">
        <v>4</v>
      </c>
      <c r="L104" t="s">
        <v>4276</v>
      </c>
      <c r="M104" t="s">
        <v>4281</v>
      </c>
      <c r="N104">
        <v>1660.56</v>
      </c>
      <c r="O104" t="s">
        <v>4290</v>
      </c>
      <c r="P104" t="s">
        <v>2762</v>
      </c>
      <c r="Q104" t="s">
        <v>3068</v>
      </c>
      <c r="R104" t="s">
        <v>4281</v>
      </c>
      <c r="S104">
        <v>415.14</v>
      </c>
    </row>
    <row r="105" spans="1:19" x14ac:dyDescent="0.3">
      <c r="A105" t="s">
        <v>669</v>
      </c>
      <c r="B105" s="3">
        <v>44999</v>
      </c>
      <c r="C105" t="s">
        <v>1868</v>
      </c>
      <c r="D105" t="s">
        <v>2406</v>
      </c>
      <c r="E105">
        <v>2</v>
      </c>
      <c r="F105">
        <v>132.6</v>
      </c>
      <c r="G105" t="s">
        <v>2758</v>
      </c>
      <c r="H105" t="s">
        <v>3065</v>
      </c>
      <c r="I105" t="s">
        <v>3071</v>
      </c>
      <c r="J105" t="s">
        <v>3730</v>
      </c>
      <c r="K105">
        <v>4</v>
      </c>
      <c r="L105" t="s">
        <v>4277</v>
      </c>
      <c r="M105" t="s">
        <v>4280</v>
      </c>
      <c r="N105">
        <v>265.2</v>
      </c>
      <c r="O105" t="s">
        <v>4290</v>
      </c>
      <c r="P105" t="s">
        <v>2758</v>
      </c>
      <c r="Q105" t="s">
        <v>3065</v>
      </c>
      <c r="R105" t="s">
        <v>4280</v>
      </c>
      <c r="S105">
        <v>66.3</v>
      </c>
    </row>
    <row r="106" spans="1:19" x14ac:dyDescent="0.3">
      <c r="A106" t="s">
        <v>105</v>
      </c>
      <c r="B106" s="3">
        <v>45000</v>
      </c>
      <c r="C106" t="s">
        <v>1305</v>
      </c>
      <c r="D106" t="s">
        <v>2408</v>
      </c>
      <c r="E106">
        <v>5</v>
      </c>
      <c r="F106">
        <v>492.75</v>
      </c>
      <c r="G106" t="s">
        <v>2495</v>
      </c>
      <c r="H106" t="s">
        <v>3069</v>
      </c>
      <c r="I106" t="s">
        <v>3070</v>
      </c>
      <c r="J106" t="s">
        <v>3166</v>
      </c>
      <c r="K106">
        <v>6</v>
      </c>
      <c r="L106" t="s">
        <v>4277</v>
      </c>
      <c r="M106" t="s">
        <v>4279</v>
      </c>
      <c r="N106">
        <v>2463.75</v>
      </c>
      <c r="O106" t="s">
        <v>4290</v>
      </c>
      <c r="P106" t="s">
        <v>2495</v>
      </c>
      <c r="Q106" t="s">
        <v>3069</v>
      </c>
      <c r="R106" t="s">
        <v>4279</v>
      </c>
      <c r="S106">
        <v>410.62</v>
      </c>
    </row>
    <row r="107" spans="1:19" x14ac:dyDescent="0.3">
      <c r="A107" t="s">
        <v>1128</v>
      </c>
      <c r="B107" s="3">
        <v>45001</v>
      </c>
      <c r="C107" t="s">
        <v>2319</v>
      </c>
      <c r="D107" t="s">
        <v>2405</v>
      </c>
      <c r="E107">
        <v>3</v>
      </c>
      <c r="F107">
        <v>659.88</v>
      </c>
      <c r="G107" t="s">
        <v>2591</v>
      </c>
      <c r="H107" t="s">
        <v>3068</v>
      </c>
      <c r="I107" t="s">
        <v>3071</v>
      </c>
      <c r="J107" t="s">
        <v>4189</v>
      </c>
      <c r="K107">
        <v>3</v>
      </c>
      <c r="L107" t="s">
        <v>4283</v>
      </c>
      <c r="M107" t="s">
        <v>4282</v>
      </c>
      <c r="N107">
        <v>1979.64</v>
      </c>
      <c r="O107" t="s">
        <v>4290</v>
      </c>
      <c r="P107" t="s">
        <v>2591</v>
      </c>
      <c r="Q107" t="s">
        <v>3068</v>
      </c>
      <c r="R107" t="s">
        <v>4282</v>
      </c>
      <c r="S107">
        <v>659.88</v>
      </c>
    </row>
    <row r="108" spans="1:19" x14ac:dyDescent="0.3">
      <c r="A108" t="s">
        <v>194</v>
      </c>
      <c r="B108" s="3">
        <v>45003</v>
      </c>
      <c r="C108" t="s">
        <v>1394</v>
      </c>
      <c r="D108" t="s">
        <v>2405</v>
      </c>
      <c r="E108">
        <v>5</v>
      </c>
      <c r="F108">
        <v>316.07</v>
      </c>
      <c r="G108" t="s">
        <v>2572</v>
      </c>
      <c r="H108" t="s">
        <v>3069</v>
      </c>
      <c r="I108" t="s">
        <v>3072</v>
      </c>
      <c r="J108" t="s">
        <v>3255</v>
      </c>
      <c r="K108">
        <v>10</v>
      </c>
      <c r="L108" t="s">
        <v>4283</v>
      </c>
      <c r="M108" t="s">
        <v>4282</v>
      </c>
      <c r="N108">
        <v>1580.35</v>
      </c>
      <c r="O108" t="s">
        <v>4290</v>
      </c>
      <c r="P108" t="s">
        <v>2572</v>
      </c>
      <c r="Q108" t="s">
        <v>3069</v>
      </c>
      <c r="R108" t="s">
        <v>4282</v>
      </c>
      <c r="S108">
        <v>158.04</v>
      </c>
    </row>
    <row r="109" spans="1:19" x14ac:dyDescent="0.3">
      <c r="A109" t="s">
        <v>1092</v>
      </c>
      <c r="B109" s="3">
        <v>45003</v>
      </c>
      <c r="C109" t="s">
        <v>2284</v>
      </c>
      <c r="D109" t="s">
        <v>2409</v>
      </c>
      <c r="E109">
        <v>1</v>
      </c>
      <c r="F109">
        <v>41.09</v>
      </c>
      <c r="G109" t="s">
        <v>2437</v>
      </c>
      <c r="H109" t="s">
        <v>3066</v>
      </c>
      <c r="I109" t="s">
        <v>3072</v>
      </c>
      <c r="J109" t="s">
        <v>4153</v>
      </c>
      <c r="K109">
        <v>4</v>
      </c>
      <c r="L109" t="s">
        <v>4277</v>
      </c>
      <c r="M109" t="s">
        <v>4280</v>
      </c>
      <c r="N109">
        <v>41.09</v>
      </c>
      <c r="O109" t="s">
        <v>4290</v>
      </c>
      <c r="P109" t="s">
        <v>2437</v>
      </c>
      <c r="Q109" t="s">
        <v>3066</v>
      </c>
      <c r="R109" t="s">
        <v>4280</v>
      </c>
      <c r="S109">
        <v>10.27</v>
      </c>
    </row>
    <row r="110" spans="1:19" x14ac:dyDescent="0.3">
      <c r="A110" t="s">
        <v>130</v>
      </c>
      <c r="B110" s="3">
        <v>45004</v>
      </c>
      <c r="C110" t="s">
        <v>1330</v>
      </c>
      <c r="D110" t="s">
        <v>2407</v>
      </c>
      <c r="E110">
        <v>4</v>
      </c>
      <c r="F110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>
        <v>6</v>
      </c>
      <c r="L110" t="s">
        <v>4277</v>
      </c>
      <c r="M110" t="s">
        <v>4281</v>
      </c>
      <c r="N110">
        <v>1165.4000000000001</v>
      </c>
      <c r="O110" t="s">
        <v>4290</v>
      </c>
      <c r="P110" t="s">
        <v>2519</v>
      </c>
      <c r="Q110" t="s">
        <v>3067</v>
      </c>
      <c r="R110" t="s">
        <v>4281</v>
      </c>
      <c r="S110">
        <v>194.23</v>
      </c>
    </row>
    <row r="111" spans="1:19" x14ac:dyDescent="0.3">
      <c r="A111" t="s">
        <v>875</v>
      </c>
      <c r="B111" s="3">
        <v>45004</v>
      </c>
      <c r="C111" t="s">
        <v>2071</v>
      </c>
      <c r="D111" t="s">
        <v>2409</v>
      </c>
      <c r="E111">
        <v>5</v>
      </c>
      <c r="F111">
        <v>330.45</v>
      </c>
      <c r="G111" t="s">
        <v>2956</v>
      </c>
      <c r="H111" t="s">
        <v>3068</v>
      </c>
      <c r="I111" t="s">
        <v>3070</v>
      </c>
      <c r="J111" t="s">
        <v>3936</v>
      </c>
      <c r="K111">
        <v>10</v>
      </c>
      <c r="L111" t="s">
        <v>4276</v>
      </c>
      <c r="M111" t="s">
        <v>4282</v>
      </c>
      <c r="N111">
        <v>1652.25</v>
      </c>
      <c r="O111" t="s">
        <v>4290</v>
      </c>
      <c r="P111" t="s">
        <v>2956</v>
      </c>
      <c r="Q111" t="s">
        <v>3068</v>
      </c>
      <c r="R111" t="s">
        <v>4282</v>
      </c>
      <c r="S111">
        <v>165.22</v>
      </c>
    </row>
    <row r="112" spans="1:19" x14ac:dyDescent="0.3">
      <c r="A112" t="s">
        <v>1127</v>
      </c>
      <c r="B112" s="3">
        <v>45004</v>
      </c>
      <c r="C112" t="s">
        <v>2318</v>
      </c>
      <c r="D112" t="s">
        <v>2409</v>
      </c>
      <c r="E112">
        <v>4</v>
      </c>
      <c r="F112">
        <v>209.99</v>
      </c>
      <c r="G112" t="s">
        <v>2982</v>
      </c>
      <c r="H112" t="s">
        <v>3069</v>
      </c>
      <c r="I112" t="s">
        <v>3073</v>
      </c>
      <c r="J112" t="s">
        <v>4188</v>
      </c>
      <c r="K112">
        <v>8</v>
      </c>
      <c r="L112" t="s">
        <v>4283</v>
      </c>
      <c r="M112" t="s">
        <v>4282</v>
      </c>
      <c r="N112">
        <v>839.96</v>
      </c>
      <c r="O112" t="s">
        <v>4290</v>
      </c>
      <c r="P112" t="s">
        <v>2982</v>
      </c>
      <c r="Q112" t="s">
        <v>3069</v>
      </c>
      <c r="R112" t="s">
        <v>4282</v>
      </c>
      <c r="S112">
        <v>105</v>
      </c>
    </row>
    <row r="113" spans="1:19" x14ac:dyDescent="0.3">
      <c r="A113" t="s">
        <v>1122</v>
      </c>
      <c r="B113" s="3">
        <v>45005</v>
      </c>
      <c r="C113" t="s">
        <v>2313</v>
      </c>
      <c r="D113" t="s">
        <v>2408</v>
      </c>
      <c r="E113">
        <v>1</v>
      </c>
      <c r="F113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>
        <v>5</v>
      </c>
      <c r="L113" t="s">
        <v>4277</v>
      </c>
      <c r="M113" t="s">
        <v>4278</v>
      </c>
      <c r="N113">
        <v>634.94000000000005</v>
      </c>
      <c r="O113" t="s">
        <v>4290</v>
      </c>
      <c r="P113" t="s">
        <v>3034</v>
      </c>
      <c r="Q113" t="s">
        <v>3066</v>
      </c>
      <c r="R113" t="s">
        <v>4278</v>
      </c>
      <c r="S113">
        <v>126.99</v>
      </c>
    </row>
    <row r="114" spans="1:19" x14ac:dyDescent="0.3">
      <c r="A114" t="s">
        <v>907</v>
      </c>
      <c r="B114" s="3">
        <v>45006</v>
      </c>
      <c r="C114" t="s">
        <v>2103</v>
      </c>
      <c r="D114" t="s">
        <v>2403</v>
      </c>
      <c r="E114">
        <v>1</v>
      </c>
      <c r="F114">
        <v>678.01</v>
      </c>
      <c r="G114" t="s">
        <v>2796</v>
      </c>
      <c r="H114" t="s">
        <v>3069</v>
      </c>
      <c r="I114" t="s">
        <v>3074</v>
      </c>
      <c r="J114" t="s">
        <v>3968</v>
      </c>
      <c r="K114">
        <v>4</v>
      </c>
      <c r="L114" t="s">
        <v>4276</v>
      </c>
      <c r="M114" t="s">
        <v>4279</v>
      </c>
      <c r="N114">
        <v>678.01</v>
      </c>
      <c r="O114" t="s">
        <v>4290</v>
      </c>
      <c r="P114" t="s">
        <v>2796</v>
      </c>
      <c r="Q114" t="s">
        <v>3069</v>
      </c>
      <c r="R114" t="s">
        <v>4279</v>
      </c>
      <c r="S114">
        <v>169.5</v>
      </c>
    </row>
    <row r="115" spans="1:19" x14ac:dyDescent="0.3">
      <c r="A115" t="s">
        <v>717</v>
      </c>
      <c r="B115" s="3">
        <v>45007</v>
      </c>
      <c r="C115" t="s">
        <v>1915</v>
      </c>
      <c r="D115" t="s">
        <v>2409</v>
      </c>
      <c r="E115">
        <v>1</v>
      </c>
      <c r="F115">
        <v>92.79</v>
      </c>
      <c r="G115" t="s">
        <v>2882</v>
      </c>
      <c r="H115" t="s">
        <v>3069</v>
      </c>
      <c r="I115" t="s">
        <v>3074</v>
      </c>
      <c r="J115" t="s">
        <v>3778</v>
      </c>
      <c r="K115">
        <v>3</v>
      </c>
      <c r="L115" t="s">
        <v>4277</v>
      </c>
      <c r="M115" t="s">
        <v>4280</v>
      </c>
      <c r="N115">
        <v>92.79</v>
      </c>
      <c r="O115" t="s">
        <v>4290</v>
      </c>
      <c r="P115" t="s">
        <v>2882</v>
      </c>
      <c r="Q115" t="s">
        <v>3069</v>
      </c>
      <c r="R115" t="s">
        <v>4280</v>
      </c>
      <c r="S115">
        <v>30.93</v>
      </c>
    </row>
    <row r="116" spans="1:19" x14ac:dyDescent="0.3">
      <c r="A116" t="s">
        <v>1003</v>
      </c>
      <c r="B116" s="3">
        <v>45008</v>
      </c>
      <c r="C116" t="s">
        <v>2196</v>
      </c>
      <c r="D116" t="s">
        <v>2408</v>
      </c>
      <c r="E116">
        <v>4</v>
      </c>
      <c r="F116">
        <v>246.11</v>
      </c>
      <c r="G116" t="s">
        <v>2998</v>
      </c>
      <c r="H116" t="s">
        <v>3067</v>
      </c>
      <c r="I116" t="s">
        <v>3074</v>
      </c>
      <c r="J116" t="s">
        <v>4064</v>
      </c>
      <c r="K116">
        <v>4</v>
      </c>
      <c r="L116" t="s">
        <v>4275</v>
      </c>
      <c r="M116" t="s">
        <v>4278</v>
      </c>
      <c r="N116">
        <v>984.44</v>
      </c>
      <c r="O116" t="s">
        <v>4290</v>
      </c>
      <c r="P116" t="s">
        <v>2998</v>
      </c>
      <c r="Q116" t="s">
        <v>3067</v>
      </c>
      <c r="R116" t="s">
        <v>4278</v>
      </c>
      <c r="S116">
        <v>246.11</v>
      </c>
    </row>
    <row r="117" spans="1:19" x14ac:dyDescent="0.3">
      <c r="A117" t="s">
        <v>109</v>
      </c>
      <c r="B117" s="3">
        <v>45009</v>
      </c>
      <c r="C117" t="s">
        <v>1309</v>
      </c>
      <c r="D117" t="s">
        <v>2407</v>
      </c>
      <c r="E117">
        <v>4</v>
      </c>
      <c r="F117">
        <v>117.51</v>
      </c>
      <c r="G117" t="s">
        <v>2499</v>
      </c>
      <c r="H117" t="s">
        <v>3065</v>
      </c>
      <c r="I117" t="s">
        <v>3072</v>
      </c>
      <c r="J117" t="s">
        <v>3170</v>
      </c>
      <c r="K117">
        <v>7</v>
      </c>
      <c r="L117" t="s">
        <v>4283</v>
      </c>
      <c r="M117" t="s">
        <v>4279</v>
      </c>
      <c r="N117">
        <v>470.04</v>
      </c>
      <c r="O117" t="s">
        <v>4290</v>
      </c>
      <c r="P117" t="s">
        <v>2499</v>
      </c>
      <c r="Q117" t="s">
        <v>3065</v>
      </c>
      <c r="R117" t="s">
        <v>4279</v>
      </c>
      <c r="S117">
        <v>67.150000000000006</v>
      </c>
    </row>
    <row r="118" spans="1:19" x14ac:dyDescent="0.3">
      <c r="A118" t="s">
        <v>277</v>
      </c>
      <c r="B118" s="3">
        <v>45010</v>
      </c>
      <c r="C118" t="s">
        <v>1477</v>
      </c>
      <c r="D118" t="s">
        <v>2404</v>
      </c>
      <c r="E118">
        <v>4</v>
      </c>
      <c r="F118">
        <v>434.85</v>
      </c>
      <c r="G118" t="s">
        <v>2634</v>
      </c>
      <c r="H118" t="s">
        <v>3067</v>
      </c>
      <c r="I118" t="s">
        <v>3074</v>
      </c>
      <c r="J118" t="s">
        <v>3338</v>
      </c>
      <c r="K118">
        <v>4</v>
      </c>
      <c r="L118" t="s">
        <v>4277</v>
      </c>
      <c r="M118" t="s">
        <v>4282</v>
      </c>
      <c r="N118">
        <v>1739.4</v>
      </c>
      <c r="O118" t="s">
        <v>4290</v>
      </c>
      <c r="P118" t="s">
        <v>2634</v>
      </c>
      <c r="Q118" t="s">
        <v>3067</v>
      </c>
      <c r="R118" t="s">
        <v>4282</v>
      </c>
      <c r="S118">
        <v>434.85</v>
      </c>
    </row>
    <row r="119" spans="1:19" x14ac:dyDescent="0.3">
      <c r="A119" t="s">
        <v>642</v>
      </c>
      <c r="B119" s="3">
        <v>45011</v>
      </c>
      <c r="C119" t="s">
        <v>1841</v>
      </c>
      <c r="D119" t="s">
        <v>2407</v>
      </c>
      <c r="E119">
        <v>5</v>
      </c>
      <c r="F119">
        <v>558.63</v>
      </c>
      <c r="G119" t="s">
        <v>2849</v>
      </c>
      <c r="H119" t="s">
        <v>3069</v>
      </c>
      <c r="I119" t="s">
        <v>3074</v>
      </c>
      <c r="J119" t="s">
        <v>3703</v>
      </c>
      <c r="K119">
        <v>8</v>
      </c>
      <c r="L119" t="s">
        <v>4276</v>
      </c>
      <c r="M119" t="s">
        <v>4279</v>
      </c>
      <c r="N119">
        <v>2793.15</v>
      </c>
      <c r="O119" t="s">
        <v>4290</v>
      </c>
      <c r="P119" t="s">
        <v>2849</v>
      </c>
      <c r="Q119" t="s">
        <v>3069</v>
      </c>
      <c r="R119" t="s">
        <v>4279</v>
      </c>
      <c r="S119">
        <v>349.14</v>
      </c>
    </row>
    <row r="120" spans="1:19" x14ac:dyDescent="0.3">
      <c r="A120" t="s">
        <v>772</v>
      </c>
      <c r="B120" s="3">
        <v>45011</v>
      </c>
      <c r="C120" t="s">
        <v>1969</v>
      </c>
      <c r="D120" t="s">
        <v>2405</v>
      </c>
      <c r="E120">
        <v>3</v>
      </c>
      <c r="F120">
        <v>624.84</v>
      </c>
      <c r="G120" t="s">
        <v>2479</v>
      </c>
      <c r="H120" t="s">
        <v>3067</v>
      </c>
      <c r="I120" t="s">
        <v>3071</v>
      </c>
      <c r="J120" t="s">
        <v>3833</v>
      </c>
      <c r="K120">
        <v>8</v>
      </c>
      <c r="L120" t="s">
        <v>4277</v>
      </c>
      <c r="M120" t="s">
        <v>4281</v>
      </c>
      <c r="N120">
        <v>1874.52</v>
      </c>
      <c r="O120" t="s">
        <v>4290</v>
      </c>
      <c r="P120" t="s">
        <v>2479</v>
      </c>
      <c r="Q120" t="s">
        <v>3067</v>
      </c>
      <c r="R120" t="s">
        <v>4281</v>
      </c>
      <c r="S120">
        <v>234.32</v>
      </c>
    </row>
    <row r="121" spans="1:19" x14ac:dyDescent="0.3">
      <c r="A121" t="s">
        <v>946</v>
      </c>
      <c r="B121" s="3">
        <v>45011</v>
      </c>
      <c r="C121" t="s">
        <v>2142</v>
      </c>
      <c r="D121" t="s">
        <v>2408</v>
      </c>
      <c r="E121">
        <v>2</v>
      </c>
      <c r="F121">
        <v>72.39</v>
      </c>
      <c r="G121" t="s">
        <v>2982</v>
      </c>
      <c r="H121" t="s">
        <v>3066</v>
      </c>
      <c r="I121" t="s">
        <v>3073</v>
      </c>
      <c r="J121" t="s">
        <v>4007</v>
      </c>
      <c r="K121">
        <v>7</v>
      </c>
      <c r="L121" t="s">
        <v>4277</v>
      </c>
      <c r="M121" t="s">
        <v>4278</v>
      </c>
      <c r="N121">
        <v>144.78</v>
      </c>
      <c r="O121" t="s">
        <v>4290</v>
      </c>
      <c r="P121" t="s">
        <v>2982</v>
      </c>
      <c r="Q121" t="s">
        <v>3066</v>
      </c>
      <c r="R121" t="s">
        <v>4278</v>
      </c>
      <c r="S121">
        <v>20.68</v>
      </c>
    </row>
    <row r="122" spans="1:19" x14ac:dyDescent="0.3">
      <c r="A122" t="s">
        <v>28</v>
      </c>
      <c r="B122" s="3">
        <v>45012</v>
      </c>
      <c r="C122" t="s">
        <v>1228</v>
      </c>
      <c r="D122" t="s">
        <v>2405</v>
      </c>
      <c r="E122">
        <v>2</v>
      </c>
      <c r="F122">
        <v>393.33</v>
      </c>
      <c r="G122" t="s">
        <v>2424</v>
      </c>
      <c r="H122" t="s">
        <v>3065</v>
      </c>
      <c r="I122" t="s">
        <v>3074</v>
      </c>
      <c r="J122" t="s">
        <v>3089</v>
      </c>
      <c r="K122">
        <v>3</v>
      </c>
      <c r="L122" t="s">
        <v>4275</v>
      </c>
      <c r="M122" t="s">
        <v>4278</v>
      </c>
      <c r="N122">
        <v>786.66</v>
      </c>
      <c r="O122" t="s">
        <v>4290</v>
      </c>
      <c r="P122" t="s">
        <v>2424</v>
      </c>
      <c r="Q122" t="s">
        <v>3065</v>
      </c>
      <c r="R122" t="s">
        <v>4278</v>
      </c>
      <c r="S122">
        <v>262.22000000000003</v>
      </c>
    </row>
    <row r="123" spans="1:19" x14ac:dyDescent="0.3">
      <c r="A123" t="s">
        <v>121</v>
      </c>
      <c r="B123" s="3">
        <v>45012</v>
      </c>
      <c r="C123" t="s">
        <v>1321</v>
      </c>
      <c r="D123" t="s">
        <v>2407</v>
      </c>
      <c r="E123">
        <v>5</v>
      </c>
      <c r="F123">
        <v>670.75</v>
      </c>
      <c r="G123" t="s">
        <v>2510</v>
      </c>
      <c r="H123" t="s">
        <v>3068</v>
      </c>
      <c r="I123" t="s">
        <v>3070</v>
      </c>
      <c r="J123" t="s">
        <v>3182</v>
      </c>
      <c r="K123">
        <v>8</v>
      </c>
      <c r="L123" t="s">
        <v>4276</v>
      </c>
      <c r="M123" t="s">
        <v>4278</v>
      </c>
      <c r="N123">
        <v>3353.75</v>
      </c>
      <c r="O123" t="s">
        <v>4290</v>
      </c>
      <c r="P123" t="s">
        <v>2510</v>
      </c>
      <c r="Q123" t="s">
        <v>3068</v>
      </c>
      <c r="R123" t="s">
        <v>4278</v>
      </c>
      <c r="S123">
        <v>419.22</v>
      </c>
    </row>
    <row r="124" spans="1:19" x14ac:dyDescent="0.3">
      <c r="A124" t="s">
        <v>294</v>
      </c>
      <c r="B124" s="3">
        <v>45012</v>
      </c>
      <c r="C124" t="s">
        <v>1494</v>
      </c>
      <c r="D124" t="s">
        <v>2405</v>
      </c>
      <c r="E124">
        <v>3</v>
      </c>
      <c r="F124">
        <v>404.62</v>
      </c>
      <c r="G124" t="s">
        <v>2650</v>
      </c>
      <c r="H124" t="s">
        <v>3068</v>
      </c>
      <c r="I124" t="s">
        <v>3073</v>
      </c>
      <c r="J124" t="s">
        <v>3355</v>
      </c>
      <c r="K124">
        <v>6</v>
      </c>
      <c r="L124" t="s">
        <v>4276</v>
      </c>
      <c r="M124" t="s">
        <v>4278</v>
      </c>
      <c r="N124">
        <v>1213.8599999999999</v>
      </c>
      <c r="O124" t="s">
        <v>4290</v>
      </c>
      <c r="P124" t="s">
        <v>2650</v>
      </c>
      <c r="Q124" t="s">
        <v>3068</v>
      </c>
      <c r="R124" t="s">
        <v>4278</v>
      </c>
      <c r="S124">
        <v>202.31</v>
      </c>
    </row>
    <row r="125" spans="1:19" x14ac:dyDescent="0.3">
      <c r="A125" t="s">
        <v>954</v>
      </c>
      <c r="B125" s="3">
        <v>45012</v>
      </c>
      <c r="C125" t="s">
        <v>2150</v>
      </c>
      <c r="D125" t="s">
        <v>2407</v>
      </c>
      <c r="E125">
        <v>4</v>
      </c>
      <c r="F125">
        <v>305.32</v>
      </c>
      <c r="G125" t="s">
        <v>2984</v>
      </c>
      <c r="H125" t="s">
        <v>3066</v>
      </c>
      <c r="I125" t="s">
        <v>3071</v>
      </c>
      <c r="J125" t="s">
        <v>4015</v>
      </c>
      <c r="K125">
        <v>4</v>
      </c>
      <c r="L125" t="s">
        <v>4275</v>
      </c>
      <c r="M125" t="s">
        <v>4282</v>
      </c>
      <c r="N125">
        <v>1221.28</v>
      </c>
      <c r="O125" t="s">
        <v>4290</v>
      </c>
      <c r="P125" t="s">
        <v>2984</v>
      </c>
      <c r="Q125" t="s">
        <v>3066</v>
      </c>
      <c r="R125" t="s">
        <v>4282</v>
      </c>
      <c r="S125">
        <v>305.32</v>
      </c>
    </row>
    <row r="126" spans="1:19" x14ac:dyDescent="0.3">
      <c r="A126" t="s">
        <v>146</v>
      </c>
      <c r="B126" s="3">
        <v>45013</v>
      </c>
      <c r="C126" t="s">
        <v>1346</v>
      </c>
      <c r="D126" t="s">
        <v>2405</v>
      </c>
      <c r="E126">
        <v>4</v>
      </c>
      <c r="F126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>
        <v>1803</v>
      </c>
      <c r="O126" t="s">
        <v>4290</v>
      </c>
      <c r="P126" t="s">
        <v>2534</v>
      </c>
      <c r="Q126" t="s">
        <v>3067</v>
      </c>
      <c r="R126" t="s">
        <v>4280</v>
      </c>
      <c r="S126">
        <v>300.5</v>
      </c>
    </row>
    <row r="127" spans="1:19" x14ac:dyDescent="0.3">
      <c r="A127" t="s">
        <v>285</v>
      </c>
      <c r="B127" s="3">
        <v>45013</v>
      </c>
      <c r="C127" t="s">
        <v>1485</v>
      </c>
      <c r="D127" t="s">
        <v>2403</v>
      </c>
      <c r="E127">
        <v>1</v>
      </c>
      <c r="F12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>
        <v>6</v>
      </c>
      <c r="L127" t="s">
        <v>4277</v>
      </c>
      <c r="M127" t="s">
        <v>4279</v>
      </c>
      <c r="N127">
        <v>542.07000000000005</v>
      </c>
      <c r="O127" t="s">
        <v>4290</v>
      </c>
      <c r="P127" t="s">
        <v>2641</v>
      </c>
      <c r="Q127" t="s">
        <v>3069</v>
      </c>
      <c r="R127" t="s">
        <v>4279</v>
      </c>
      <c r="S127">
        <v>90.34</v>
      </c>
    </row>
    <row r="128" spans="1:19" x14ac:dyDescent="0.3">
      <c r="A128" t="s">
        <v>1024</v>
      </c>
      <c r="B128" s="3">
        <v>45016</v>
      </c>
      <c r="C128" t="s">
        <v>2216</v>
      </c>
      <c r="D128" t="s">
        <v>2403</v>
      </c>
      <c r="E128">
        <v>3</v>
      </c>
      <c r="F128">
        <v>659.57</v>
      </c>
      <c r="G128" t="s">
        <v>2501</v>
      </c>
      <c r="H128" t="s">
        <v>3067</v>
      </c>
      <c r="I128" t="s">
        <v>3071</v>
      </c>
      <c r="J128" t="s">
        <v>4085</v>
      </c>
      <c r="K128">
        <v>6</v>
      </c>
      <c r="L128" t="s">
        <v>4275</v>
      </c>
      <c r="M128" t="s">
        <v>4280</v>
      </c>
      <c r="N128">
        <v>1978.71</v>
      </c>
      <c r="O128" t="s">
        <v>4290</v>
      </c>
      <c r="P128" t="s">
        <v>2501</v>
      </c>
      <c r="Q128" t="s">
        <v>3067</v>
      </c>
      <c r="R128" t="s">
        <v>4280</v>
      </c>
      <c r="S128">
        <v>329.78</v>
      </c>
    </row>
    <row r="129" spans="1:19" x14ac:dyDescent="0.3">
      <c r="A129" t="s">
        <v>465</v>
      </c>
      <c r="B129" s="3">
        <v>45017</v>
      </c>
      <c r="C129" t="s">
        <v>1665</v>
      </c>
      <c r="D129" t="s">
        <v>2403</v>
      </c>
      <c r="E129">
        <v>1</v>
      </c>
      <c r="F129">
        <v>183.18</v>
      </c>
      <c r="G129" t="s">
        <v>2507</v>
      </c>
      <c r="H129" t="s">
        <v>3065</v>
      </c>
      <c r="I129" t="s">
        <v>3071</v>
      </c>
      <c r="J129" t="s">
        <v>3526</v>
      </c>
      <c r="K129">
        <v>6</v>
      </c>
      <c r="L129" t="s">
        <v>4275</v>
      </c>
      <c r="M129" t="s">
        <v>4280</v>
      </c>
      <c r="N129">
        <v>183.18</v>
      </c>
      <c r="O129" t="s">
        <v>4290</v>
      </c>
      <c r="P129" t="s">
        <v>2507</v>
      </c>
      <c r="Q129" t="s">
        <v>3065</v>
      </c>
      <c r="R129" t="s">
        <v>4280</v>
      </c>
      <c r="S129">
        <v>30.53</v>
      </c>
    </row>
    <row r="130" spans="1:19" x14ac:dyDescent="0.3">
      <c r="A130" t="s">
        <v>1157</v>
      </c>
      <c r="B130" s="3">
        <v>45019</v>
      </c>
      <c r="C130" t="s">
        <v>2346</v>
      </c>
      <c r="D130" t="s">
        <v>2406</v>
      </c>
      <c r="E130">
        <v>1</v>
      </c>
      <c r="F130">
        <v>381.61</v>
      </c>
      <c r="G130" t="s">
        <v>3042</v>
      </c>
      <c r="H130" t="s">
        <v>3065</v>
      </c>
      <c r="I130" t="s">
        <v>3074</v>
      </c>
      <c r="J130" t="s">
        <v>4218</v>
      </c>
      <c r="K130">
        <v>5</v>
      </c>
      <c r="L130" t="s">
        <v>4283</v>
      </c>
      <c r="M130" t="s">
        <v>4280</v>
      </c>
      <c r="N130">
        <v>381.61</v>
      </c>
      <c r="O130" t="s">
        <v>4290</v>
      </c>
      <c r="P130" t="s">
        <v>3042</v>
      </c>
      <c r="Q130" t="s">
        <v>3065</v>
      </c>
      <c r="R130" t="s">
        <v>4280</v>
      </c>
      <c r="S130">
        <v>76.319999999999993</v>
      </c>
    </row>
    <row r="131" spans="1:19" x14ac:dyDescent="0.3">
      <c r="A131" t="s">
        <v>264</v>
      </c>
      <c r="B131" s="3">
        <v>45021</v>
      </c>
      <c r="C131" t="s">
        <v>1464</v>
      </c>
      <c r="D131" t="s">
        <v>2409</v>
      </c>
      <c r="E131">
        <v>3</v>
      </c>
      <c r="F131">
        <v>42.95</v>
      </c>
      <c r="G131" t="s">
        <v>2492</v>
      </c>
      <c r="H131" t="s">
        <v>3068</v>
      </c>
      <c r="I131" t="s">
        <v>3072</v>
      </c>
      <c r="J131" t="s">
        <v>3325</v>
      </c>
      <c r="K131">
        <v>8</v>
      </c>
      <c r="L131" t="s">
        <v>4275</v>
      </c>
      <c r="M131" t="s">
        <v>4280</v>
      </c>
      <c r="N131">
        <v>128.85</v>
      </c>
      <c r="O131" t="s">
        <v>4290</v>
      </c>
      <c r="P131" t="s">
        <v>2492</v>
      </c>
      <c r="Q131" t="s">
        <v>3068</v>
      </c>
      <c r="R131" t="s">
        <v>4280</v>
      </c>
      <c r="S131">
        <v>16.11</v>
      </c>
    </row>
    <row r="132" spans="1:19" x14ac:dyDescent="0.3">
      <c r="A132" t="s">
        <v>1197</v>
      </c>
      <c r="B132" s="3">
        <v>45021</v>
      </c>
      <c r="C132" t="s">
        <v>2386</v>
      </c>
      <c r="D132" t="s">
        <v>2409</v>
      </c>
      <c r="E132">
        <v>1</v>
      </c>
      <c r="F132">
        <v>281.52</v>
      </c>
      <c r="G132" t="s">
        <v>2633</v>
      </c>
      <c r="H132" t="s">
        <v>3068</v>
      </c>
      <c r="I132" t="s">
        <v>3070</v>
      </c>
      <c r="J132" t="s">
        <v>4258</v>
      </c>
      <c r="K132">
        <v>6</v>
      </c>
      <c r="L132" t="s">
        <v>4277</v>
      </c>
      <c r="M132" t="s">
        <v>4279</v>
      </c>
      <c r="N132">
        <v>281.52</v>
      </c>
      <c r="O132" t="s">
        <v>4290</v>
      </c>
      <c r="P132" t="s">
        <v>2633</v>
      </c>
      <c r="Q132" t="s">
        <v>3068</v>
      </c>
      <c r="R132" t="s">
        <v>4279</v>
      </c>
      <c r="S132">
        <v>46.92</v>
      </c>
    </row>
    <row r="133" spans="1:19" x14ac:dyDescent="0.3">
      <c r="A133" t="s">
        <v>513</v>
      </c>
      <c r="B133" s="3">
        <v>45022</v>
      </c>
      <c r="C133" t="s">
        <v>1713</v>
      </c>
      <c r="D133" t="s">
        <v>2407</v>
      </c>
      <c r="E133">
        <v>3</v>
      </c>
      <c r="F133">
        <v>539.46</v>
      </c>
      <c r="G133" t="s">
        <v>2791</v>
      </c>
      <c r="H133" t="s">
        <v>3067</v>
      </c>
      <c r="I133" t="s">
        <v>3070</v>
      </c>
      <c r="J133" t="s">
        <v>3574</v>
      </c>
      <c r="K133">
        <v>4</v>
      </c>
      <c r="L133" t="s">
        <v>4275</v>
      </c>
      <c r="M133" t="s">
        <v>4281</v>
      </c>
      <c r="N133">
        <v>1618.38</v>
      </c>
      <c r="O133" t="s">
        <v>4290</v>
      </c>
      <c r="P133" t="s">
        <v>2791</v>
      </c>
      <c r="Q133" t="s">
        <v>3067</v>
      </c>
      <c r="R133" t="s">
        <v>4281</v>
      </c>
      <c r="S133">
        <v>404.6</v>
      </c>
    </row>
    <row r="134" spans="1:19" x14ac:dyDescent="0.3">
      <c r="A134" t="s">
        <v>777</v>
      </c>
      <c r="B134" s="3">
        <v>45022</v>
      </c>
      <c r="C134" t="s">
        <v>1974</v>
      </c>
      <c r="D134" t="s">
        <v>2408</v>
      </c>
      <c r="E134">
        <v>1</v>
      </c>
      <c r="F134">
        <v>569.96</v>
      </c>
      <c r="G134" t="s">
        <v>2501</v>
      </c>
      <c r="H134" t="s">
        <v>3066</v>
      </c>
      <c r="I134" t="s">
        <v>3073</v>
      </c>
      <c r="J134" t="s">
        <v>3838</v>
      </c>
      <c r="K134">
        <v>4</v>
      </c>
      <c r="L134" t="s">
        <v>4276</v>
      </c>
      <c r="M134" t="s">
        <v>4280</v>
      </c>
      <c r="N134">
        <v>569.96</v>
      </c>
      <c r="O134" t="s">
        <v>4290</v>
      </c>
      <c r="P134" t="s">
        <v>2501</v>
      </c>
      <c r="Q134" t="s">
        <v>3066</v>
      </c>
      <c r="R134" t="s">
        <v>4280</v>
      </c>
      <c r="S134">
        <v>142.49</v>
      </c>
    </row>
    <row r="135" spans="1:19" x14ac:dyDescent="0.3">
      <c r="A135" t="s">
        <v>732</v>
      </c>
      <c r="B135" s="3">
        <v>45024</v>
      </c>
      <c r="C135" t="s">
        <v>1929</v>
      </c>
      <c r="D135" t="s">
        <v>2408</v>
      </c>
      <c r="E135">
        <v>4</v>
      </c>
      <c r="F135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>
        <v>8</v>
      </c>
      <c r="L135" t="s">
        <v>4275</v>
      </c>
      <c r="M135" t="s">
        <v>4282</v>
      </c>
      <c r="N135">
        <v>258.95999999999998</v>
      </c>
      <c r="O135" t="s">
        <v>4290</v>
      </c>
      <c r="P135" t="s">
        <v>2890</v>
      </c>
      <c r="Q135" t="s">
        <v>3068</v>
      </c>
      <c r="R135" t="s">
        <v>4282</v>
      </c>
      <c r="S135">
        <v>32.369999999999997</v>
      </c>
    </row>
    <row r="136" spans="1:19" x14ac:dyDescent="0.3">
      <c r="A136" t="s">
        <v>1182</v>
      </c>
      <c r="B136" s="3">
        <v>45024</v>
      </c>
      <c r="C136" t="s">
        <v>2371</v>
      </c>
      <c r="D136" t="s">
        <v>2408</v>
      </c>
      <c r="E136">
        <v>2</v>
      </c>
      <c r="F136">
        <v>331.42</v>
      </c>
      <c r="G136" t="s">
        <v>3052</v>
      </c>
      <c r="H136" t="s">
        <v>3067</v>
      </c>
      <c r="I136" t="s">
        <v>3073</v>
      </c>
      <c r="J136" t="s">
        <v>4243</v>
      </c>
      <c r="K136">
        <v>6</v>
      </c>
      <c r="L136" t="s">
        <v>4277</v>
      </c>
      <c r="M136" t="s">
        <v>4282</v>
      </c>
      <c r="N136">
        <v>662.84</v>
      </c>
      <c r="O136" t="s">
        <v>4290</v>
      </c>
      <c r="P136" t="s">
        <v>3052</v>
      </c>
      <c r="Q136" t="s">
        <v>3067</v>
      </c>
      <c r="R136" t="s">
        <v>4282</v>
      </c>
      <c r="S136">
        <v>110.47</v>
      </c>
    </row>
    <row r="137" spans="1:19" x14ac:dyDescent="0.3">
      <c r="A137" t="s">
        <v>416</v>
      </c>
      <c r="B137" s="3">
        <v>45025</v>
      </c>
      <c r="C137" t="s">
        <v>1616</v>
      </c>
      <c r="D137" t="s">
        <v>2407</v>
      </c>
      <c r="E137">
        <v>5</v>
      </c>
      <c r="F137">
        <v>337.38</v>
      </c>
      <c r="G137" t="s">
        <v>2734</v>
      </c>
      <c r="H137" t="s">
        <v>3068</v>
      </c>
      <c r="I137" t="s">
        <v>3070</v>
      </c>
      <c r="J137" t="s">
        <v>3477</v>
      </c>
      <c r="K137">
        <v>5</v>
      </c>
      <c r="L137" t="s">
        <v>4283</v>
      </c>
      <c r="M137" t="s">
        <v>4279</v>
      </c>
      <c r="N137">
        <v>1686.9</v>
      </c>
      <c r="O137" t="s">
        <v>4290</v>
      </c>
      <c r="P137" t="s">
        <v>2734</v>
      </c>
      <c r="Q137" t="s">
        <v>3068</v>
      </c>
      <c r="R137" t="s">
        <v>4279</v>
      </c>
      <c r="S137">
        <v>337.38</v>
      </c>
    </row>
    <row r="138" spans="1:19" x14ac:dyDescent="0.3">
      <c r="A138" t="s">
        <v>153</v>
      </c>
      <c r="B138" s="3">
        <v>45026</v>
      </c>
      <c r="C138" t="s">
        <v>1353</v>
      </c>
      <c r="D138" t="s">
        <v>2404</v>
      </c>
      <c r="E138">
        <v>1</v>
      </c>
      <c r="F138">
        <v>583.9</v>
      </c>
      <c r="G138" t="s">
        <v>2540</v>
      </c>
      <c r="H138" t="s">
        <v>3069</v>
      </c>
      <c r="I138" t="s">
        <v>3072</v>
      </c>
      <c r="J138" t="s">
        <v>3214</v>
      </c>
      <c r="K138">
        <v>1</v>
      </c>
      <c r="L138" t="s">
        <v>4283</v>
      </c>
      <c r="M138" t="s">
        <v>4280</v>
      </c>
      <c r="N138">
        <v>583.9</v>
      </c>
      <c r="O138" t="s">
        <v>4290</v>
      </c>
      <c r="P138" t="s">
        <v>2540</v>
      </c>
      <c r="Q138" t="s">
        <v>3069</v>
      </c>
      <c r="R138" t="s">
        <v>4280</v>
      </c>
      <c r="S138">
        <v>583.9</v>
      </c>
    </row>
    <row r="139" spans="1:19" x14ac:dyDescent="0.3">
      <c r="A139" t="s">
        <v>331</v>
      </c>
      <c r="B139" s="3">
        <v>45026</v>
      </c>
      <c r="C139" t="s">
        <v>1531</v>
      </c>
      <c r="D139" t="s">
        <v>2403</v>
      </c>
      <c r="E139">
        <v>2</v>
      </c>
      <c r="F139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>
        <v>5</v>
      </c>
      <c r="L139" t="s">
        <v>4283</v>
      </c>
      <c r="M139" t="s">
        <v>4278</v>
      </c>
      <c r="N139">
        <v>279.89999999999998</v>
      </c>
      <c r="O139" t="s">
        <v>4290</v>
      </c>
      <c r="P139" t="s">
        <v>2678</v>
      </c>
      <c r="Q139" t="s">
        <v>3066</v>
      </c>
      <c r="R139" t="s">
        <v>4278</v>
      </c>
      <c r="S139">
        <v>55.98</v>
      </c>
    </row>
    <row r="140" spans="1:19" x14ac:dyDescent="0.3">
      <c r="A140" t="s">
        <v>134</v>
      </c>
      <c r="B140" s="3">
        <v>45027</v>
      </c>
      <c r="C140" t="s">
        <v>1334</v>
      </c>
      <c r="D140" t="s">
        <v>2405</v>
      </c>
      <c r="E140">
        <v>4</v>
      </c>
      <c r="F140">
        <v>629.34</v>
      </c>
      <c r="G140" t="s">
        <v>2416</v>
      </c>
      <c r="H140" t="s">
        <v>3069</v>
      </c>
      <c r="I140" t="s">
        <v>3071</v>
      </c>
      <c r="J140" t="s">
        <v>3195</v>
      </c>
      <c r="K140">
        <v>4</v>
      </c>
      <c r="L140" t="s">
        <v>4277</v>
      </c>
      <c r="M140" t="s">
        <v>4278</v>
      </c>
      <c r="N140">
        <v>2517.36</v>
      </c>
      <c r="O140" t="s">
        <v>4290</v>
      </c>
      <c r="P140" t="s">
        <v>2416</v>
      </c>
      <c r="Q140" t="s">
        <v>3069</v>
      </c>
      <c r="R140" t="s">
        <v>4278</v>
      </c>
      <c r="S140">
        <v>629.34</v>
      </c>
    </row>
    <row r="141" spans="1:19" x14ac:dyDescent="0.3">
      <c r="A141" t="s">
        <v>438</v>
      </c>
      <c r="B141" s="3">
        <v>45028</v>
      </c>
      <c r="C141" t="s">
        <v>1638</v>
      </c>
      <c r="D141" t="s">
        <v>2406</v>
      </c>
      <c r="E141">
        <v>5</v>
      </c>
      <c r="F141">
        <v>22.94</v>
      </c>
      <c r="G141" t="s">
        <v>2678</v>
      </c>
      <c r="H141" t="s">
        <v>3069</v>
      </c>
      <c r="I141" t="s">
        <v>3074</v>
      </c>
      <c r="J141" t="s">
        <v>3499</v>
      </c>
      <c r="K141">
        <v>10</v>
      </c>
      <c r="L141" t="s">
        <v>4283</v>
      </c>
      <c r="M141" t="s">
        <v>4280</v>
      </c>
      <c r="N141">
        <v>114.7</v>
      </c>
      <c r="O141" t="s">
        <v>4290</v>
      </c>
      <c r="P141" t="s">
        <v>2678</v>
      </c>
      <c r="Q141" t="s">
        <v>3069</v>
      </c>
      <c r="R141" t="s">
        <v>4280</v>
      </c>
      <c r="S141">
        <v>11.47</v>
      </c>
    </row>
    <row r="142" spans="1:19" x14ac:dyDescent="0.3">
      <c r="A142" t="s">
        <v>1137</v>
      </c>
      <c r="B142" s="3">
        <v>45030</v>
      </c>
      <c r="C142" t="s">
        <v>2327</v>
      </c>
      <c r="D142" t="s">
        <v>2405</v>
      </c>
      <c r="E142">
        <v>3</v>
      </c>
      <c r="F142">
        <v>554.25</v>
      </c>
      <c r="G142" t="s">
        <v>3036</v>
      </c>
      <c r="H142" t="s">
        <v>3065</v>
      </c>
      <c r="I142" t="s">
        <v>3070</v>
      </c>
      <c r="J142" t="s">
        <v>4198</v>
      </c>
      <c r="K142">
        <v>6</v>
      </c>
      <c r="L142" t="s">
        <v>4277</v>
      </c>
      <c r="M142" t="s">
        <v>4279</v>
      </c>
      <c r="N142">
        <v>1662.75</v>
      </c>
      <c r="O142" t="s">
        <v>4290</v>
      </c>
      <c r="P142" t="s">
        <v>3036</v>
      </c>
      <c r="Q142" t="s">
        <v>3065</v>
      </c>
      <c r="R142" t="s">
        <v>4279</v>
      </c>
      <c r="S142">
        <v>277.12</v>
      </c>
    </row>
    <row r="143" spans="1:19" x14ac:dyDescent="0.3">
      <c r="A143" t="s">
        <v>345</v>
      </c>
      <c r="B143" s="3">
        <v>45031</v>
      </c>
      <c r="C143" t="s">
        <v>1545</v>
      </c>
      <c r="D143" t="s">
        <v>2407</v>
      </c>
      <c r="E143">
        <v>3</v>
      </c>
      <c r="F143">
        <v>422.13</v>
      </c>
      <c r="G143" t="s">
        <v>2522</v>
      </c>
      <c r="H143" t="s">
        <v>3066</v>
      </c>
      <c r="I143" t="s">
        <v>3073</v>
      </c>
      <c r="J143" t="s">
        <v>3406</v>
      </c>
      <c r="K143">
        <v>7</v>
      </c>
      <c r="L143" t="s">
        <v>4275</v>
      </c>
      <c r="M143" t="s">
        <v>4281</v>
      </c>
      <c r="N143">
        <v>1266.3900000000001</v>
      </c>
      <c r="O143" t="s">
        <v>4290</v>
      </c>
      <c r="P143" t="s">
        <v>2522</v>
      </c>
      <c r="Q143" t="s">
        <v>3066</v>
      </c>
      <c r="R143" t="s">
        <v>4281</v>
      </c>
      <c r="S143">
        <v>180.91</v>
      </c>
    </row>
    <row r="144" spans="1:19" x14ac:dyDescent="0.3">
      <c r="A144" t="s">
        <v>528</v>
      </c>
      <c r="B144" s="3">
        <v>45032</v>
      </c>
      <c r="C144" t="s">
        <v>1728</v>
      </c>
      <c r="D144" t="s">
        <v>2407</v>
      </c>
      <c r="E144">
        <v>3</v>
      </c>
      <c r="F144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>
        <v>3</v>
      </c>
      <c r="L144" t="s">
        <v>4277</v>
      </c>
      <c r="M144" t="s">
        <v>4278</v>
      </c>
      <c r="N144">
        <v>912.44999999999993</v>
      </c>
      <c r="O144" t="s">
        <v>4290</v>
      </c>
      <c r="P144" t="s">
        <v>2764</v>
      </c>
      <c r="Q144" t="s">
        <v>3068</v>
      </c>
      <c r="R144" t="s">
        <v>4278</v>
      </c>
      <c r="S144">
        <v>304.14999999999998</v>
      </c>
    </row>
    <row r="145" spans="1:19" x14ac:dyDescent="0.3">
      <c r="A145" t="s">
        <v>813</v>
      </c>
      <c r="B145" s="3">
        <v>45032</v>
      </c>
      <c r="C145" t="s">
        <v>2010</v>
      </c>
      <c r="D145" t="s">
        <v>2408</v>
      </c>
      <c r="E145">
        <v>4</v>
      </c>
      <c r="F145">
        <v>328.56</v>
      </c>
      <c r="G145" t="s">
        <v>2638</v>
      </c>
      <c r="H145" t="s">
        <v>3065</v>
      </c>
      <c r="I145" t="s">
        <v>3072</v>
      </c>
      <c r="J145" t="s">
        <v>3874</v>
      </c>
      <c r="K145">
        <v>4</v>
      </c>
      <c r="L145" t="s">
        <v>4276</v>
      </c>
      <c r="M145" t="s">
        <v>4280</v>
      </c>
      <c r="N145">
        <v>1314.24</v>
      </c>
      <c r="O145" t="s">
        <v>4290</v>
      </c>
      <c r="P145" t="s">
        <v>2638</v>
      </c>
      <c r="Q145" t="s">
        <v>3065</v>
      </c>
      <c r="R145" t="s">
        <v>4280</v>
      </c>
      <c r="S145">
        <v>328.56</v>
      </c>
    </row>
    <row r="146" spans="1:19" x14ac:dyDescent="0.3">
      <c r="A146" t="s">
        <v>227</v>
      </c>
      <c r="B146" s="3">
        <v>45036</v>
      </c>
      <c r="C146" t="s">
        <v>1427</v>
      </c>
      <c r="D146" t="s">
        <v>2408</v>
      </c>
      <c r="E146">
        <v>1</v>
      </c>
      <c r="F146">
        <v>634.4</v>
      </c>
      <c r="G146" t="s">
        <v>2596</v>
      </c>
      <c r="H146" t="s">
        <v>3069</v>
      </c>
      <c r="I146" t="s">
        <v>3071</v>
      </c>
      <c r="J146" t="s">
        <v>3288</v>
      </c>
      <c r="K146">
        <v>6</v>
      </c>
      <c r="L146" t="s">
        <v>4275</v>
      </c>
      <c r="M146" t="s">
        <v>4280</v>
      </c>
      <c r="N146">
        <v>634.4</v>
      </c>
      <c r="O146" t="s">
        <v>4290</v>
      </c>
      <c r="P146" t="s">
        <v>2596</v>
      </c>
      <c r="Q146" t="s">
        <v>3069</v>
      </c>
      <c r="R146" t="s">
        <v>4280</v>
      </c>
      <c r="S146">
        <v>105.73</v>
      </c>
    </row>
    <row r="147" spans="1:19" x14ac:dyDescent="0.3">
      <c r="A147" t="s">
        <v>1046</v>
      </c>
      <c r="B147" s="3">
        <v>45036</v>
      </c>
      <c r="C147" t="s">
        <v>2238</v>
      </c>
      <c r="D147" t="s">
        <v>2406</v>
      </c>
      <c r="E147">
        <v>1</v>
      </c>
      <c r="F14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>
        <v>6</v>
      </c>
      <c r="L147" t="s">
        <v>4277</v>
      </c>
      <c r="M147" t="s">
        <v>4279</v>
      </c>
      <c r="N147">
        <v>618.67999999999995</v>
      </c>
      <c r="O147" t="s">
        <v>4290</v>
      </c>
      <c r="P147" t="s">
        <v>2653</v>
      </c>
      <c r="Q147" t="s">
        <v>3066</v>
      </c>
      <c r="R147" t="s">
        <v>4279</v>
      </c>
      <c r="S147">
        <v>103.11</v>
      </c>
    </row>
    <row r="148" spans="1:19" x14ac:dyDescent="0.3">
      <c r="A148" t="s">
        <v>1172</v>
      </c>
      <c r="B148" s="3">
        <v>45036</v>
      </c>
      <c r="C148" t="s">
        <v>2361</v>
      </c>
      <c r="D148" t="s">
        <v>2403</v>
      </c>
      <c r="E148">
        <v>4</v>
      </c>
      <c r="F148">
        <v>27.42</v>
      </c>
      <c r="G148" t="s">
        <v>2755</v>
      </c>
      <c r="H148" t="s">
        <v>3065</v>
      </c>
      <c r="I148" t="s">
        <v>3074</v>
      </c>
      <c r="J148" t="s">
        <v>4233</v>
      </c>
      <c r="K148">
        <v>4</v>
      </c>
      <c r="L148" t="s">
        <v>4275</v>
      </c>
      <c r="M148" t="s">
        <v>4279</v>
      </c>
      <c r="N148">
        <v>109.68</v>
      </c>
      <c r="O148" t="s">
        <v>4290</v>
      </c>
      <c r="P148" t="s">
        <v>2755</v>
      </c>
      <c r="Q148" t="s">
        <v>3065</v>
      </c>
      <c r="R148" t="s">
        <v>4279</v>
      </c>
      <c r="S148">
        <v>27.42</v>
      </c>
    </row>
    <row r="149" spans="1:19" x14ac:dyDescent="0.3">
      <c r="A149" t="s">
        <v>625</v>
      </c>
      <c r="B149" s="3">
        <v>45037</v>
      </c>
      <c r="C149" t="s">
        <v>1824</v>
      </c>
      <c r="D149" t="s">
        <v>2409</v>
      </c>
      <c r="E149">
        <v>1</v>
      </c>
      <c r="F149">
        <v>305.17</v>
      </c>
      <c r="G149" t="s">
        <v>2835</v>
      </c>
      <c r="H149" t="s">
        <v>3068</v>
      </c>
      <c r="I149" t="s">
        <v>3072</v>
      </c>
      <c r="J149" t="s">
        <v>3686</v>
      </c>
      <c r="K149">
        <v>3</v>
      </c>
      <c r="L149" t="s">
        <v>4277</v>
      </c>
      <c r="M149" t="s">
        <v>4279</v>
      </c>
      <c r="N149">
        <v>305.17</v>
      </c>
      <c r="O149" t="s">
        <v>4290</v>
      </c>
      <c r="P149" t="s">
        <v>2835</v>
      </c>
      <c r="Q149" t="s">
        <v>3068</v>
      </c>
      <c r="R149" t="s">
        <v>4279</v>
      </c>
      <c r="S149">
        <v>101.72</v>
      </c>
    </row>
    <row r="150" spans="1:19" x14ac:dyDescent="0.3">
      <c r="A150" t="s">
        <v>728</v>
      </c>
      <c r="B150" s="3">
        <v>45037</v>
      </c>
      <c r="C150" t="s">
        <v>1925</v>
      </c>
      <c r="D150" t="s">
        <v>2408</v>
      </c>
      <c r="E150">
        <v>1</v>
      </c>
      <c r="F150">
        <v>51.73</v>
      </c>
      <c r="G150" t="s">
        <v>2660</v>
      </c>
      <c r="H150" t="s">
        <v>3065</v>
      </c>
      <c r="I150" t="s">
        <v>3074</v>
      </c>
      <c r="J150" t="s">
        <v>3789</v>
      </c>
      <c r="K150">
        <v>1</v>
      </c>
      <c r="L150" t="s">
        <v>4276</v>
      </c>
      <c r="M150" t="s">
        <v>4281</v>
      </c>
      <c r="N150">
        <v>51.73</v>
      </c>
      <c r="O150" t="s">
        <v>4290</v>
      </c>
      <c r="P150" t="s">
        <v>2660</v>
      </c>
      <c r="Q150" t="s">
        <v>3065</v>
      </c>
      <c r="R150" t="s">
        <v>4281</v>
      </c>
      <c r="S150">
        <v>51.73</v>
      </c>
    </row>
    <row r="151" spans="1:19" x14ac:dyDescent="0.3">
      <c r="A151" t="s">
        <v>1095</v>
      </c>
      <c r="B151" s="3">
        <v>45037</v>
      </c>
      <c r="C151" t="s">
        <v>2287</v>
      </c>
      <c r="D151" t="s">
        <v>2403</v>
      </c>
      <c r="E151">
        <v>4</v>
      </c>
      <c r="F151">
        <v>425.6</v>
      </c>
      <c r="G151" t="s">
        <v>2704</v>
      </c>
      <c r="H151" t="s">
        <v>3067</v>
      </c>
      <c r="I151" t="s">
        <v>3074</v>
      </c>
      <c r="J151" t="s">
        <v>4156</v>
      </c>
      <c r="K151">
        <v>5</v>
      </c>
      <c r="L151" t="s">
        <v>4276</v>
      </c>
      <c r="M151" t="s">
        <v>4282</v>
      </c>
      <c r="N151">
        <v>1702.4</v>
      </c>
      <c r="O151" t="s">
        <v>4290</v>
      </c>
      <c r="P151" t="s">
        <v>2704</v>
      </c>
      <c r="Q151" t="s">
        <v>3067</v>
      </c>
      <c r="R151" t="s">
        <v>4282</v>
      </c>
      <c r="S151">
        <v>340.48</v>
      </c>
    </row>
    <row r="152" spans="1:19" x14ac:dyDescent="0.3">
      <c r="A152" t="s">
        <v>354</v>
      </c>
      <c r="B152" s="3">
        <v>45039</v>
      </c>
      <c r="C152" t="s">
        <v>1554</v>
      </c>
      <c r="D152" t="s">
        <v>2408</v>
      </c>
      <c r="E152">
        <v>5</v>
      </c>
      <c r="F152">
        <v>521.25</v>
      </c>
      <c r="G152" t="s">
        <v>2693</v>
      </c>
      <c r="H152" t="s">
        <v>3069</v>
      </c>
      <c r="I152" t="s">
        <v>3071</v>
      </c>
      <c r="J152" t="s">
        <v>3415</v>
      </c>
      <c r="K152">
        <v>8</v>
      </c>
      <c r="L152" t="s">
        <v>4283</v>
      </c>
      <c r="M152" t="s">
        <v>4280</v>
      </c>
      <c r="N152">
        <v>2606.25</v>
      </c>
      <c r="O152" t="s">
        <v>4290</v>
      </c>
      <c r="P152" t="s">
        <v>2693</v>
      </c>
      <c r="Q152" t="s">
        <v>3069</v>
      </c>
      <c r="R152" t="s">
        <v>4280</v>
      </c>
      <c r="S152">
        <v>325.77999999999997</v>
      </c>
    </row>
    <row r="153" spans="1:19" x14ac:dyDescent="0.3">
      <c r="A153" t="s">
        <v>495</v>
      </c>
      <c r="B153" s="3">
        <v>45039</v>
      </c>
      <c r="C153" t="s">
        <v>1695</v>
      </c>
      <c r="D153" t="s">
        <v>2408</v>
      </c>
      <c r="E153">
        <v>4</v>
      </c>
      <c r="F153">
        <v>484.85</v>
      </c>
      <c r="G153" t="s">
        <v>2596</v>
      </c>
      <c r="H153" t="s">
        <v>3065</v>
      </c>
      <c r="I153" t="s">
        <v>3073</v>
      </c>
      <c r="J153" t="s">
        <v>3556</v>
      </c>
      <c r="K153">
        <v>5</v>
      </c>
      <c r="L153" t="s">
        <v>4277</v>
      </c>
      <c r="M153" t="s">
        <v>4279</v>
      </c>
      <c r="N153">
        <v>1939.4</v>
      </c>
      <c r="O153" t="s">
        <v>4290</v>
      </c>
      <c r="P153" t="s">
        <v>2596</v>
      </c>
      <c r="Q153" t="s">
        <v>3065</v>
      </c>
      <c r="R153" t="s">
        <v>4279</v>
      </c>
      <c r="S153">
        <v>387.88</v>
      </c>
    </row>
    <row r="154" spans="1:19" x14ac:dyDescent="0.3">
      <c r="A154" t="s">
        <v>1117</v>
      </c>
      <c r="B154" s="3">
        <v>45040</v>
      </c>
      <c r="C154" t="s">
        <v>2308</v>
      </c>
      <c r="D154" t="s">
        <v>2408</v>
      </c>
      <c r="E154">
        <v>4</v>
      </c>
      <c r="F154">
        <v>276.32</v>
      </c>
      <c r="G154" t="s">
        <v>2477</v>
      </c>
      <c r="H154" t="s">
        <v>3066</v>
      </c>
      <c r="I154" t="s">
        <v>3073</v>
      </c>
      <c r="J154" t="s">
        <v>4178</v>
      </c>
      <c r="K154">
        <v>5</v>
      </c>
      <c r="L154" t="s">
        <v>4283</v>
      </c>
      <c r="M154" t="s">
        <v>4282</v>
      </c>
      <c r="N154">
        <v>1105.28</v>
      </c>
      <c r="O154" t="s">
        <v>4290</v>
      </c>
      <c r="P154" t="s">
        <v>2477</v>
      </c>
      <c r="Q154" t="s">
        <v>3066</v>
      </c>
      <c r="R154" t="s">
        <v>4282</v>
      </c>
      <c r="S154">
        <v>221.06</v>
      </c>
    </row>
    <row r="155" spans="1:19" x14ac:dyDescent="0.3">
      <c r="A155" t="s">
        <v>1191</v>
      </c>
      <c r="B155" s="3">
        <v>45043</v>
      </c>
      <c r="C155" t="s">
        <v>2380</v>
      </c>
      <c r="D155" t="s">
        <v>2407</v>
      </c>
      <c r="E155">
        <v>1</v>
      </c>
      <c r="F155">
        <v>127.55</v>
      </c>
      <c r="G155" t="s">
        <v>2749</v>
      </c>
      <c r="H155" t="s">
        <v>3069</v>
      </c>
      <c r="I155" t="s">
        <v>3070</v>
      </c>
      <c r="J155" t="s">
        <v>4252</v>
      </c>
      <c r="K155">
        <v>3</v>
      </c>
      <c r="L155" t="s">
        <v>4275</v>
      </c>
      <c r="M155" t="s">
        <v>4279</v>
      </c>
      <c r="N155">
        <v>127.55</v>
      </c>
      <c r="O155" t="s">
        <v>4290</v>
      </c>
      <c r="P155" t="s">
        <v>2749</v>
      </c>
      <c r="Q155" t="s">
        <v>3069</v>
      </c>
      <c r="R155" t="s">
        <v>4279</v>
      </c>
      <c r="S155">
        <v>42.52</v>
      </c>
    </row>
    <row r="156" spans="1:19" x14ac:dyDescent="0.3">
      <c r="A156" t="s">
        <v>232</v>
      </c>
      <c r="B156" s="3">
        <v>45044</v>
      </c>
      <c r="C156" t="s">
        <v>1432</v>
      </c>
      <c r="D156" t="s">
        <v>2405</v>
      </c>
      <c r="E156">
        <v>3</v>
      </c>
      <c r="F156">
        <v>112.46</v>
      </c>
      <c r="G156" t="s">
        <v>2599</v>
      </c>
      <c r="H156" t="s">
        <v>3068</v>
      </c>
      <c r="I156" t="s">
        <v>3070</v>
      </c>
      <c r="J156" t="s">
        <v>3293</v>
      </c>
      <c r="K156">
        <v>6</v>
      </c>
      <c r="L156" t="s">
        <v>4275</v>
      </c>
      <c r="M156" t="s">
        <v>4278</v>
      </c>
      <c r="N156">
        <v>337.38</v>
      </c>
      <c r="O156" t="s">
        <v>4290</v>
      </c>
      <c r="P156" t="s">
        <v>2599</v>
      </c>
      <c r="Q156" t="s">
        <v>3068</v>
      </c>
      <c r="R156" t="s">
        <v>4278</v>
      </c>
      <c r="S156">
        <v>56.23</v>
      </c>
    </row>
    <row r="157" spans="1:19" x14ac:dyDescent="0.3">
      <c r="A157" t="s">
        <v>400</v>
      </c>
      <c r="B157" s="3">
        <v>45044</v>
      </c>
      <c r="C157" t="s">
        <v>1600</v>
      </c>
      <c r="D157" t="s">
        <v>2405</v>
      </c>
      <c r="E157">
        <v>1</v>
      </c>
      <c r="F157">
        <v>93.02</v>
      </c>
      <c r="G157" t="s">
        <v>2726</v>
      </c>
      <c r="H157" t="s">
        <v>3066</v>
      </c>
      <c r="I157" t="s">
        <v>3072</v>
      </c>
      <c r="J157" t="s">
        <v>3461</v>
      </c>
      <c r="K157">
        <v>4</v>
      </c>
      <c r="L157" t="s">
        <v>4283</v>
      </c>
      <c r="M157" t="s">
        <v>4280</v>
      </c>
      <c r="N157">
        <v>93.02</v>
      </c>
      <c r="O157" t="s">
        <v>4290</v>
      </c>
      <c r="P157" t="s">
        <v>2726</v>
      </c>
      <c r="Q157" t="s">
        <v>3066</v>
      </c>
      <c r="R157" t="s">
        <v>4280</v>
      </c>
      <c r="S157">
        <v>23.26</v>
      </c>
    </row>
    <row r="158" spans="1:19" x14ac:dyDescent="0.3">
      <c r="A158" t="s">
        <v>792</v>
      </c>
      <c r="B158" s="3">
        <v>45044</v>
      </c>
      <c r="C158" t="s">
        <v>1989</v>
      </c>
      <c r="D158" t="s">
        <v>2408</v>
      </c>
      <c r="E158">
        <v>4</v>
      </c>
      <c r="F158">
        <v>246.85</v>
      </c>
      <c r="G158" t="s">
        <v>2918</v>
      </c>
      <c r="H158" t="s">
        <v>3067</v>
      </c>
      <c r="I158" t="s">
        <v>3070</v>
      </c>
      <c r="J158" t="s">
        <v>3853</v>
      </c>
      <c r="K158">
        <v>8</v>
      </c>
      <c r="L158" t="s">
        <v>4277</v>
      </c>
      <c r="M158" t="s">
        <v>4282</v>
      </c>
      <c r="N158">
        <v>987.4</v>
      </c>
      <c r="O158" t="s">
        <v>4290</v>
      </c>
      <c r="P158" t="s">
        <v>2918</v>
      </c>
      <c r="Q158" t="s">
        <v>3067</v>
      </c>
      <c r="R158" t="s">
        <v>4282</v>
      </c>
      <c r="S158">
        <v>123.42</v>
      </c>
    </row>
    <row r="159" spans="1:19" x14ac:dyDescent="0.3">
      <c r="A159" t="s">
        <v>879</v>
      </c>
      <c r="B159" s="3">
        <v>45046</v>
      </c>
      <c r="C159" t="s">
        <v>2075</v>
      </c>
      <c r="D159" t="s">
        <v>2403</v>
      </c>
      <c r="E159">
        <v>4</v>
      </c>
      <c r="F159">
        <v>677.37</v>
      </c>
      <c r="G159" t="s">
        <v>2958</v>
      </c>
      <c r="H159" t="s">
        <v>3069</v>
      </c>
      <c r="I159" t="s">
        <v>3074</v>
      </c>
      <c r="J159" t="s">
        <v>3940</v>
      </c>
      <c r="K159">
        <v>8</v>
      </c>
      <c r="L159" t="s">
        <v>4275</v>
      </c>
      <c r="M159" t="s">
        <v>4282</v>
      </c>
      <c r="N159">
        <v>2709.48</v>
      </c>
      <c r="O159" t="s">
        <v>4290</v>
      </c>
      <c r="P159" t="s">
        <v>2958</v>
      </c>
      <c r="Q159" t="s">
        <v>3069</v>
      </c>
      <c r="R159" t="s">
        <v>4282</v>
      </c>
      <c r="S159">
        <v>338.68</v>
      </c>
    </row>
    <row r="160" spans="1:19" x14ac:dyDescent="0.3">
      <c r="A160" t="s">
        <v>46</v>
      </c>
      <c r="B160" s="3">
        <v>45047</v>
      </c>
      <c r="C160" t="s">
        <v>1246</v>
      </c>
      <c r="D160" t="s">
        <v>2405</v>
      </c>
      <c r="E160">
        <v>5</v>
      </c>
      <c r="F160">
        <v>536.72</v>
      </c>
      <c r="G160" t="s">
        <v>2442</v>
      </c>
      <c r="H160" t="s">
        <v>3069</v>
      </c>
      <c r="I160" t="s">
        <v>3073</v>
      </c>
      <c r="J160" t="s">
        <v>3107</v>
      </c>
      <c r="K160">
        <v>10</v>
      </c>
      <c r="L160" t="s">
        <v>4283</v>
      </c>
      <c r="M160" t="s">
        <v>4280</v>
      </c>
      <c r="N160">
        <v>2683.6</v>
      </c>
      <c r="O160" t="s">
        <v>4290</v>
      </c>
      <c r="P160" t="s">
        <v>2442</v>
      </c>
      <c r="Q160" t="s">
        <v>3069</v>
      </c>
      <c r="R160" t="s">
        <v>4280</v>
      </c>
      <c r="S160">
        <v>268.36</v>
      </c>
    </row>
    <row r="161" spans="1:19" x14ac:dyDescent="0.3">
      <c r="A161" t="s">
        <v>382</v>
      </c>
      <c r="B161" s="3">
        <v>45047</v>
      </c>
      <c r="C161" t="s">
        <v>1582</v>
      </c>
      <c r="D161" t="s">
        <v>2403</v>
      </c>
      <c r="E161">
        <v>3</v>
      </c>
      <c r="F161">
        <v>271.02</v>
      </c>
      <c r="G161" t="s">
        <v>2716</v>
      </c>
      <c r="H161" t="s">
        <v>3067</v>
      </c>
      <c r="I161" t="s">
        <v>3071</v>
      </c>
      <c r="J161" t="s">
        <v>3443</v>
      </c>
      <c r="K161">
        <v>6</v>
      </c>
      <c r="L161" t="s">
        <v>4283</v>
      </c>
      <c r="M161" t="s">
        <v>4282</v>
      </c>
      <c r="N161">
        <v>813.06</v>
      </c>
      <c r="O161" t="s">
        <v>4290</v>
      </c>
      <c r="P161" t="s">
        <v>2716</v>
      </c>
      <c r="Q161" t="s">
        <v>3067</v>
      </c>
      <c r="R161" t="s">
        <v>4282</v>
      </c>
      <c r="S161">
        <v>135.51</v>
      </c>
    </row>
    <row r="162" spans="1:19" x14ac:dyDescent="0.3">
      <c r="A162" t="s">
        <v>1040</v>
      </c>
      <c r="B162" s="3">
        <v>45047</v>
      </c>
      <c r="C162" t="s">
        <v>2232</v>
      </c>
      <c r="D162" t="s">
        <v>2403</v>
      </c>
      <c r="E162">
        <v>1</v>
      </c>
      <c r="F162">
        <v>677.48</v>
      </c>
      <c r="G162" t="s">
        <v>2521</v>
      </c>
      <c r="H162" t="s">
        <v>3066</v>
      </c>
      <c r="I162" t="s">
        <v>3073</v>
      </c>
      <c r="J162" t="s">
        <v>4101</v>
      </c>
      <c r="K162">
        <v>1</v>
      </c>
      <c r="L162" t="s">
        <v>4277</v>
      </c>
      <c r="M162" t="s">
        <v>4281</v>
      </c>
      <c r="N162">
        <v>677.48</v>
      </c>
      <c r="O162" t="s">
        <v>4290</v>
      </c>
      <c r="P162" t="s">
        <v>2521</v>
      </c>
      <c r="Q162" t="s">
        <v>3066</v>
      </c>
      <c r="R162" t="s">
        <v>4281</v>
      </c>
      <c r="S162">
        <v>677.48</v>
      </c>
    </row>
    <row r="163" spans="1:19" x14ac:dyDescent="0.3">
      <c r="A163" t="s">
        <v>646</v>
      </c>
      <c r="B163" s="3">
        <v>45048</v>
      </c>
      <c r="C163" t="s">
        <v>1845</v>
      </c>
      <c r="D163" t="s">
        <v>2408</v>
      </c>
      <c r="E163">
        <v>5</v>
      </c>
      <c r="F163">
        <v>678.16</v>
      </c>
      <c r="G163" t="s">
        <v>2629</v>
      </c>
      <c r="H163" t="s">
        <v>3068</v>
      </c>
      <c r="I163" t="s">
        <v>3073</v>
      </c>
      <c r="J163" t="s">
        <v>3707</v>
      </c>
      <c r="K163">
        <v>7</v>
      </c>
      <c r="L163" t="s">
        <v>4277</v>
      </c>
      <c r="M163" t="s">
        <v>4281</v>
      </c>
      <c r="N163">
        <v>3390.8</v>
      </c>
      <c r="O163" t="s">
        <v>4290</v>
      </c>
      <c r="P163" t="s">
        <v>2629</v>
      </c>
      <c r="Q163" t="s">
        <v>3068</v>
      </c>
      <c r="R163" t="s">
        <v>4281</v>
      </c>
      <c r="S163">
        <v>484.4</v>
      </c>
    </row>
    <row r="164" spans="1:19" x14ac:dyDescent="0.3">
      <c r="A164" t="s">
        <v>679</v>
      </c>
      <c r="B164" s="3">
        <v>45048</v>
      </c>
      <c r="C164" t="s">
        <v>1877</v>
      </c>
      <c r="D164" t="s">
        <v>2405</v>
      </c>
      <c r="E164">
        <v>4</v>
      </c>
      <c r="F164">
        <v>231.26</v>
      </c>
      <c r="G164" t="s">
        <v>2866</v>
      </c>
      <c r="H164" t="s">
        <v>3066</v>
      </c>
      <c r="I164" t="s">
        <v>3070</v>
      </c>
      <c r="J164" t="s">
        <v>3740</v>
      </c>
      <c r="K164">
        <v>6</v>
      </c>
      <c r="L164" t="s">
        <v>4277</v>
      </c>
      <c r="M164" t="s">
        <v>4282</v>
      </c>
      <c r="N164">
        <v>925.04</v>
      </c>
      <c r="O164" t="s">
        <v>4290</v>
      </c>
      <c r="P164" t="s">
        <v>2866</v>
      </c>
      <c r="Q164" t="s">
        <v>3066</v>
      </c>
      <c r="R164" t="s">
        <v>4282</v>
      </c>
      <c r="S164">
        <v>154.16999999999999</v>
      </c>
    </row>
    <row r="165" spans="1:19" x14ac:dyDescent="0.3">
      <c r="A165" t="s">
        <v>87</v>
      </c>
      <c r="B165" s="3">
        <v>45049</v>
      </c>
      <c r="C165" t="s">
        <v>1287</v>
      </c>
      <c r="D165" t="s">
        <v>2403</v>
      </c>
      <c r="E165">
        <v>4</v>
      </c>
      <c r="F165">
        <v>433.45</v>
      </c>
      <c r="G165" t="s">
        <v>2477</v>
      </c>
      <c r="H165" t="s">
        <v>3068</v>
      </c>
      <c r="I165" t="s">
        <v>3071</v>
      </c>
      <c r="J165" t="s">
        <v>3148</v>
      </c>
      <c r="K165">
        <v>4</v>
      </c>
      <c r="L165" t="s">
        <v>4283</v>
      </c>
      <c r="M165" t="s">
        <v>4281</v>
      </c>
      <c r="N165">
        <v>1733.8</v>
      </c>
      <c r="O165" t="s">
        <v>4290</v>
      </c>
      <c r="P165" t="s">
        <v>2477</v>
      </c>
      <c r="Q165" t="s">
        <v>3068</v>
      </c>
      <c r="R165" t="s">
        <v>4281</v>
      </c>
      <c r="S165">
        <v>433.45</v>
      </c>
    </row>
    <row r="166" spans="1:19" x14ac:dyDescent="0.3">
      <c r="A166" t="s">
        <v>681</v>
      </c>
      <c r="B166" s="3">
        <v>45049</v>
      </c>
      <c r="C166" t="s">
        <v>1879</v>
      </c>
      <c r="D166" t="s">
        <v>2408</v>
      </c>
      <c r="E166">
        <v>1</v>
      </c>
      <c r="F166">
        <v>466.42</v>
      </c>
      <c r="G166" t="s">
        <v>2590</v>
      </c>
      <c r="H166" t="s">
        <v>3068</v>
      </c>
      <c r="I166" t="s">
        <v>3074</v>
      </c>
      <c r="J166" t="s">
        <v>3742</v>
      </c>
      <c r="K166">
        <v>5</v>
      </c>
      <c r="L166" t="s">
        <v>4275</v>
      </c>
      <c r="M166" t="s">
        <v>4280</v>
      </c>
      <c r="N166">
        <v>466.42</v>
      </c>
      <c r="O166" t="s">
        <v>4290</v>
      </c>
      <c r="P166" t="s">
        <v>2590</v>
      </c>
      <c r="Q166" t="s">
        <v>3068</v>
      </c>
      <c r="R166" t="s">
        <v>4280</v>
      </c>
      <c r="S166">
        <v>93.28</v>
      </c>
    </row>
    <row r="167" spans="1:19" x14ac:dyDescent="0.3">
      <c r="A167" t="s">
        <v>815</v>
      </c>
      <c r="B167" s="3">
        <v>45049</v>
      </c>
      <c r="C167" t="s">
        <v>1241</v>
      </c>
      <c r="D167" t="s">
        <v>2407</v>
      </c>
      <c r="E167">
        <v>4</v>
      </c>
      <c r="F167">
        <v>595.62</v>
      </c>
      <c r="G167" t="s">
        <v>2931</v>
      </c>
      <c r="H167" t="s">
        <v>3065</v>
      </c>
      <c r="I167" t="s">
        <v>3074</v>
      </c>
      <c r="J167" t="s">
        <v>3876</v>
      </c>
      <c r="K167">
        <v>8</v>
      </c>
      <c r="L167" t="s">
        <v>4276</v>
      </c>
      <c r="M167" t="s">
        <v>4281</v>
      </c>
      <c r="N167">
        <v>2382.48</v>
      </c>
      <c r="O167" t="s">
        <v>4290</v>
      </c>
      <c r="P167" t="s">
        <v>2931</v>
      </c>
      <c r="Q167" t="s">
        <v>3065</v>
      </c>
      <c r="R167" t="s">
        <v>4281</v>
      </c>
      <c r="S167">
        <v>297.81</v>
      </c>
    </row>
    <row r="168" spans="1:19" x14ac:dyDescent="0.3">
      <c r="A168" t="s">
        <v>878</v>
      </c>
      <c r="B168" s="3">
        <v>45049</v>
      </c>
      <c r="C168" t="s">
        <v>2074</v>
      </c>
      <c r="D168" t="s">
        <v>2409</v>
      </c>
      <c r="E168">
        <v>1</v>
      </c>
      <c r="F168">
        <v>491.11</v>
      </c>
      <c r="G168" t="s">
        <v>2957</v>
      </c>
      <c r="H168" t="s">
        <v>3067</v>
      </c>
      <c r="I168" t="s">
        <v>3073</v>
      </c>
      <c r="J168" t="s">
        <v>3939</v>
      </c>
      <c r="K168">
        <v>4</v>
      </c>
      <c r="L168" t="s">
        <v>4275</v>
      </c>
      <c r="M168" t="s">
        <v>4281</v>
      </c>
      <c r="N168">
        <v>491.11</v>
      </c>
      <c r="O168" t="s">
        <v>4290</v>
      </c>
      <c r="P168" t="s">
        <v>2957</v>
      </c>
      <c r="Q168" t="s">
        <v>3067</v>
      </c>
      <c r="R168" t="s">
        <v>4281</v>
      </c>
      <c r="S168">
        <v>122.78</v>
      </c>
    </row>
    <row r="169" spans="1:19" x14ac:dyDescent="0.3">
      <c r="A169" t="s">
        <v>236</v>
      </c>
      <c r="B169" s="3">
        <v>45050</v>
      </c>
      <c r="C169" t="s">
        <v>1436</v>
      </c>
      <c r="D169" t="s">
        <v>2406</v>
      </c>
      <c r="E169">
        <v>4</v>
      </c>
      <c r="F169">
        <v>693.36</v>
      </c>
      <c r="G169" t="s">
        <v>2602</v>
      </c>
      <c r="H169" t="s">
        <v>3066</v>
      </c>
      <c r="I169" t="s">
        <v>3070</v>
      </c>
      <c r="J169" t="s">
        <v>3297</v>
      </c>
      <c r="K169">
        <v>8</v>
      </c>
      <c r="L169" t="s">
        <v>4283</v>
      </c>
      <c r="M169" t="s">
        <v>4278</v>
      </c>
      <c r="N169">
        <v>2773.44</v>
      </c>
      <c r="O169" t="s">
        <v>4290</v>
      </c>
      <c r="P169" t="s">
        <v>2602</v>
      </c>
      <c r="Q169" t="s">
        <v>3066</v>
      </c>
      <c r="R169" t="s">
        <v>4278</v>
      </c>
      <c r="S169">
        <v>346.68</v>
      </c>
    </row>
    <row r="170" spans="1:19" x14ac:dyDescent="0.3">
      <c r="A170" t="s">
        <v>304</v>
      </c>
      <c r="B170" s="3">
        <v>45051</v>
      </c>
      <c r="C170" t="s">
        <v>1504</v>
      </c>
      <c r="D170" t="s">
        <v>2406</v>
      </c>
      <c r="E170">
        <v>3</v>
      </c>
      <c r="F170">
        <v>99.9</v>
      </c>
      <c r="G170" t="s">
        <v>2575</v>
      </c>
      <c r="H170" t="s">
        <v>3069</v>
      </c>
      <c r="I170" t="s">
        <v>3073</v>
      </c>
      <c r="J170" t="s">
        <v>3365</v>
      </c>
      <c r="K170">
        <v>8</v>
      </c>
      <c r="L170" t="s">
        <v>4276</v>
      </c>
      <c r="M170" t="s">
        <v>4281</v>
      </c>
      <c r="N170">
        <v>299.7</v>
      </c>
      <c r="O170" t="s">
        <v>4290</v>
      </c>
      <c r="P170" t="s">
        <v>2575</v>
      </c>
      <c r="Q170" t="s">
        <v>3069</v>
      </c>
      <c r="R170" t="s">
        <v>4281</v>
      </c>
      <c r="S170">
        <v>37.46</v>
      </c>
    </row>
    <row r="171" spans="1:19" x14ac:dyDescent="0.3">
      <c r="A171" t="s">
        <v>370</v>
      </c>
      <c r="B171" s="3">
        <v>45052</v>
      </c>
      <c r="C171" t="s">
        <v>1570</v>
      </c>
      <c r="D171" t="s">
        <v>2407</v>
      </c>
      <c r="E171">
        <v>5</v>
      </c>
      <c r="F171">
        <v>374.58</v>
      </c>
      <c r="G171" t="s">
        <v>2709</v>
      </c>
      <c r="H171" t="s">
        <v>3068</v>
      </c>
      <c r="I171" t="s">
        <v>3071</v>
      </c>
      <c r="J171" t="s">
        <v>3431</v>
      </c>
      <c r="K171">
        <v>10</v>
      </c>
      <c r="L171" t="s">
        <v>4276</v>
      </c>
      <c r="M171" t="s">
        <v>4278</v>
      </c>
      <c r="N171">
        <v>1872.9</v>
      </c>
      <c r="O171" t="s">
        <v>4290</v>
      </c>
      <c r="P171" t="s">
        <v>2709</v>
      </c>
      <c r="Q171" t="s">
        <v>3068</v>
      </c>
      <c r="R171" t="s">
        <v>4278</v>
      </c>
      <c r="S171">
        <v>187.29</v>
      </c>
    </row>
    <row r="172" spans="1:19" x14ac:dyDescent="0.3">
      <c r="A172" t="s">
        <v>1125</v>
      </c>
      <c r="B172" s="3">
        <v>45052</v>
      </c>
      <c r="C172" t="s">
        <v>2316</v>
      </c>
      <c r="D172" t="s">
        <v>2403</v>
      </c>
      <c r="E172">
        <v>4</v>
      </c>
      <c r="F172">
        <v>234.45</v>
      </c>
      <c r="G172" t="s">
        <v>3035</v>
      </c>
      <c r="H172" t="s">
        <v>3066</v>
      </c>
      <c r="I172" t="s">
        <v>3071</v>
      </c>
      <c r="J172" t="s">
        <v>4186</v>
      </c>
      <c r="K172">
        <v>9</v>
      </c>
      <c r="L172" t="s">
        <v>4276</v>
      </c>
      <c r="M172" t="s">
        <v>4278</v>
      </c>
      <c r="N172">
        <v>937.8</v>
      </c>
      <c r="O172" t="s">
        <v>4290</v>
      </c>
      <c r="P172" t="s">
        <v>3035</v>
      </c>
      <c r="Q172" t="s">
        <v>3066</v>
      </c>
      <c r="R172" t="s">
        <v>4278</v>
      </c>
      <c r="S172">
        <v>104.2</v>
      </c>
    </row>
    <row r="173" spans="1:19" x14ac:dyDescent="0.3">
      <c r="A173" t="s">
        <v>34</v>
      </c>
      <c r="B173" s="3">
        <v>45054</v>
      </c>
      <c r="C173" t="s">
        <v>1234</v>
      </c>
      <c r="D173" t="s">
        <v>2406</v>
      </c>
      <c r="E173">
        <v>5</v>
      </c>
      <c r="F173">
        <v>62.51</v>
      </c>
      <c r="G173" t="s">
        <v>2430</v>
      </c>
      <c r="H173" t="s">
        <v>3069</v>
      </c>
      <c r="I173" t="s">
        <v>3074</v>
      </c>
      <c r="J173" t="s">
        <v>3095</v>
      </c>
      <c r="K173">
        <v>9</v>
      </c>
      <c r="L173" t="s">
        <v>4277</v>
      </c>
      <c r="M173" t="s">
        <v>4278</v>
      </c>
      <c r="N173">
        <v>312.55</v>
      </c>
      <c r="O173" t="s">
        <v>4290</v>
      </c>
      <c r="P173" t="s">
        <v>2430</v>
      </c>
      <c r="Q173" t="s">
        <v>3069</v>
      </c>
      <c r="R173" t="s">
        <v>4278</v>
      </c>
      <c r="S173">
        <v>34.729999999999997</v>
      </c>
    </row>
    <row r="174" spans="1:19" x14ac:dyDescent="0.3">
      <c r="A174" t="s">
        <v>1090</v>
      </c>
      <c r="B174" s="3">
        <v>45054</v>
      </c>
      <c r="C174" t="s">
        <v>2282</v>
      </c>
      <c r="D174" t="s">
        <v>2408</v>
      </c>
      <c r="E174">
        <v>4</v>
      </c>
      <c r="F174">
        <v>686.61</v>
      </c>
      <c r="G174" t="s">
        <v>3005</v>
      </c>
      <c r="H174" t="s">
        <v>3069</v>
      </c>
      <c r="I174" t="s">
        <v>3070</v>
      </c>
      <c r="J174" t="s">
        <v>4151</v>
      </c>
      <c r="K174">
        <v>6</v>
      </c>
      <c r="L174" t="s">
        <v>4283</v>
      </c>
      <c r="M174" t="s">
        <v>4279</v>
      </c>
      <c r="N174">
        <v>2746.44</v>
      </c>
      <c r="O174" t="s">
        <v>4290</v>
      </c>
      <c r="P174" t="s">
        <v>3005</v>
      </c>
      <c r="Q174" t="s">
        <v>3069</v>
      </c>
      <c r="R174" t="s">
        <v>4279</v>
      </c>
      <c r="S174">
        <v>457.74</v>
      </c>
    </row>
    <row r="175" spans="1:19" x14ac:dyDescent="0.3">
      <c r="A175" t="s">
        <v>256</v>
      </c>
      <c r="B175" s="3">
        <v>45055</v>
      </c>
      <c r="C175" t="s">
        <v>1456</v>
      </c>
      <c r="D175" t="s">
        <v>2407</v>
      </c>
      <c r="E175">
        <v>2</v>
      </c>
      <c r="F175">
        <v>219.1</v>
      </c>
      <c r="G175" t="s">
        <v>2619</v>
      </c>
      <c r="H175" t="s">
        <v>3066</v>
      </c>
      <c r="I175" t="s">
        <v>3074</v>
      </c>
      <c r="J175" t="s">
        <v>3317</v>
      </c>
      <c r="K175">
        <v>4</v>
      </c>
      <c r="L175" t="s">
        <v>4275</v>
      </c>
      <c r="M175" t="s">
        <v>4279</v>
      </c>
      <c r="N175">
        <v>438.2</v>
      </c>
      <c r="O175" t="s">
        <v>4290</v>
      </c>
      <c r="P175" t="s">
        <v>2619</v>
      </c>
      <c r="Q175" t="s">
        <v>3066</v>
      </c>
      <c r="R175" t="s">
        <v>4279</v>
      </c>
      <c r="S175">
        <v>109.55</v>
      </c>
    </row>
    <row r="176" spans="1:19" x14ac:dyDescent="0.3">
      <c r="A176" t="s">
        <v>686</v>
      </c>
      <c r="B176" s="3">
        <v>45055</v>
      </c>
      <c r="C176" t="s">
        <v>1884</v>
      </c>
      <c r="D176" t="s">
        <v>2404</v>
      </c>
      <c r="E176">
        <v>2</v>
      </c>
      <c r="F176">
        <v>624.16</v>
      </c>
      <c r="G176" t="s">
        <v>2843</v>
      </c>
      <c r="H176" t="s">
        <v>3065</v>
      </c>
      <c r="I176" t="s">
        <v>3070</v>
      </c>
      <c r="J176" t="s">
        <v>3747</v>
      </c>
      <c r="K176">
        <v>2</v>
      </c>
      <c r="L176" t="s">
        <v>4275</v>
      </c>
      <c r="M176" t="s">
        <v>4278</v>
      </c>
      <c r="N176">
        <v>1248.32</v>
      </c>
      <c r="O176" t="s">
        <v>4290</v>
      </c>
      <c r="P176" t="s">
        <v>2843</v>
      </c>
      <c r="Q176" t="s">
        <v>3065</v>
      </c>
      <c r="R176" t="s">
        <v>4278</v>
      </c>
      <c r="S176">
        <v>624.16</v>
      </c>
    </row>
    <row r="177" spans="1:19" x14ac:dyDescent="0.3">
      <c r="A177" t="s">
        <v>1138</v>
      </c>
      <c r="B177" s="3">
        <v>45055</v>
      </c>
      <c r="C177" t="s">
        <v>2328</v>
      </c>
      <c r="D177" t="s">
        <v>2406</v>
      </c>
      <c r="E177">
        <v>4</v>
      </c>
      <c r="F177">
        <v>576.87</v>
      </c>
      <c r="G177" t="s">
        <v>3037</v>
      </c>
      <c r="H177" t="s">
        <v>3068</v>
      </c>
      <c r="I177" t="s">
        <v>3072</v>
      </c>
      <c r="J177" t="s">
        <v>4199</v>
      </c>
      <c r="K177">
        <v>5</v>
      </c>
      <c r="L177" t="s">
        <v>4283</v>
      </c>
      <c r="M177" t="s">
        <v>4278</v>
      </c>
      <c r="N177">
        <v>2307.48</v>
      </c>
      <c r="O177" t="s">
        <v>4290</v>
      </c>
      <c r="P177" t="s">
        <v>3037</v>
      </c>
      <c r="Q177" t="s">
        <v>3068</v>
      </c>
      <c r="R177" t="s">
        <v>4278</v>
      </c>
      <c r="S177">
        <v>461.5</v>
      </c>
    </row>
    <row r="178" spans="1:19" x14ac:dyDescent="0.3">
      <c r="A178" t="s">
        <v>83</v>
      </c>
      <c r="B178" s="3">
        <v>45057</v>
      </c>
      <c r="C178" t="s">
        <v>1283</v>
      </c>
      <c r="D178" t="s">
        <v>2403</v>
      </c>
      <c r="E178">
        <v>3</v>
      </c>
      <c r="F178">
        <v>478.65</v>
      </c>
      <c r="G178" t="s">
        <v>2474</v>
      </c>
      <c r="H178" t="s">
        <v>3066</v>
      </c>
      <c r="I178" t="s">
        <v>3070</v>
      </c>
      <c r="J178" t="s">
        <v>3144</v>
      </c>
      <c r="K178">
        <v>4</v>
      </c>
      <c r="L178" t="s">
        <v>4283</v>
      </c>
      <c r="M178" t="s">
        <v>4279</v>
      </c>
      <c r="N178">
        <v>1435.95</v>
      </c>
      <c r="O178" t="s">
        <v>4290</v>
      </c>
      <c r="P178" t="s">
        <v>2474</v>
      </c>
      <c r="Q178" t="s">
        <v>3066</v>
      </c>
      <c r="R178" t="s">
        <v>4279</v>
      </c>
      <c r="S178">
        <v>358.99</v>
      </c>
    </row>
    <row r="179" spans="1:19" x14ac:dyDescent="0.3">
      <c r="A179" t="s">
        <v>315</v>
      </c>
      <c r="B179" s="3">
        <v>45057</v>
      </c>
      <c r="C179" t="s">
        <v>1515</v>
      </c>
      <c r="D179" t="s">
        <v>2406</v>
      </c>
      <c r="E179">
        <v>1</v>
      </c>
      <c r="F179">
        <v>583.99</v>
      </c>
      <c r="G179" t="s">
        <v>2664</v>
      </c>
      <c r="H179" t="s">
        <v>3069</v>
      </c>
      <c r="I179" t="s">
        <v>3071</v>
      </c>
      <c r="J179" t="s">
        <v>3376</v>
      </c>
      <c r="K179">
        <v>2</v>
      </c>
      <c r="L179" t="s">
        <v>4275</v>
      </c>
      <c r="M179" t="s">
        <v>4280</v>
      </c>
      <c r="N179">
        <v>583.99</v>
      </c>
      <c r="O179" t="s">
        <v>4290</v>
      </c>
      <c r="P179" t="s">
        <v>2664</v>
      </c>
      <c r="Q179" t="s">
        <v>3069</v>
      </c>
      <c r="R179" t="s">
        <v>4280</v>
      </c>
      <c r="S179">
        <v>292</v>
      </c>
    </row>
    <row r="180" spans="1:19" x14ac:dyDescent="0.3">
      <c r="A180" t="s">
        <v>21</v>
      </c>
      <c r="B180" s="3">
        <v>45058</v>
      </c>
      <c r="C180" t="s">
        <v>1221</v>
      </c>
      <c r="D180" t="s">
        <v>2403</v>
      </c>
      <c r="E180">
        <v>5</v>
      </c>
      <c r="F180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>
        <v>9</v>
      </c>
      <c r="L180" t="s">
        <v>4276</v>
      </c>
      <c r="M180" t="s">
        <v>4281</v>
      </c>
      <c r="N180">
        <v>747.75</v>
      </c>
      <c r="O180" t="s">
        <v>4290</v>
      </c>
      <c r="P180" t="s">
        <v>2417</v>
      </c>
      <c r="Q180" t="s">
        <v>3069</v>
      </c>
      <c r="R180" t="s">
        <v>4281</v>
      </c>
      <c r="S180">
        <v>83.08</v>
      </c>
    </row>
    <row r="181" spans="1:19" x14ac:dyDescent="0.3">
      <c r="A181" t="s">
        <v>972</v>
      </c>
      <c r="B181" s="3">
        <v>45059</v>
      </c>
      <c r="C181" t="s">
        <v>2165</v>
      </c>
      <c r="D181" t="s">
        <v>2409</v>
      </c>
      <c r="E181">
        <v>3</v>
      </c>
      <c r="F181">
        <v>158.66</v>
      </c>
      <c r="G181" t="s">
        <v>2656</v>
      </c>
      <c r="H181" t="s">
        <v>3068</v>
      </c>
      <c r="I181" t="s">
        <v>3073</v>
      </c>
      <c r="J181" t="s">
        <v>4033</v>
      </c>
      <c r="K181">
        <v>7</v>
      </c>
      <c r="L181" t="s">
        <v>4277</v>
      </c>
      <c r="M181" t="s">
        <v>4280</v>
      </c>
      <c r="N181">
        <v>475.98</v>
      </c>
      <c r="O181" t="s">
        <v>4290</v>
      </c>
      <c r="P181" t="s">
        <v>2656</v>
      </c>
      <c r="Q181" t="s">
        <v>3068</v>
      </c>
      <c r="R181" t="s">
        <v>4280</v>
      </c>
      <c r="S181">
        <v>68</v>
      </c>
    </row>
    <row r="182" spans="1:19" x14ac:dyDescent="0.3">
      <c r="A182" t="s">
        <v>579</v>
      </c>
      <c r="B182" s="3">
        <v>45060</v>
      </c>
      <c r="C182" t="s">
        <v>1779</v>
      </c>
      <c r="D182" t="s">
        <v>2405</v>
      </c>
      <c r="E182">
        <v>5</v>
      </c>
      <c r="F182">
        <v>307.98</v>
      </c>
      <c r="G182" t="s">
        <v>2770</v>
      </c>
      <c r="H182" t="s">
        <v>3066</v>
      </c>
      <c r="I182" t="s">
        <v>3074</v>
      </c>
      <c r="J182" t="s">
        <v>3640</v>
      </c>
      <c r="K182">
        <v>10</v>
      </c>
      <c r="L182" t="s">
        <v>4283</v>
      </c>
      <c r="M182" t="s">
        <v>4281</v>
      </c>
      <c r="N182">
        <v>1539.9</v>
      </c>
      <c r="O182" t="s">
        <v>4290</v>
      </c>
      <c r="P182" t="s">
        <v>2770</v>
      </c>
      <c r="Q182" t="s">
        <v>3066</v>
      </c>
      <c r="R182" t="s">
        <v>4281</v>
      </c>
      <c r="S182">
        <v>153.99</v>
      </c>
    </row>
    <row r="183" spans="1:19" x14ac:dyDescent="0.3">
      <c r="A183" t="s">
        <v>255</v>
      </c>
      <c r="B183" s="3">
        <v>45062</v>
      </c>
      <c r="C183" t="s">
        <v>1455</v>
      </c>
      <c r="D183" t="s">
        <v>2406</v>
      </c>
      <c r="E183">
        <v>5</v>
      </c>
      <c r="F183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>
        <v>6</v>
      </c>
      <c r="L183" t="s">
        <v>4275</v>
      </c>
      <c r="M183" t="s">
        <v>4280</v>
      </c>
      <c r="N183">
        <v>3078.35</v>
      </c>
      <c r="O183" t="s">
        <v>4290</v>
      </c>
      <c r="P183" t="s">
        <v>2618</v>
      </c>
      <c r="Q183" t="s">
        <v>3066</v>
      </c>
      <c r="R183" t="s">
        <v>4280</v>
      </c>
      <c r="S183">
        <v>513.05999999999995</v>
      </c>
    </row>
    <row r="184" spans="1:19" x14ac:dyDescent="0.3">
      <c r="A184" t="s">
        <v>316</v>
      </c>
      <c r="B184" s="3">
        <v>45062</v>
      </c>
      <c r="C184" t="s">
        <v>1516</v>
      </c>
      <c r="D184" t="s">
        <v>2406</v>
      </c>
      <c r="E184">
        <v>3</v>
      </c>
      <c r="F184">
        <v>468.74</v>
      </c>
      <c r="G184" t="s">
        <v>2665</v>
      </c>
      <c r="H184" t="s">
        <v>3069</v>
      </c>
      <c r="I184" t="s">
        <v>3074</v>
      </c>
      <c r="J184" t="s">
        <v>3377</v>
      </c>
      <c r="K184">
        <v>4</v>
      </c>
      <c r="L184" t="s">
        <v>4276</v>
      </c>
      <c r="M184" t="s">
        <v>4278</v>
      </c>
      <c r="N184">
        <v>1406.22</v>
      </c>
      <c r="O184" t="s">
        <v>4290</v>
      </c>
      <c r="P184" t="s">
        <v>2665</v>
      </c>
      <c r="Q184" t="s">
        <v>3069</v>
      </c>
      <c r="R184" t="s">
        <v>4278</v>
      </c>
      <c r="S184">
        <v>351.56</v>
      </c>
    </row>
    <row r="185" spans="1:19" x14ac:dyDescent="0.3">
      <c r="A185" t="s">
        <v>242</v>
      </c>
      <c r="B185" s="3">
        <v>45063</v>
      </c>
      <c r="C185" t="s">
        <v>1442</v>
      </c>
      <c r="D185" t="s">
        <v>2406</v>
      </c>
      <c r="E185">
        <v>4</v>
      </c>
      <c r="F185">
        <v>385.92</v>
      </c>
      <c r="G185" t="s">
        <v>2606</v>
      </c>
      <c r="H185" t="s">
        <v>3067</v>
      </c>
      <c r="I185" t="s">
        <v>3071</v>
      </c>
      <c r="J185" t="s">
        <v>3303</v>
      </c>
      <c r="K185">
        <v>8</v>
      </c>
      <c r="L185" t="s">
        <v>4283</v>
      </c>
      <c r="M185" t="s">
        <v>4278</v>
      </c>
      <c r="N185">
        <v>1543.68</v>
      </c>
      <c r="O185" t="s">
        <v>4290</v>
      </c>
      <c r="P185" t="s">
        <v>2606</v>
      </c>
      <c r="Q185" t="s">
        <v>3067</v>
      </c>
      <c r="R185" t="s">
        <v>4278</v>
      </c>
      <c r="S185">
        <v>192.96</v>
      </c>
    </row>
    <row r="186" spans="1:19" x14ac:dyDescent="0.3">
      <c r="A186" t="s">
        <v>274</v>
      </c>
      <c r="B186" s="3">
        <v>45063</v>
      </c>
      <c r="C186" t="s">
        <v>1474</v>
      </c>
      <c r="D186" t="s">
        <v>2403</v>
      </c>
      <c r="E186">
        <v>2</v>
      </c>
      <c r="F186">
        <v>407.79</v>
      </c>
      <c r="G186" t="s">
        <v>2632</v>
      </c>
      <c r="H186" t="s">
        <v>3065</v>
      </c>
      <c r="I186" t="s">
        <v>3070</v>
      </c>
      <c r="J186" t="s">
        <v>3335</v>
      </c>
      <c r="K186">
        <v>3</v>
      </c>
      <c r="L186" t="s">
        <v>4283</v>
      </c>
      <c r="M186" t="s">
        <v>4282</v>
      </c>
      <c r="N186">
        <v>815.58</v>
      </c>
      <c r="O186" t="s">
        <v>4290</v>
      </c>
      <c r="P186" t="s">
        <v>2632</v>
      </c>
      <c r="Q186" t="s">
        <v>3065</v>
      </c>
      <c r="R186" t="s">
        <v>4282</v>
      </c>
      <c r="S186">
        <v>271.86</v>
      </c>
    </row>
    <row r="187" spans="1:19" x14ac:dyDescent="0.3">
      <c r="A187" t="s">
        <v>917</v>
      </c>
      <c r="B187" s="3">
        <v>45063</v>
      </c>
      <c r="C187" t="s">
        <v>2113</v>
      </c>
      <c r="D187" t="s">
        <v>2403</v>
      </c>
      <c r="E187">
        <v>3</v>
      </c>
      <c r="F187">
        <v>473.49</v>
      </c>
      <c r="G187" t="s">
        <v>2932</v>
      </c>
      <c r="H187" t="s">
        <v>3067</v>
      </c>
      <c r="I187" t="s">
        <v>3074</v>
      </c>
      <c r="J187" t="s">
        <v>3978</v>
      </c>
      <c r="K187">
        <v>7</v>
      </c>
      <c r="L187" t="s">
        <v>4283</v>
      </c>
      <c r="M187" t="s">
        <v>4280</v>
      </c>
      <c r="N187">
        <v>1420.47</v>
      </c>
      <c r="O187" t="s">
        <v>4290</v>
      </c>
      <c r="P187" t="s">
        <v>2932</v>
      </c>
      <c r="Q187" t="s">
        <v>3067</v>
      </c>
      <c r="R187" t="s">
        <v>4280</v>
      </c>
      <c r="S187">
        <v>202.92</v>
      </c>
    </row>
    <row r="188" spans="1:19" x14ac:dyDescent="0.3">
      <c r="A188" t="s">
        <v>565</v>
      </c>
      <c r="B188" s="3">
        <v>45064</v>
      </c>
      <c r="C188" t="s">
        <v>1765</v>
      </c>
      <c r="D188" t="s">
        <v>2408</v>
      </c>
      <c r="E188">
        <v>1</v>
      </c>
      <c r="F188">
        <v>120.98</v>
      </c>
      <c r="G188" t="s">
        <v>2528</v>
      </c>
      <c r="H188" t="s">
        <v>3065</v>
      </c>
      <c r="I188" t="s">
        <v>3073</v>
      </c>
      <c r="J188" t="s">
        <v>3626</v>
      </c>
      <c r="K188">
        <v>6</v>
      </c>
      <c r="L188" t="s">
        <v>4277</v>
      </c>
      <c r="M188" t="s">
        <v>4280</v>
      </c>
      <c r="N188">
        <v>120.98</v>
      </c>
      <c r="O188" t="s">
        <v>4290</v>
      </c>
      <c r="P188" t="s">
        <v>2528</v>
      </c>
      <c r="Q188" t="s">
        <v>3065</v>
      </c>
      <c r="R188" t="s">
        <v>4280</v>
      </c>
      <c r="S188">
        <v>20.16</v>
      </c>
    </row>
    <row r="189" spans="1:19" x14ac:dyDescent="0.3">
      <c r="A189" t="s">
        <v>664</v>
      </c>
      <c r="B189" s="3">
        <v>45064</v>
      </c>
      <c r="C189" t="s">
        <v>1863</v>
      </c>
      <c r="D189" t="s">
        <v>2409</v>
      </c>
      <c r="E189">
        <v>2</v>
      </c>
      <c r="F189">
        <v>372.23</v>
      </c>
      <c r="G189" t="s">
        <v>2859</v>
      </c>
      <c r="H189" t="s">
        <v>3068</v>
      </c>
      <c r="I189" t="s">
        <v>3073</v>
      </c>
      <c r="J189" t="s">
        <v>3725</v>
      </c>
      <c r="K189">
        <v>7</v>
      </c>
      <c r="L189" t="s">
        <v>4275</v>
      </c>
      <c r="M189" t="s">
        <v>4280</v>
      </c>
      <c r="N189">
        <v>744.46</v>
      </c>
      <c r="O189" t="s">
        <v>4290</v>
      </c>
      <c r="P189" t="s">
        <v>2859</v>
      </c>
      <c r="Q189" t="s">
        <v>3068</v>
      </c>
      <c r="R189" t="s">
        <v>4280</v>
      </c>
      <c r="S189">
        <v>106.35</v>
      </c>
    </row>
    <row r="190" spans="1:19" x14ac:dyDescent="0.3">
      <c r="A190" t="s">
        <v>989</v>
      </c>
      <c r="B190" s="3">
        <v>45064</v>
      </c>
      <c r="C190" t="s">
        <v>2182</v>
      </c>
      <c r="D190" t="s">
        <v>2409</v>
      </c>
      <c r="E190">
        <v>1</v>
      </c>
      <c r="F190">
        <v>105.92</v>
      </c>
      <c r="G190" t="s">
        <v>2643</v>
      </c>
      <c r="H190" t="s">
        <v>3068</v>
      </c>
      <c r="I190" t="s">
        <v>3072</v>
      </c>
      <c r="J190" t="s">
        <v>4050</v>
      </c>
      <c r="K190">
        <v>6</v>
      </c>
      <c r="L190" t="s">
        <v>4275</v>
      </c>
      <c r="M190" t="s">
        <v>4280</v>
      </c>
      <c r="N190">
        <v>105.92</v>
      </c>
      <c r="O190" t="s">
        <v>4290</v>
      </c>
      <c r="P190" t="s">
        <v>2643</v>
      </c>
      <c r="Q190" t="s">
        <v>3068</v>
      </c>
      <c r="R190" t="s">
        <v>4280</v>
      </c>
      <c r="S190">
        <v>17.649999999999999</v>
      </c>
    </row>
    <row r="191" spans="1:19" x14ac:dyDescent="0.3">
      <c r="A191" t="s">
        <v>246</v>
      </c>
      <c r="B191" s="3">
        <v>45065</v>
      </c>
      <c r="C191" t="s">
        <v>1446</v>
      </c>
      <c r="D191" t="s">
        <v>2407</v>
      </c>
      <c r="E191">
        <v>4</v>
      </c>
      <c r="F191">
        <v>444.44</v>
      </c>
      <c r="G191" t="s">
        <v>2610</v>
      </c>
      <c r="H191" t="s">
        <v>3065</v>
      </c>
      <c r="I191" t="s">
        <v>3071</v>
      </c>
      <c r="J191" t="s">
        <v>3307</v>
      </c>
      <c r="K191">
        <v>8</v>
      </c>
      <c r="L191" t="s">
        <v>4277</v>
      </c>
      <c r="M191" t="s">
        <v>4282</v>
      </c>
      <c r="N191">
        <v>1777.76</v>
      </c>
      <c r="O191" t="s">
        <v>4290</v>
      </c>
      <c r="P191" t="s">
        <v>2610</v>
      </c>
      <c r="Q191" t="s">
        <v>3065</v>
      </c>
      <c r="R191" t="s">
        <v>4282</v>
      </c>
      <c r="S191">
        <v>222.22</v>
      </c>
    </row>
    <row r="192" spans="1:19" x14ac:dyDescent="0.3">
      <c r="A192" t="s">
        <v>1012</v>
      </c>
      <c r="B192" s="3">
        <v>45065</v>
      </c>
      <c r="C192" t="s">
        <v>2205</v>
      </c>
      <c r="D192" t="s">
        <v>2404</v>
      </c>
      <c r="E192">
        <v>2</v>
      </c>
      <c r="F192">
        <v>183.67</v>
      </c>
      <c r="G192" t="s">
        <v>2614</v>
      </c>
      <c r="H192" t="s">
        <v>3065</v>
      </c>
      <c r="I192" t="s">
        <v>3071</v>
      </c>
      <c r="J192" t="s">
        <v>4073</v>
      </c>
      <c r="K192">
        <v>6</v>
      </c>
      <c r="L192" t="s">
        <v>4275</v>
      </c>
      <c r="M192" t="s">
        <v>4282</v>
      </c>
      <c r="N192">
        <v>367.34</v>
      </c>
      <c r="O192" t="s">
        <v>4290</v>
      </c>
      <c r="P192" t="s">
        <v>2614</v>
      </c>
      <c r="Q192" t="s">
        <v>3065</v>
      </c>
      <c r="R192" t="s">
        <v>4282</v>
      </c>
      <c r="S192">
        <v>61.22</v>
      </c>
    </row>
    <row r="193" spans="1:19" x14ac:dyDescent="0.3">
      <c r="A193" t="s">
        <v>516</v>
      </c>
      <c r="B193" s="3">
        <v>45066</v>
      </c>
      <c r="C193" t="s">
        <v>1716</v>
      </c>
      <c r="D193" t="s">
        <v>2403</v>
      </c>
      <c r="E193">
        <v>3</v>
      </c>
      <c r="F193">
        <v>565.25</v>
      </c>
      <c r="G193" t="s">
        <v>2793</v>
      </c>
      <c r="H193" t="s">
        <v>3065</v>
      </c>
      <c r="I193" t="s">
        <v>3072</v>
      </c>
      <c r="J193" t="s">
        <v>3577</v>
      </c>
      <c r="K193">
        <v>7</v>
      </c>
      <c r="L193" t="s">
        <v>4275</v>
      </c>
      <c r="M193" t="s">
        <v>4280</v>
      </c>
      <c r="N193">
        <v>1695.75</v>
      </c>
      <c r="O193" t="s">
        <v>4290</v>
      </c>
      <c r="P193" t="s">
        <v>2793</v>
      </c>
      <c r="Q193" t="s">
        <v>3065</v>
      </c>
      <c r="R193" t="s">
        <v>4280</v>
      </c>
      <c r="S193">
        <v>242.25</v>
      </c>
    </row>
    <row r="194" spans="1:19" x14ac:dyDescent="0.3">
      <c r="A194" t="s">
        <v>70</v>
      </c>
      <c r="B194" s="3">
        <v>45067</v>
      </c>
      <c r="C194" t="s">
        <v>1270</v>
      </c>
      <c r="D194" t="s">
        <v>2405</v>
      </c>
      <c r="E194">
        <v>3</v>
      </c>
      <c r="F194">
        <v>479.21</v>
      </c>
      <c r="G194" t="s">
        <v>2462</v>
      </c>
      <c r="H194" t="s">
        <v>3069</v>
      </c>
      <c r="I194" t="s">
        <v>3071</v>
      </c>
      <c r="J194" t="s">
        <v>3131</v>
      </c>
      <c r="K194">
        <v>5</v>
      </c>
      <c r="L194" t="s">
        <v>4277</v>
      </c>
      <c r="M194" t="s">
        <v>4279</v>
      </c>
      <c r="N194">
        <v>1437.63</v>
      </c>
      <c r="O194" t="s">
        <v>4290</v>
      </c>
      <c r="P194" t="s">
        <v>2462</v>
      </c>
      <c r="Q194" t="s">
        <v>3069</v>
      </c>
      <c r="R194" t="s">
        <v>4279</v>
      </c>
      <c r="S194">
        <v>287.52999999999997</v>
      </c>
    </row>
    <row r="195" spans="1:19" x14ac:dyDescent="0.3">
      <c r="A195" t="s">
        <v>1099</v>
      </c>
      <c r="B195" s="3">
        <v>45067</v>
      </c>
      <c r="C195" t="s">
        <v>2291</v>
      </c>
      <c r="D195" t="s">
        <v>2407</v>
      </c>
      <c r="E195">
        <v>2</v>
      </c>
      <c r="F195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>
        <v>7</v>
      </c>
      <c r="L195" t="s">
        <v>4277</v>
      </c>
      <c r="M195" t="s">
        <v>4278</v>
      </c>
      <c r="N195">
        <v>1293.3800000000001</v>
      </c>
      <c r="O195" t="s">
        <v>4290</v>
      </c>
      <c r="P195" t="s">
        <v>2545</v>
      </c>
      <c r="Q195" t="s">
        <v>3065</v>
      </c>
      <c r="R195" t="s">
        <v>4278</v>
      </c>
      <c r="S195">
        <v>184.77</v>
      </c>
    </row>
    <row r="196" spans="1:19" x14ac:dyDescent="0.3">
      <c r="A196" t="s">
        <v>908</v>
      </c>
      <c r="B196" s="3">
        <v>45069</v>
      </c>
      <c r="C196" t="s">
        <v>2104</v>
      </c>
      <c r="D196" t="s">
        <v>2405</v>
      </c>
      <c r="E196">
        <v>3</v>
      </c>
      <c r="F196">
        <v>575.01</v>
      </c>
      <c r="G196" t="s">
        <v>2811</v>
      </c>
      <c r="H196" t="s">
        <v>3066</v>
      </c>
      <c r="I196" t="s">
        <v>3071</v>
      </c>
      <c r="J196" t="s">
        <v>3969</v>
      </c>
      <c r="K196">
        <v>8</v>
      </c>
      <c r="L196" t="s">
        <v>4277</v>
      </c>
      <c r="M196" t="s">
        <v>4278</v>
      </c>
      <c r="N196">
        <v>1725.03</v>
      </c>
      <c r="O196" t="s">
        <v>4290</v>
      </c>
      <c r="P196" t="s">
        <v>2811</v>
      </c>
      <c r="Q196" t="s">
        <v>3066</v>
      </c>
      <c r="R196" t="s">
        <v>4278</v>
      </c>
      <c r="S196">
        <v>215.63</v>
      </c>
    </row>
    <row r="197" spans="1:19" x14ac:dyDescent="0.3">
      <c r="A197" t="s">
        <v>841</v>
      </c>
      <c r="B197" s="3">
        <v>45071</v>
      </c>
      <c r="C197" t="s">
        <v>2037</v>
      </c>
      <c r="D197" t="s">
        <v>2405</v>
      </c>
      <c r="E197">
        <v>2</v>
      </c>
      <c r="F197">
        <v>639.88</v>
      </c>
      <c r="G197" t="s">
        <v>2597</v>
      </c>
      <c r="H197" t="s">
        <v>3069</v>
      </c>
      <c r="I197" t="s">
        <v>3073</v>
      </c>
      <c r="J197" t="s">
        <v>3902</v>
      </c>
      <c r="K197">
        <v>5</v>
      </c>
      <c r="L197" t="s">
        <v>4277</v>
      </c>
      <c r="M197" t="s">
        <v>4278</v>
      </c>
      <c r="N197">
        <v>1279.76</v>
      </c>
      <c r="O197" t="s">
        <v>4290</v>
      </c>
      <c r="P197" t="s">
        <v>2597</v>
      </c>
      <c r="Q197" t="s">
        <v>3069</v>
      </c>
      <c r="R197" t="s">
        <v>4278</v>
      </c>
      <c r="S197">
        <v>255.95</v>
      </c>
    </row>
    <row r="198" spans="1:19" x14ac:dyDescent="0.3">
      <c r="A198" t="s">
        <v>869</v>
      </c>
      <c r="B198" s="3">
        <v>45071</v>
      </c>
      <c r="C198" t="s">
        <v>2065</v>
      </c>
      <c r="D198" t="s">
        <v>2403</v>
      </c>
      <c r="E198">
        <v>5</v>
      </c>
      <c r="F198">
        <v>240.61</v>
      </c>
      <c r="G198" t="s">
        <v>2624</v>
      </c>
      <c r="H198" t="s">
        <v>3067</v>
      </c>
      <c r="I198" t="s">
        <v>3070</v>
      </c>
      <c r="J198" t="s">
        <v>3930</v>
      </c>
      <c r="K198">
        <v>10</v>
      </c>
      <c r="L198" t="s">
        <v>4276</v>
      </c>
      <c r="M198" t="s">
        <v>4280</v>
      </c>
      <c r="N198">
        <v>1203.05</v>
      </c>
      <c r="O198" t="s">
        <v>4290</v>
      </c>
      <c r="P198" t="s">
        <v>2624</v>
      </c>
      <c r="Q198" t="s">
        <v>3067</v>
      </c>
      <c r="R198" t="s">
        <v>4280</v>
      </c>
      <c r="S198">
        <v>120.3</v>
      </c>
    </row>
    <row r="199" spans="1:19" x14ac:dyDescent="0.3">
      <c r="A199" t="s">
        <v>84</v>
      </c>
      <c r="B199" s="3">
        <v>45072</v>
      </c>
      <c r="C199" t="s">
        <v>1284</v>
      </c>
      <c r="D199" t="s">
        <v>2409</v>
      </c>
      <c r="E199">
        <v>1</v>
      </c>
      <c r="F199">
        <v>629.21</v>
      </c>
      <c r="G199" t="s">
        <v>2475</v>
      </c>
      <c r="H199" t="s">
        <v>3068</v>
      </c>
      <c r="I199" t="s">
        <v>3074</v>
      </c>
      <c r="J199" t="s">
        <v>3145</v>
      </c>
      <c r="K199">
        <v>2</v>
      </c>
      <c r="L199" t="s">
        <v>4276</v>
      </c>
      <c r="M199" t="s">
        <v>4278</v>
      </c>
      <c r="N199">
        <v>629.21</v>
      </c>
      <c r="O199" t="s">
        <v>4290</v>
      </c>
      <c r="P199" t="s">
        <v>2475</v>
      </c>
      <c r="Q199" t="s">
        <v>3068</v>
      </c>
      <c r="R199" t="s">
        <v>4278</v>
      </c>
      <c r="S199">
        <v>314.60000000000002</v>
      </c>
    </row>
    <row r="200" spans="1:19" x14ac:dyDescent="0.3">
      <c r="A200" t="s">
        <v>477</v>
      </c>
      <c r="B200" s="3">
        <v>45072</v>
      </c>
      <c r="C200" t="s">
        <v>1677</v>
      </c>
      <c r="D200" t="s">
        <v>2408</v>
      </c>
      <c r="E200">
        <v>5</v>
      </c>
      <c r="F200">
        <v>662.78</v>
      </c>
      <c r="G200" t="s">
        <v>2770</v>
      </c>
      <c r="H200" t="s">
        <v>3065</v>
      </c>
      <c r="I200" t="s">
        <v>3070</v>
      </c>
      <c r="J200" t="s">
        <v>3538</v>
      </c>
      <c r="K200">
        <v>9</v>
      </c>
      <c r="L200" t="s">
        <v>4275</v>
      </c>
      <c r="M200" t="s">
        <v>4278</v>
      </c>
      <c r="N200">
        <v>3313.9</v>
      </c>
      <c r="O200" t="s">
        <v>4290</v>
      </c>
      <c r="P200" t="s">
        <v>2770</v>
      </c>
      <c r="Q200" t="s">
        <v>3065</v>
      </c>
      <c r="R200" t="s">
        <v>4278</v>
      </c>
      <c r="S200">
        <v>368.21</v>
      </c>
    </row>
    <row r="201" spans="1:19" x14ac:dyDescent="0.3">
      <c r="A201" t="s">
        <v>614</v>
      </c>
      <c r="B201" s="3">
        <v>45072</v>
      </c>
      <c r="C201" t="s">
        <v>1814</v>
      </c>
      <c r="D201" t="s">
        <v>2407</v>
      </c>
      <c r="E201">
        <v>1</v>
      </c>
      <c r="F201">
        <v>72.31</v>
      </c>
      <c r="G201" t="s">
        <v>2633</v>
      </c>
      <c r="H201" t="s">
        <v>3068</v>
      </c>
      <c r="I201" t="s">
        <v>3071</v>
      </c>
      <c r="J201" t="s">
        <v>3675</v>
      </c>
      <c r="K201">
        <v>1</v>
      </c>
      <c r="L201" t="s">
        <v>4276</v>
      </c>
      <c r="M201" t="s">
        <v>4281</v>
      </c>
      <c r="N201">
        <v>72.31</v>
      </c>
      <c r="O201" t="s">
        <v>4290</v>
      </c>
      <c r="P201" t="s">
        <v>2633</v>
      </c>
      <c r="Q201" t="s">
        <v>3068</v>
      </c>
      <c r="R201" t="s">
        <v>4281</v>
      </c>
      <c r="S201">
        <v>72.31</v>
      </c>
    </row>
    <row r="202" spans="1:19" x14ac:dyDescent="0.3">
      <c r="A202" t="s">
        <v>181</v>
      </c>
      <c r="B202" s="3">
        <v>45073</v>
      </c>
      <c r="C202" t="s">
        <v>1381</v>
      </c>
      <c r="D202" t="s">
        <v>2406</v>
      </c>
      <c r="E202">
        <v>2</v>
      </c>
      <c r="F202">
        <v>384.14</v>
      </c>
      <c r="G202" t="s">
        <v>2560</v>
      </c>
      <c r="H202" t="s">
        <v>3066</v>
      </c>
      <c r="I202" t="s">
        <v>3072</v>
      </c>
      <c r="J202" t="s">
        <v>3242</v>
      </c>
      <c r="K202">
        <v>2</v>
      </c>
      <c r="L202" t="s">
        <v>4277</v>
      </c>
      <c r="M202" t="s">
        <v>4280</v>
      </c>
      <c r="N202">
        <v>768.28</v>
      </c>
      <c r="O202" t="s">
        <v>4290</v>
      </c>
      <c r="P202" t="s">
        <v>2560</v>
      </c>
      <c r="Q202" t="s">
        <v>3066</v>
      </c>
      <c r="R202" t="s">
        <v>4280</v>
      </c>
      <c r="S202">
        <v>384.14</v>
      </c>
    </row>
    <row r="203" spans="1:19" x14ac:dyDescent="0.3">
      <c r="A203" t="s">
        <v>449</v>
      </c>
      <c r="B203" s="3">
        <v>45073</v>
      </c>
      <c r="C203" t="s">
        <v>1649</v>
      </c>
      <c r="D203" t="s">
        <v>2407</v>
      </c>
      <c r="E203">
        <v>1</v>
      </c>
      <c r="F203">
        <v>414.47</v>
      </c>
      <c r="G203" t="s">
        <v>2677</v>
      </c>
      <c r="H203" t="s">
        <v>3065</v>
      </c>
      <c r="I203" t="s">
        <v>3072</v>
      </c>
      <c r="J203" t="s">
        <v>3510</v>
      </c>
      <c r="K203">
        <v>3</v>
      </c>
      <c r="L203" t="s">
        <v>4276</v>
      </c>
      <c r="M203" t="s">
        <v>4278</v>
      </c>
      <c r="N203">
        <v>414.47</v>
      </c>
      <c r="O203" t="s">
        <v>4290</v>
      </c>
      <c r="P203" t="s">
        <v>2677</v>
      </c>
      <c r="Q203" t="s">
        <v>3065</v>
      </c>
      <c r="R203" t="s">
        <v>4278</v>
      </c>
      <c r="S203">
        <v>138.16</v>
      </c>
    </row>
    <row r="204" spans="1:19" x14ac:dyDescent="0.3">
      <c r="A204" t="s">
        <v>834</v>
      </c>
      <c r="B204" s="3">
        <v>45073</v>
      </c>
      <c r="C204" t="s">
        <v>2030</v>
      </c>
      <c r="D204" t="s">
        <v>2404</v>
      </c>
      <c r="E204">
        <v>5</v>
      </c>
      <c r="F204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>
        <v>6</v>
      </c>
      <c r="L204" t="s">
        <v>4276</v>
      </c>
      <c r="M204" t="s">
        <v>4280</v>
      </c>
      <c r="N204">
        <v>3119.05</v>
      </c>
      <c r="O204" t="s">
        <v>4290</v>
      </c>
      <c r="P204" t="s">
        <v>2706</v>
      </c>
      <c r="Q204" t="s">
        <v>3069</v>
      </c>
      <c r="R204" t="s">
        <v>4280</v>
      </c>
      <c r="S204">
        <v>519.84</v>
      </c>
    </row>
    <row r="205" spans="1:19" x14ac:dyDescent="0.3">
      <c r="A205" t="s">
        <v>1135</v>
      </c>
      <c r="B205" s="3">
        <v>45074</v>
      </c>
      <c r="C205" t="s">
        <v>2326</v>
      </c>
      <c r="D205" t="s">
        <v>2404</v>
      </c>
      <c r="E205">
        <v>3</v>
      </c>
      <c r="F205">
        <v>50.34</v>
      </c>
      <c r="G205" t="s">
        <v>2965</v>
      </c>
      <c r="H205" t="s">
        <v>3068</v>
      </c>
      <c r="I205" t="s">
        <v>3072</v>
      </c>
      <c r="J205" t="s">
        <v>4196</v>
      </c>
      <c r="K205">
        <v>3</v>
      </c>
      <c r="L205" t="s">
        <v>4276</v>
      </c>
      <c r="M205" t="s">
        <v>4278</v>
      </c>
      <c r="N205">
        <v>151.02000000000001</v>
      </c>
      <c r="O205" t="s">
        <v>4290</v>
      </c>
      <c r="P205" t="s">
        <v>2965</v>
      </c>
      <c r="Q205" t="s">
        <v>3068</v>
      </c>
      <c r="R205" t="s">
        <v>4278</v>
      </c>
      <c r="S205">
        <v>50.34</v>
      </c>
    </row>
    <row r="206" spans="1:19" x14ac:dyDescent="0.3">
      <c r="A206" t="s">
        <v>351</v>
      </c>
      <c r="B206" s="3">
        <v>45075</v>
      </c>
      <c r="C206" t="s">
        <v>1551</v>
      </c>
      <c r="D206" t="s">
        <v>2405</v>
      </c>
      <c r="E206">
        <v>3</v>
      </c>
      <c r="F206">
        <v>502.77</v>
      </c>
      <c r="G206" t="s">
        <v>2690</v>
      </c>
      <c r="H206" t="s">
        <v>3065</v>
      </c>
      <c r="I206" t="s">
        <v>3072</v>
      </c>
      <c r="J206" t="s">
        <v>3412</v>
      </c>
      <c r="K206">
        <v>8</v>
      </c>
      <c r="L206" t="s">
        <v>4277</v>
      </c>
      <c r="M206" t="s">
        <v>4280</v>
      </c>
      <c r="N206">
        <v>1508.31</v>
      </c>
      <c r="O206" t="s">
        <v>4290</v>
      </c>
      <c r="P206" t="s">
        <v>2690</v>
      </c>
      <c r="Q206" t="s">
        <v>3065</v>
      </c>
      <c r="R206" t="s">
        <v>4280</v>
      </c>
      <c r="S206">
        <v>188.54</v>
      </c>
    </row>
    <row r="207" spans="1:19" x14ac:dyDescent="0.3">
      <c r="A207" t="s">
        <v>824</v>
      </c>
      <c r="B207" s="3">
        <v>45077</v>
      </c>
      <c r="C207" t="s">
        <v>2020</v>
      </c>
      <c r="D207" t="s">
        <v>2405</v>
      </c>
      <c r="E207">
        <v>1</v>
      </c>
      <c r="F20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>
        <v>5</v>
      </c>
      <c r="L207" t="s">
        <v>4283</v>
      </c>
      <c r="M207" t="s">
        <v>4279</v>
      </c>
      <c r="N207">
        <v>553.55999999999995</v>
      </c>
      <c r="O207" t="s">
        <v>4290</v>
      </c>
      <c r="P207" t="s">
        <v>2937</v>
      </c>
      <c r="Q207" t="s">
        <v>3067</v>
      </c>
      <c r="R207" t="s">
        <v>4279</v>
      </c>
      <c r="S207">
        <v>110.71</v>
      </c>
    </row>
    <row r="208" spans="1:19" x14ac:dyDescent="0.3">
      <c r="A208" t="s">
        <v>993</v>
      </c>
      <c r="B208" s="3">
        <v>45077</v>
      </c>
      <c r="C208" t="s">
        <v>2186</v>
      </c>
      <c r="D208" t="s">
        <v>2403</v>
      </c>
      <c r="E208">
        <v>3</v>
      </c>
      <c r="F208">
        <v>669.06</v>
      </c>
      <c r="G208" t="s">
        <v>2648</v>
      </c>
      <c r="H208" t="s">
        <v>3069</v>
      </c>
      <c r="I208" t="s">
        <v>3073</v>
      </c>
      <c r="J208" t="s">
        <v>4054</v>
      </c>
      <c r="K208">
        <v>7</v>
      </c>
      <c r="L208" t="s">
        <v>4275</v>
      </c>
      <c r="M208" t="s">
        <v>4281</v>
      </c>
      <c r="N208">
        <v>2007.18</v>
      </c>
      <c r="O208" t="s">
        <v>4290</v>
      </c>
      <c r="P208" t="s">
        <v>2648</v>
      </c>
      <c r="Q208" t="s">
        <v>3069</v>
      </c>
      <c r="R208" t="s">
        <v>4281</v>
      </c>
      <c r="S208">
        <v>286.74</v>
      </c>
    </row>
    <row r="209" spans="1:19" x14ac:dyDescent="0.3">
      <c r="A209" t="s">
        <v>892</v>
      </c>
      <c r="B209" s="3">
        <v>45078</v>
      </c>
      <c r="C209" t="s">
        <v>2088</v>
      </c>
      <c r="D209" t="s">
        <v>2409</v>
      </c>
      <c r="E209">
        <v>2</v>
      </c>
      <c r="F209">
        <v>330.69</v>
      </c>
      <c r="G209" t="s">
        <v>2965</v>
      </c>
      <c r="H209" t="s">
        <v>3066</v>
      </c>
      <c r="I209" t="s">
        <v>3071</v>
      </c>
      <c r="J209" t="s">
        <v>3953</v>
      </c>
      <c r="K209">
        <v>5</v>
      </c>
      <c r="L209" t="s">
        <v>4275</v>
      </c>
      <c r="M209" t="s">
        <v>4282</v>
      </c>
      <c r="N209">
        <v>661.38</v>
      </c>
      <c r="O209" t="s">
        <v>4290</v>
      </c>
      <c r="P209" t="s">
        <v>2965</v>
      </c>
      <c r="Q209" t="s">
        <v>3066</v>
      </c>
      <c r="R209" t="s">
        <v>4282</v>
      </c>
      <c r="S209">
        <v>132.28</v>
      </c>
    </row>
    <row r="210" spans="1:19" x14ac:dyDescent="0.3">
      <c r="A210" t="s">
        <v>626</v>
      </c>
      <c r="B210" s="3">
        <v>45079</v>
      </c>
      <c r="C210" t="s">
        <v>1825</v>
      </c>
      <c r="D210" t="s">
        <v>2406</v>
      </c>
      <c r="E210">
        <v>3</v>
      </c>
      <c r="F210">
        <v>445.12</v>
      </c>
      <c r="G210" t="s">
        <v>2678</v>
      </c>
      <c r="H210" t="s">
        <v>3068</v>
      </c>
      <c r="I210" t="s">
        <v>3071</v>
      </c>
      <c r="J210" t="s">
        <v>3687</v>
      </c>
      <c r="K210">
        <v>8</v>
      </c>
      <c r="L210" t="s">
        <v>4283</v>
      </c>
      <c r="M210" t="s">
        <v>4282</v>
      </c>
      <c r="N210">
        <v>1335.36</v>
      </c>
      <c r="O210" t="s">
        <v>4290</v>
      </c>
      <c r="P210" t="s">
        <v>2678</v>
      </c>
      <c r="Q210" t="s">
        <v>3068</v>
      </c>
      <c r="R210" t="s">
        <v>4282</v>
      </c>
      <c r="S210">
        <v>166.92</v>
      </c>
    </row>
    <row r="211" spans="1:19" x14ac:dyDescent="0.3">
      <c r="A211" t="s">
        <v>775</v>
      </c>
      <c r="B211" s="3">
        <v>45079</v>
      </c>
      <c r="C211" t="s">
        <v>1972</v>
      </c>
      <c r="D211" t="s">
        <v>2409</v>
      </c>
      <c r="E211">
        <v>4</v>
      </c>
      <c r="F211">
        <v>37.76</v>
      </c>
      <c r="G211" t="s">
        <v>2911</v>
      </c>
      <c r="H211" t="s">
        <v>3065</v>
      </c>
      <c r="I211" t="s">
        <v>3073</v>
      </c>
      <c r="J211" t="s">
        <v>3836</v>
      </c>
      <c r="K211">
        <v>7</v>
      </c>
      <c r="L211" t="s">
        <v>4283</v>
      </c>
      <c r="M211" t="s">
        <v>4282</v>
      </c>
      <c r="N211">
        <v>151.04</v>
      </c>
      <c r="O211" t="s">
        <v>4290</v>
      </c>
      <c r="P211" t="s">
        <v>2911</v>
      </c>
      <c r="Q211" t="s">
        <v>3065</v>
      </c>
      <c r="R211" t="s">
        <v>4282</v>
      </c>
      <c r="S211">
        <v>21.58</v>
      </c>
    </row>
    <row r="212" spans="1:19" x14ac:dyDescent="0.3">
      <c r="A212" t="s">
        <v>364</v>
      </c>
      <c r="B212" s="3">
        <v>45080</v>
      </c>
      <c r="C212" t="s">
        <v>1564</v>
      </c>
      <c r="D212" t="s">
        <v>2406</v>
      </c>
      <c r="E212">
        <v>2</v>
      </c>
      <c r="F212">
        <v>54.41</v>
      </c>
      <c r="G212" t="s">
        <v>2703</v>
      </c>
      <c r="H212" t="s">
        <v>3066</v>
      </c>
      <c r="I212" t="s">
        <v>3070</v>
      </c>
      <c r="J212" t="s">
        <v>3425</v>
      </c>
      <c r="K212">
        <v>6</v>
      </c>
      <c r="L212" t="s">
        <v>4283</v>
      </c>
      <c r="M212" t="s">
        <v>4278</v>
      </c>
      <c r="N212">
        <v>108.82</v>
      </c>
      <c r="O212" t="s">
        <v>4290</v>
      </c>
      <c r="P212" t="s">
        <v>2703</v>
      </c>
      <c r="Q212" t="s">
        <v>3066</v>
      </c>
      <c r="R212" t="s">
        <v>4278</v>
      </c>
      <c r="S212">
        <v>18.14</v>
      </c>
    </row>
    <row r="213" spans="1:19" x14ac:dyDescent="0.3">
      <c r="A213" t="s">
        <v>718</v>
      </c>
      <c r="B213" s="3">
        <v>45080</v>
      </c>
      <c r="C213" t="s">
        <v>1916</v>
      </c>
      <c r="D213" t="s">
        <v>2409</v>
      </c>
      <c r="E213">
        <v>4</v>
      </c>
      <c r="F213">
        <v>30.27</v>
      </c>
      <c r="G213" t="s">
        <v>2555</v>
      </c>
      <c r="H213" t="s">
        <v>3066</v>
      </c>
      <c r="I213" t="s">
        <v>3073</v>
      </c>
      <c r="J213" t="s">
        <v>3779</v>
      </c>
      <c r="K213">
        <v>9</v>
      </c>
      <c r="L213" t="s">
        <v>4276</v>
      </c>
      <c r="M213" t="s">
        <v>4282</v>
      </c>
      <c r="N213">
        <v>121.08</v>
      </c>
      <c r="O213" t="s">
        <v>4290</v>
      </c>
      <c r="P213" t="s">
        <v>2555</v>
      </c>
      <c r="Q213" t="s">
        <v>3066</v>
      </c>
      <c r="R213" t="s">
        <v>4282</v>
      </c>
      <c r="S213">
        <v>13.45</v>
      </c>
    </row>
    <row r="214" spans="1:19" x14ac:dyDescent="0.3">
      <c r="A214" t="s">
        <v>284</v>
      </c>
      <c r="B214" s="3">
        <v>45081</v>
      </c>
      <c r="C214" t="s">
        <v>1484</v>
      </c>
      <c r="D214" t="s">
        <v>2407</v>
      </c>
      <c r="E214">
        <v>4</v>
      </c>
      <c r="F214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>
        <v>5</v>
      </c>
      <c r="L214" t="s">
        <v>4277</v>
      </c>
      <c r="M214" t="s">
        <v>4282</v>
      </c>
      <c r="N214">
        <v>1239.6400000000001</v>
      </c>
      <c r="O214" t="s">
        <v>4290</v>
      </c>
      <c r="P214" t="s">
        <v>2640</v>
      </c>
      <c r="Q214" t="s">
        <v>3065</v>
      </c>
      <c r="R214" t="s">
        <v>4282</v>
      </c>
      <c r="S214">
        <v>247.93</v>
      </c>
    </row>
    <row r="215" spans="1:19" x14ac:dyDescent="0.3">
      <c r="A215" t="s">
        <v>593</v>
      </c>
      <c r="B215" s="3">
        <v>45081</v>
      </c>
      <c r="C215" t="s">
        <v>1793</v>
      </c>
      <c r="D215" t="s">
        <v>2405</v>
      </c>
      <c r="E215">
        <v>2</v>
      </c>
      <c r="F215">
        <v>187.88</v>
      </c>
      <c r="G215" t="s">
        <v>2679</v>
      </c>
      <c r="H215" t="s">
        <v>3066</v>
      </c>
      <c r="I215" t="s">
        <v>3070</v>
      </c>
      <c r="J215" t="s">
        <v>3654</v>
      </c>
      <c r="K215">
        <v>4</v>
      </c>
      <c r="L215" t="s">
        <v>4277</v>
      </c>
      <c r="M215" t="s">
        <v>4281</v>
      </c>
      <c r="N215">
        <v>375.76</v>
      </c>
      <c r="O215" t="s">
        <v>4290</v>
      </c>
      <c r="P215" t="s">
        <v>2679</v>
      </c>
      <c r="Q215" t="s">
        <v>3066</v>
      </c>
      <c r="R215" t="s">
        <v>4281</v>
      </c>
      <c r="S215">
        <v>93.94</v>
      </c>
    </row>
    <row r="216" spans="1:19" x14ac:dyDescent="0.3">
      <c r="A216" t="s">
        <v>47</v>
      </c>
      <c r="B216" s="3">
        <v>45082</v>
      </c>
      <c r="C216" t="s">
        <v>1247</v>
      </c>
      <c r="D216" t="s">
        <v>2406</v>
      </c>
      <c r="E216">
        <v>1</v>
      </c>
      <c r="F216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>
        <v>4</v>
      </c>
      <c r="L216" t="s">
        <v>4277</v>
      </c>
      <c r="M216" t="s">
        <v>4281</v>
      </c>
      <c r="N216">
        <v>162.77000000000001</v>
      </c>
      <c r="O216" t="s">
        <v>4290</v>
      </c>
      <c r="P216" t="s">
        <v>2443</v>
      </c>
      <c r="Q216" t="s">
        <v>3066</v>
      </c>
      <c r="R216" t="s">
        <v>4281</v>
      </c>
      <c r="S216">
        <v>40.69</v>
      </c>
    </row>
    <row r="217" spans="1:19" x14ac:dyDescent="0.3">
      <c r="A217" t="s">
        <v>436</v>
      </c>
      <c r="B217" s="3">
        <v>45082</v>
      </c>
      <c r="C217" t="s">
        <v>1636</v>
      </c>
      <c r="D217" t="s">
        <v>2404</v>
      </c>
      <c r="E217">
        <v>4</v>
      </c>
      <c r="F217">
        <v>206.6</v>
      </c>
      <c r="G217" t="s">
        <v>2426</v>
      </c>
      <c r="H217" t="s">
        <v>3068</v>
      </c>
      <c r="I217" t="s">
        <v>3072</v>
      </c>
      <c r="J217" t="s">
        <v>3497</v>
      </c>
      <c r="K217">
        <v>6</v>
      </c>
      <c r="L217" t="s">
        <v>4277</v>
      </c>
      <c r="M217" t="s">
        <v>4279</v>
      </c>
      <c r="N217">
        <v>826.4</v>
      </c>
      <c r="O217" t="s">
        <v>4290</v>
      </c>
      <c r="P217" t="s">
        <v>2426</v>
      </c>
      <c r="Q217" t="s">
        <v>3068</v>
      </c>
      <c r="R217" t="s">
        <v>4279</v>
      </c>
      <c r="S217">
        <v>137.72999999999999</v>
      </c>
    </row>
    <row r="218" spans="1:19" x14ac:dyDescent="0.3">
      <c r="A218" t="s">
        <v>1081</v>
      </c>
      <c r="B218" s="3">
        <v>45083</v>
      </c>
      <c r="C218" t="s">
        <v>2273</v>
      </c>
      <c r="D218" t="s">
        <v>2404</v>
      </c>
      <c r="E218">
        <v>2</v>
      </c>
      <c r="F218">
        <v>316.2</v>
      </c>
      <c r="G218" t="s">
        <v>2475</v>
      </c>
      <c r="H218" t="s">
        <v>3066</v>
      </c>
      <c r="I218" t="s">
        <v>3072</v>
      </c>
      <c r="J218" t="s">
        <v>4142</v>
      </c>
      <c r="K218">
        <v>2</v>
      </c>
      <c r="L218" t="s">
        <v>4283</v>
      </c>
      <c r="M218" t="s">
        <v>4278</v>
      </c>
      <c r="N218">
        <v>632.4</v>
      </c>
      <c r="O218" t="s">
        <v>4290</v>
      </c>
      <c r="P218" t="s">
        <v>2475</v>
      </c>
      <c r="Q218" t="s">
        <v>3066</v>
      </c>
      <c r="R218" t="s">
        <v>4278</v>
      </c>
      <c r="S218">
        <v>316.2</v>
      </c>
    </row>
    <row r="219" spans="1:19" x14ac:dyDescent="0.3">
      <c r="A219" t="s">
        <v>395</v>
      </c>
      <c r="B219" s="3">
        <v>45084</v>
      </c>
      <c r="C219" t="s">
        <v>1595</v>
      </c>
      <c r="D219" t="s">
        <v>2406</v>
      </c>
      <c r="E219">
        <v>1</v>
      </c>
      <c r="F219">
        <v>191.76</v>
      </c>
      <c r="G219" t="s">
        <v>2454</v>
      </c>
      <c r="H219" t="s">
        <v>3067</v>
      </c>
      <c r="I219" t="s">
        <v>3072</v>
      </c>
      <c r="J219" t="s">
        <v>3456</v>
      </c>
      <c r="K219">
        <v>1</v>
      </c>
      <c r="L219" t="s">
        <v>4276</v>
      </c>
      <c r="M219" t="s">
        <v>4278</v>
      </c>
      <c r="N219">
        <v>191.76</v>
      </c>
      <c r="O219" t="s">
        <v>4290</v>
      </c>
      <c r="P219" t="s">
        <v>2454</v>
      </c>
      <c r="Q219" t="s">
        <v>3067</v>
      </c>
      <c r="R219" t="s">
        <v>4278</v>
      </c>
      <c r="S219">
        <v>191.76</v>
      </c>
    </row>
    <row r="220" spans="1:19" x14ac:dyDescent="0.3">
      <c r="A220" t="s">
        <v>444</v>
      </c>
      <c r="B220" s="3">
        <v>45084</v>
      </c>
      <c r="C220" t="s">
        <v>1644</v>
      </c>
      <c r="D220" t="s">
        <v>2404</v>
      </c>
      <c r="E220">
        <v>1</v>
      </c>
      <c r="F220">
        <v>450.07</v>
      </c>
      <c r="G220" t="s">
        <v>2749</v>
      </c>
      <c r="H220" t="s">
        <v>3068</v>
      </c>
      <c r="I220" t="s">
        <v>3070</v>
      </c>
      <c r="J220" t="s">
        <v>3505</v>
      </c>
      <c r="K220">
        <v>6</v>
      </c>
      <c r="L220" t="s">
        <v>4276</v>
      </c>
      <c r="M220" t="s">
        <v>4282</v>
      </c>
      <c r="N220">
        <v>450.07</v>
      </c>
      <c r="O220" t="s">
        <v>4290</v>
      </c>
      <c r="P220" t="s">
        <v>2749</v>
      </c>
      <c r="Q220" t="s">
        <v>3068</v>
      </c>
      <c r="R220" t="s">
        <v>4282</v>
      </c>
      <c r="S220">
        <v>75.010000000000005</v>
      </c>
    </row>
    <row r="221" spans="1:19" x14ac:dyDescent="0.3">
      <c r="A221" t="s">
        <v>589</v>
      </c>
      <c r="B221" s="3">
        <v>45084</v>
      </c>
      <c r="C221" t="s">
        <v>1789</v>
      </c>
      <c r="D221" t="s">
        <v>2406</v>
      </c>
      <c r="E221">
        <v>5</v>
      </c>
      <c r="F221">
        <v>448.15</v>
      </c>
      <c r="G221" t="s">
        <v>2825</v>
      </c>
      <c r="H221" t="s">
        <v>3068</v>
      </c>
      <c r="I221" t="s">
        <v>3072</v>
      </c>
      <c r="J221" t="s">
        <v>3650</v>
      </c>
      <c r="K221">
        <v>7</v>
      </c>
      <c r="L221" t="s">
        <v>4275</v>
      </c>
      <c r="M221" t="s">
        <v>4282</v>
      </c>
      <c r="N221">
        <v>2240.75</v>
      </c>
      <c r="O221" t="s">
        <v>4290</v>
      </c>
      <c r="P221" t="s">
        <v>2825</v>
      </c>
      <c r="Q221" t="s">
        <v>3068</v>
      </c>
      <c r="R221" t="s">
        <v>4282</v>
      </c>
      <c r="S221">
        <v>320.11</v>
      </c>
    </row>
    <row r="222" spans="1:19" x14ac:dyDescent="0.3">
      <c r="A222" t="s">
        <v>1136</v>
      </c>
      <c r="B222" s="3">
        <v>45084</v>
      </c>
      <c r="C222" t="s">
        <v>1480</v>
      </c>
      <c r="D222" t="s">
        <v>2403</v>
      </c>
      <c r="E222">
        <v>5</v>
      </c>
      <c r="F222">
        <v>678.19</v>
      </c>
      <c r="G222" t="s">
        <v>3008</v>
      </c>
      <c r="H222" t="s">
        <v>3066</v>
      </c>
      <c r="I222" t="s">
        <v>3072</v>
      </c>
      <c r="J222" t="s">
        <v>4197</v>
      </c>
      <c r="K222">
        <v>8</v>
      </c>
      <c r="L222" t="s">
        <v>4283</v>
      </c>
      <c r="M222" t="s">
        <v>4281</v>
      </c>
      <c r="N222">
        <v>3390.95</v>
      </c>
      <c r="O222" t="s">
        <v>4290</v>
      </c>
      <c r="P222" t="s">
        <v>3008</v>
      </c>
      <c r="Q222" t="s">
        <v>3066</v>
      </c>
      <c r="R222" t="s">
        <v>4281</v>
      </c>
      <c r="S222">
        <v>423.87</v>
      </c>
    </row>
    <row r="223" spans="1:19" x14ac:dyDescent="0.3">
      <c r="A223" t="s">
        <v>95</v>
      </c>
      <c r="B223" s="3">
        <v>45085</v>
      </c>
      <c r="C223" t="s">
        <v>1295</v>
      </c>
      <c r="D223" t="s">
        <v>2403</v>
      </c>
      <c r="E223">
        <v>2</v>
      </c>
      <c r="F223">
        <v>394.3</v>
      </c>
      <c r="G223" t="s">
        <v>2485</v>
      </c>
      <c r="H223" t="s">
        <v>3069</v>
      </c>
      <c r="I223" t="s">
        <v>3070</v>
      </c>
      <c r="J223" t="s">
        <v>3156</v>
      </c>
      <c r="K223">
        <v>6</v>
      </c>
      <c r="L223" t="s">
        <v>4276</v>
      </c>
      <c r="M223" t="s">
        <v>4280</v>
      </c>
      <c r="N223">
        <v>788.6</v>
      </c>
      <c r="O223" t="s">
        <v>4290</v>
      </c>
      <c r="P223" t="s">
        <v>2485</v>
      </c>
      <c r="Q223" t="s">
        <v>3069</v>
      </c>
      <c r="R223" t="s">
        <v>4280</v>
      </c>
      <c r="S223">
        <v>131.43</v>
      </c>
    </row>
    <row r="224" spans="1:19" x14ac:dyDescent="0.3">
      <c r="A224" t="s">
        <v>373</v>
      </c>
      <c r="B224" s="3">
        <v>45086</v>
      </c>
      <c r="C224" t="s">
        <v>1573</v>
      </c>
      <c r="D224" t="s">
        <v>2409</v>
      </c>
      <c r="E224">
        <v>4</v>
      </c>
      <c r="F224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>
        <v>5</v>
      </c>
      <c r="L224" t="s">
        <v>4277</v>
      </c>
      <c r="M224" t="s">
        <v>4279</v>
      </c>
      <c r="N224">
        <v>2426.2800000000002</v>
      </c>
      <c r="O224" t="s">
        <v>4290</v>
      </c>
      <c r="P224" t="s">
        <v>2711</v>
      </c>
      <c r="Q224" t="s">
        <v>3065</v>
      </c>
      <c r="R224" t="s">
        <v>4279</v>
      </c>
      <c r="S224">
        <v>485.26</v>
      </c>
    </row>
    <row r="225" spans="1:19" x14ac:dyDescent="0.3">
      <c r="A225" t="s">
        <v>1107</v>
      </c>
      <c r="B225" s="3">
        <v>45086</v>
      </c>
      <c r="C225" t="s">
        <v>2299</v>
      </c>
      <c r="D225" t="s">
        <v>2404</v>
      </c>
      <c r="E225">
        <v>4</v>
      </c>
      <c r="F225">
        <v>197.36</v>
      </c>
      <c r="G225" t="s">
        <v>3026</v>
      </c>
      <c r="H225" t="s">
        <v>3068</v>
      </c>
      <c r="I225" t="s">
        <v>3072</v>
      </c>
      <c r="J225" t="s">
        <v>4168</v>
      </c>
      <c r="K225">
        <v>9</v>
      </c>
      <c r="L225" t="s">
        <v>4276</v>
      </c>
      <c r="M225" t="s">
        <v>4278</v>
      </c>
      <c r="N225">
        <v>789.44</v>
      </c>
      <c r="O225" t="s">
        <v>4290</v>
      </c>
      <c r="P225" t="s">
        <v>3026</v>
      </c>
      <c r="Q225" t="s">
        <v>3068</v>
      </c>
      <c r="R225" t="s">
        <v>4278</v>
      </c>
      <c r="S225">
        <v>87.72</v>
      </c>
    </row>
    <row r="226" spans="1:19" x14ac:dyDescent="0.3">
      <c r="A226" t="s">
        <v>273</v>
      </c>
      <c r="B226" s="3">
        <v>45088</v>
      </c>
      <c r="C226" t="s">
        <v>1473</v>
      </c>
      <c r="D226" t="s">
        <v>2406</v>
      </c>
      <c r="E226">
        <v>4</v>
      </c>
      <c r="F226">
        <v>435.12</v>
      </c>
      <c r="G226" t="s">
        <v>2535</v>
      </c>
      <c r="H226" t="s">
        <v>3067</v>
      </c>
      <c r="I226" t="s">
        <v>3073</v>
      </c>
      <c r="J226" t="s">
        <v>3334</v>
      </c>
      <c r="K226">
        <v>9</v>
      </c>
      <c r="L226" t="s">
        <v>4275</v>
      </c>
      <c r="M226" t="s">
        <v>4278</v>
      </c>
      <c r="N226">
        <v>1740.48</v>
      </c>
      <c r="O226" t="s">
        <v>4290</v>
      </c>
      <c r="P226" t="s">
        <v>2535</v>
      </c>
      <c r="Q226" t="s">
        <v>3067</v>
      </c>
      <c r="R226" t="s">
        <v>4278</v>
      </c>
      <c r="S226">
        <v>193.39</v>
      </c>
    </row>
    <row r="227" spans="1:19" x14ac:dyDescent="0.3">
      <c r="A227" t="s">
        <v>519</v>
      </c>
      <c r="B227" s="3">
        <v>45088</v>
      </c>
      <c r="C227" t="s">
        <v>1719</v>
      </c>
      <c r="D227" t="s">
        <v>2407</v>
      </c>
      <c r="E227">
        <v>2</v>
      </c>
      <c r="F227">
        <v>434.97</v>
      </c>
      <c r="G227" t="s">
        <v>2727</v>
      </c>
      <c r="H227" t="s">
        <v>3066</v>
      </c>
      <c r="I227" t="s">
        <v>3070</v>
      </c>
      <c r="J227" t="s">
        <v>3580</v>
      </c>
      <c r="K227">
        <v>7</v>
      </c>
      <c r="L227" t="s">
        <v>4283</v>
      </c>
      <c r="M227" t="s">
        <v>4280</v>
      </c>
      <c r="N227">
        <v>869.94</v>
      </c>
      <c r="O227" t="s">
        <v>4290</v>
      </c>
      <c r="P227" t="s">
        <v>2727</v>
      </c>
      <c r="Q227" t="s">
        <v>3066</v>
      </c>
      <c r="R227" t="s">
        <v>4280</v>
      </c>
      <c r="S227">
        <v>124.28</v>
      </c>
    </row>
    <row r="228" spans="1:19" x14ac:dyDescent="0.3">
      <c r="A228" t="s">
        <v>1143</v>
      </c>
      <c r="B228" s="3">
        <v>45088</v>
      </c>
      <c r="C228" t="s">
        <v>2333</v>
      </c>
      <c r="D228" t="s">
        <v>2406</v>
      </c>
      <c r="E228">
        <v>4</v>
      </c>
      <c r="F228">
        <v>418.71</v>
      </c>
      <c r="G228" t="s">
        <v>2480</v>
      </c>
      <c r="H228" t="s">
        <v>3069</v>
      </c>
      <c r="I228" t="s">
        <v>3074</v>
      </c>
      <c r="J228" t="s">
        <v>4204</v>
      </c>
      <c r="K228">
        <v>8</v>
      </c>
      <c r="L228" t="s">
        <v>4276</v>
      </c>
      <c r="M228" t="s">
        <v>4278</v>
      </c>
      <c r="N228">
        <v>1674.84</v>
      </c>
      <c r="O228" t="s">
        <v>4290</v>
      </c>
      <c r="P228" t="s">
        <v>2480</v>
      </c>
      <c r="Q228" t="s">
        <v>3069</v>
      </c>
      <c r="R228" t="s">
        <v>4278</v>
      </c>
      <c r="S228">
        <v>209.36</v>
      </c>
    </row>
    <row r="229" spans="1:19" x14ac:dyDescent="0.3">
      <c r="A229" t="s">
        <v>1213</v>
      </c>
      <c r="B229" s="3">
        <v>45088</v>
      </c>
      <c r="C229" t="s">
        <v>2402</v>
      </c>
      <c r="D229" t="s">
        <v>2405</v>
      </c>
      <c r="E229">
        <v>4</v>
      </c>
      <c r="F229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>
        <v>6</v>
      </c>
      <c r="L229" t="s">
        <v>4275</v>
      </c>
      <c r="M229" t="s">
        <v>4279</v>
      </c>
      <c r="N229">
        <v>2242.3200000000002</v>
      </c>
      <c r="O229" t="s">
        <v>4290</v>
      </c>
      <c r="P229" t="s">
        <v>3064</v>
      </c>
      <c r="Q229" t="s">
        <v>3068</v>
      </c>
      <c r="R229" t="s">
        <v>4279</v>
      </c>
      <c r="S229">
        <v>373.72</v>
      </c>
    </row>
    <row r="230" spans="1:19" x14ac:dyDescent="0.3">
      <c r="A230" t="s">
        <v>601</v>
      </c>
      <c r="B230" s="3">
        <v>45089</v>
      </c>
      <c r="C230" t="s">
        <v>1801</v>
      </c>
      <c r="D230" t="s">
        <v>2403</v>
      </c>
      <c r="E230">
        <v>5</v>
      </c>
      <c r="F230">
        <v>514.6</v>
      </c>
      <c r="G230" t="s">
        <v>2829</v>
      </c>
      <c r="H230" t="s">
        <v>3068</v>
      </c>
      <c r="I230" t="s">
        <v>3073</v>
      </c>
      <c r="J230" t="s">
        <v>3662</v>
      </c>
      <c r="K230">
        <v>10</v>
      </c>
      <c r="L230" t="s">
        <v>4276</v>
      </c>
      <c r="M230" t="s">
        <v>4278</v>
      </c>
      <c r="N230">
        <v>2573</v>
      </c>
      <c r="O230" t="s">
        <v>4290</v>
      </c>
      <c r="P230" t="s">
        <v>2829</v>
      </c>
      <c r="Q230" t="s">
        <v>3068</v>
      </c>
      <c r="R230" t="s">
        <v>4278</v>
      </c>
      <c r="S230">
        <v>257.3</v>
      </c>
    </row>
    <row r="231" spans="1:19" x14ac:dyDescent="0.3">
      <c r="A231" t="s">
        <v>610</v>
      </c>
      <c r="B231" s="3">
        <v>45089</v>
      </c>
      <c r="C231" t="s">
        <v>1810</v>
      </c>
      <c r="D231" t="s">
        <v>2409</v>
      </c>
      <c r="E231">
        <v>3</v>
      </c>
      <c r="F231">
        <v>606.41</v>
      </c>
      <c r="G231" t="s">
        <v>2834</v>
      </c>
      <c r="H231" t="s">
        <v>3065</v>
      </c>
      <c r="I231" t="s">
        <v>3072</v>
      </c>
      <c r="J231" t="s">
        <v>3671</v>
      </c>
      <c r="K231">
        <v>7</v>
      </c>
      <c r="L231" t="s">
        <v>4276</v>
      </c>
      <c r="M231" t="s">
        <v>4281</v>
      </c>
      <c r="N231">
        <v>1819.23</v>
      </c>
      <c r="O231" t="s">
        <v>4290</v>
      </c>
      <c r="P231" t="s">
        <v>2834</v>
      </c>
      <c r="Q231" t="s">
        <v>3065</v>
      </c>
      <c r="R231" t="s">
        <v>4281</v>
      </c>
      <c r="S231">
        <v>259.89</v>
      </c>
    </row>
    <row r="232" spans="1:19" x14ac:dyDescent="0.3">
      <c r="A232" t="s">
        <v>668</v>
      </c>
      <c r="B232" s="3">
        <v>45089</v>
      </c>
      <c r="C232" t="s">
        <v>1867</v>
      </c>
      <c r="D232" t="s">
        <v>2405</v>
      </c>
      <c r="E232">
        <v>3</v>
      </c>
      <c r="F232">
        <v>382.37</v>
      </c>
      <c r="G232" t="s">
        <v>2861</v>
      </c>
      <c r="H232" t="s">
        <v>3065</v>
      </c>
      <c r="I232" t="s">
        <v>3072</v>
      </c>
      <c r="J232" t="s">
        <v>3729</v>
      </c>
      <c r="K232">
        <v>8</v>
      </c>
      <c r="L232" t="s">
        <v>4283</v>
      </c>
      <c r="M232" t="s">
        <v>4278</v>
      </c>
      <c r="N232">
        <v>1147.1099999999999</v>
      </c>
      <c r="O232" t="s">
        <v>4290</v>
      </c>
      <c r="P232" t="s">
        <v>2861</v>
      </c>
      <c r="Q232" t="s">
        <v>3065</v>
      </c>
      <c r="R232" t="s">
        <v>4278</v>
      </c>
      <c r="S232">
        <v>143.38999999999999</v>
      </c>
    </row>
    <row r="233" spans="1:19" x14ac:dyDescent="0.3">
      <c r="A233" t="s">
        <v>769</v>
      </c>
      <c r="B233" s="3">
        <v>45090</v>
      </c>
      <c r="C233" t="s">
        <v>1966</v>
      </c>
      <c r="D233" t="s">
        <v>2409</v>
      </c>
      <c r="E233">
        <v>3</v>
      </c>
      <c r="F233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>
        <v>1010.13</v>
      </c>
      <c r="O233" t="s">
        <v>4290</v>
      </c>
      <c r="P233" t="s">
        <v>2909</v>
      </c>
      <c r="Q233" t="s">
        <v>3067</v>
      </c>
      <c r="R233" t="s">
        <v>4280</v>
      </c>
      <c r="S233">
        <v>252.53</v>
      </c>
    </row>
    <row r="234" spans="1:19" x14ac:dyDescent="0.3">
      <c r="A234" t="s">
        <v>685</v>
      </c>
      <c r="B234" s="3">
        <v>45092</v>
      </c>
      <c r="C234" t="s">
        <v>1883</v>
      </c>
      <c r="D234" t="s">
        <v>2406</v>
      </c>
      <c r="E234">
        <v>5</v>
      </c>
      <c r="F234">
        <v>50.74</v>
      </c>
      <c r="G234" t="s">
        <v>2554</v>
      </c>
      <c r="H234" t="s">
        <v>3068</v>
      </c>
      <c r="I234" t="s">
        <v>3071</v>
      </c>
      <c r="J234" t="s">
        <v>3746</v>
      </c>
      <c r="K234">
        <v>7</v>
      </c>
      <c r="L234" t="s">
        <v>4277</v>
      </c>
      <c r="M234" t="s">
        <v>4282</v>
      </c>
      <c r="N234">
        <v>253.7</v>
      </c>
      <c r="O234" t="s">
        <v>4290</v>
      </c>
      <c r="P234" t="s">
        <v>2554</v>
      </c>
      <c r="Q234" t="s">
        <v>3068</v>
      </c>
      <c r="R234" t="s">
        <v>4282</v>
      </c>
      <c r="S234">
        <v>36.24</v>
      </c>
    </row>
    <row r="235" spans="1:19" x14ac:dyDescent="0.3">
      <c r="A235" t="s">
        <v>494</v>
      </c>
      <c r="B235" s="3">
        <v>45093</v>
      </c>
      <c r="C235" t="s">
        <v>1694</v>
      </c>
      <c r="D235" t="s">
        <v>2406</v>
      </c>
      <c r="E235">
        <v>1</v>
      </c>
      <c r="F235">
        <v>335.1</v>
      </c>
      <c r="G235" t="s">
        <v>2509</v>
      </c>
      <c r="H235" t="s">
        <v>3065</v>
      </c>
      <c r="I235" t="s">
        <v>3074</v>
      </c>
      <c r="J235" t="s">
        <v>3555</v>
      </c>
      <c r="K235">
        <v>6</v>
      </c>
      <c r="L235" t="s">
        <v>4276</v>
      </c>
      <c r="M235" t="s">
        <v>4279</v>
      </c>
      <c r="N235">
        <v>335.1</v>
      </c>
      <c r="O235" t="s">
        <v>4290</v>
      </c>
      <c r="P235" t="s">
        <v>2509</v>
      </c>
      <c r="Q235" t="s">
        <v>3065</v>
      </c>
      <c r="R235" t="s">
        <v>4279</v>
      </c>
      <c r="S235">
        <v>55.85</v>
      </c>
    </row>
    <row r="236" spans="1:19" x14ac:dyDescent="0.3">
      <c r="A236" t="s">
        <v>637</v>
      </c>
      <c r="B236" s="3">
        <v>45093</v>
      </c>
      <c r="C236" t="s">
        <v>1836</v>
      </c>
      <c r="D236" t="s">
        <v>2407</v>
      </c>
      <c r="E236">
        <v>3</v>
      </c>
      <c r="F236">
        <v>396</v>
      </c>
      <c r="G236" t="s">
        <v>2847</v>
      </c>
      <c r="H236" t="s">
        <v>3068</v>
      </c>
      <c r="I236" t="s">
        <v>3071</v>
      </c>
      <c r="J236" t="s">
        <v>3698</v>
      </c>
      <c r="K236">
        <v>4</v>
      </c>
      <c r="L236" t="s">
        <v>4276</v>
      </c>
      <c r="M236" t="s">
        <v>4278</v>
      </c>
      <c r="N236">
        <v>1188</v>
      </c>
      <c r="O236" t="s">
        <v>4290</v>
      </c>
      <c r="P236" t="s">
        <v>2847</v>
      </c>
      <c r="Q236" t="s">
        <v>3068</v>
      </c>
      <c r="R236" t="s">
        <v>4278</v>
      </c>
      <c r="S236">
        <v>297</v>
      </c>
    </row>
    <row r="237" spans="1:19" x14ac:dyDescent="0.3">
      <c r="A237" t="s">
        <v>806</v>
      </c>
      <c r="B237" s="3">
        <v>45093</v>
      </c>
      <c r="C237" t="s">
        <v>2003</v>
      </c>
      <c r="D237" t="s">
        <v>2409</v>
      </c>
      <c r="E237">
        <v>2</v>
      </c>
      <c r="F237">
        <v>356.35</v>
      </c>
      <c r="G237" t="s">
        <v>2926</v>
      </c>
      <c r="H237" t="s">
        <v>3065</v>
      </c>
      <c r="I237" t="s">
        <v>3072</v>
      </c>
      <c r="J237" t="s">
        <v>3867</v>
      </c>
      <c r="K237">
        <v>6</v>
      </c>
      <c r="L237" t="s">
        <v>4277</v>
      </c>
      <c r="M237" t="s">
        <v>4281</v>
      </c>
      <c r="N237">
        <v>712.7</v>
      </c>
      <c r="O237" t="s">
        <v>4290</v>
      </c>
      <c r="P237" t="s">
        <v>2926</v>
      </c>
      <c r="Q237" t="s">
        <v>3065</v>
      </c>
      <c r="R237" t="s">
        <v>4281</v>
      </c>
      <c r="S237">
        <v>118.78</v>
      </c>
    </row>
    <row r="238" spans="1:19" x14ac:dyDescent="0.3">
      <c r="A238" t="s">
        <v>1112</v>
      </c>
      <c r="B238" s="3">
        <v>45094</v>
      </c>
      <c r="C238" t="s">
        <v>2304</v>
      </c>
      <c r="D238" t="s">
        <v>2403</v>
      </c>
      <c r="E238">
        <v>4</v>
      </c>
      <c r="F238">
        <v>255.86</v>
      </c>
      <c r="G238" t="s">
        <v>3031</v>
      </c>
      <c r="H238" t="s">
        <v>3067</v>
      </c>
      <c r="I238" t="s">
        <v>3073</v>
      </c>
      <c r="J238" t="s">
        <v>4173</v>
      </c>
      <c r="K238">
        <v>7</v>
      </c>
      <c r="L238" t="s">
        <v>4283</v>
      </c>
      <c r="M238" t="s">
        <v>4280</v>
      </c>
      <c r="N238">
        <v>1023.44</v>
      </c>
      <c r="O238" t="s">
        <v>4290</v>
      </c>
      <c r="P238" t="s">
        <v>3031</v>
      </c>
      <c r="Q238" t="s">
        <v>3067</v>
      </c>
      <c r="R238" t="s">
        <v>4280</v>
      </c>
      <c r="S238">
        <v>146.21</v>
      </c>
    </row>
    <row r="239" spans="1:19" x14ac:dyDescent="0.3">
      <c r="A239" t="s">
        <v>215</v>
      </c>
      <c r="B239" s="3">
        <v>45095</v>
      </c>
      <c r="C239" t="s">
        <v>1415</v>
      </c>
      <c r="D239" t="s">
        <v>2403</v>
      </c>
      <c r="E239">
        <v>2</v>
      </c>
      <c r="F239">
        <v>674.9</v>
      </c>
      <c r="G239" t="s">
        <v>2482</v>
      </c>
      <c r="H239" t="s">
        <v>3066</v>
      </c>
      <c r="I239" t="s">
        <v>3070</v>
      </c>
      <c r="J239" t="s">
        <v>3276</v>
      </c>
      <c r="K239">
        <v>4</v>
      </c>
      <c r="L239" t="s">
        <v>4275</v>
      </c>
      <c r="M239" t="s">
        <v>4281</v>
      </c>
      <c r="N239">
        <v>1349.8</v>
      </c>
      <c r="O239" t="s">
        <v>4290</v>
      </c>
      <c r="P239" t="s">
        <v>2482</v>
      </c>
      <c r="Q239" t="s">
        <v>3066</v>
      </c>
      <c r="R239" t="s">
        <v>4281</v>
      </c>
      <c r="S239">
        <v>337.45</v>
      </c>
    </row>
    <row r="240" spans="1:19" x14ac:dyDescent="0.3">
      <c r="A240" t="s">
        <v>226</v>
      </c>
      <c r="B240" s="3">
        <v>45097</v>
      </c>
      <c r="C240" t="s">
        <v>1426</v>
      </c>
      <c r="D240" t="s">
        <v>2403</v>
      </c>
      <c r="E240">
        <v>1</v>
      </c>
      <c r="F240">
        <v>265.38</v>
      </c>
      <c r="G240" t="s">
        <v>2595</v>
      </c>
      <c r="H240" t="s">
        <v>3067</v>
      </c>
      <c r="I240" t="s">
        <v>3071</v>
      </c>
      <c r="J240" t="s">
        <v>3287</v>
      </c>
      <c r="K240">
        <v>6</v>
      </c>
      <c r="L240" t="s">
        <v>4277</v>
      </c>
      <c r="M240" t="s">
        <v>4280</v>
      </c>
      <c r="N240">
        <v>265.38</v>
      </c>
      <c r="O240" t="s">
        <v>4290</v>
      </c>
      <c r="P240" t="s">
        <v>2595</v>
      </c>
      <c r="Q240" t="s">
        <v>3067</v>
      </c>
      <c r="R240" t="s">
        <v>4280</v>
      </c>
      <c r="S240">
        <v>44.23</v>
      </c>
    </row>
    <row r="241" spans="1:19" x14ac:dyDescent="0.3">
      <c r="A241" t="s">
        <v>1014</v>
      </c>
      <c r="B241" s="3">
        <v>45098</v>
      </c>
      <c r="C241" t="s">
        <v>2207</v>
      </c>
      <c r="D241" t="s">
        <v>2407</v>
      </c>
      <c r="E241">
        <v>5</v>
      </c>
      <c r="F241">
        <v>260.93</v>
      </c>
      <c r="G241" t="s">
        <v>3001</v>
      </c>
      <c r="H241" t="s">
        <v>3066</v>
      </c>
      <c r="I241" t="s">
        <v>3073</v>
      </c>
      <c r="J241" t="s">
        <v>4075</v>
      </c>
      <c r="K241">
        <v>9</v>
      </c>
      <c r="L241" t="s">
        <v>4275</v>
      </c>
      <c r="M241" t="s">
        <v>4280</v>
      </c>
      <c r="N241">
        <v>1304.6500000000001</v>
      </c>
      <c r="O241" t="s">
        <v>4290</v>
      </c>
      <c r="P241" t="s">
        <v>3001</v>
      </c>
      <c r="Q241" t="s">
        <v>3066</v>
      </c>
      <c r="R241" t="s">
        <v>4280</v>
      </c>
      <c r="S241">
        <v>144.96</v>
      </c>
    </row>
    <row r="242" spans="1:19" x14ac:dyDescent="0.3">
      <c r="A242" t="s">
        <v>644</v>
      </c>
      <c r="B242" s="3">
        <v>45100</v>
      </c>
      <c r="C242" t="s">
        <v>1843</v>
      </c>
      <c r="D242" t="s">
        <v>2403</v>
      </c>
      <c r="E242">
        <v>5</v>
      </c>
      <c r="F242">
        <v>248.84</v>
      </c>
      <c r="G242" t="s">
        <v>2851</v>
      </c>
      <c r="H242" t="s">
        <v>3065</v>
      </c>
      <c r="I242" t="s">
        <v>3071</v>
      </c>
      <c r="J242" t="s">
        <v>3705</v>
      </c>
      <c r="K242">
        <v>10</v>
      </c>
      <c r="L242" t="s">
        <v>4283</v>
      </c>
      <c r="M242" t="s">
        <v>4278</v>
      </c>
      <c r="N242">
        <v>1244.2</v>
      </c>
      <c r="O242" t="s">
        <v>4290</v>
      </c>
      <c r="P242" t="s">
        <v>2851</v>
      </c>
      <c r="Q242" t="s">
        <v>3065</v>
      </c>
      <c r="R242" t="s">
        <v>4278</v>
      </c>
      <c r="S242">
        <v>124.42</v>
      </c>
    </row>
    <row r="243" spans="1:19" x14ac:dyDescent="0.3">
      <c r="A243" t="s">
        <v>1061</v>
      </c>
      <c r="B243" s="3">
        <v>45100</v>
      </c>
      <c r="C243" t="s">
        <v>2253</v>
      </c>
      <c r="D243" t="s">
        <v>2406</v>
      </c>
      <c r="E243">
        <v>4</v>
      </c>
      <c r="F243">
        <v>540.34</v>
      </c>
      <c r="G243" t="s">
        <v>3015</v>
      </c>
      <c r="H243" t="s">
        <v>3068</v>
      </c>
      <c r="I243" t="s">
        <v>3070</v>
      </c>
      <c r="J243" t="s">
        <v>4122</v>
      </c>
      <c r="K243">
        <v>6</v>
      </c>
      <c r="L243" t="s">
        <v>4277</v>
      </c>
      <c r="M243" t="s">
        <v>4279</v>
      </c>
      <c r="N243">
        <v>2161.36</v>
      </c>
      <c r="O243" t="s">
        <v>4290</v>
      </c>
      <c r="P243" t="s">
        <v>3015</v>
      </c>
      <c r="Q243" t="s">
        <v>3068</v>
      </c>
      <c r="R243" t="s">
        <v>4279</v>
      </c>
      <c r="S243">
        <v>360.23</v>
      </c>
    </row>
    <row r="244" spans="1:19" x14ac:dyDescent="0.3">
      <c r="A244" t="s">
        <v>88</v>
      </c>
      <c r="B244" s="3">
        <v>45101</v>
      </c>
      <c r="C244" t="s">
        <v>1288</v>
      </c>
      <c r="D244" t="s">
        <v>2404</v>
      </c>
      <c r="E244">
        <v>5</v>
      </c>
      <c r="F244">
        <v>90.87</v>
      </c>
      <c r="G244" t="s">
        <v>2478</v>
      </c>
      <c r="H244" t="s">
        <v>3069</v>
      </c>
      <c r="I244" t="s">
        <v>3074</v>
      </c>
      <c r="J244" t="s">
        <v>3149</v>
      </c>
      <c r="K244">
        <v>5</v>
      </c>
      <c r="L244" t="s">
        <v>4283</v>
      </c>
      <c r="M244" t="s">
        <v>4278</v>
      </c>
      <c r="N244">
        <v>454.35</v>
      </c>
      <c r="O244" t="s">
        <v>4290</v>
      </c>
      <c r="P244" t="s">
        <v>2478</v>
      </c>
      <c r="Q244" t="s">
        <v>3069</v>
      </c>
      <c r="R244" t="s">
        <v>4278</v>
      </c>
      <c r="S244">
        <v>90.87</v>
      </c>
    </row>
    <row r="245" spans="1:19" x14ac:dyDescent="0.3">
      <c r="A245" t="s">
        <v>470</v>
      </c>
      <c r="B245" s="3">
        <v>45103</v>
      </c>
      <c r="C245" t="s">
        <v>1670</v>
      </c>
      <c r="D245" t="s">
        <v>2409</v>
      </c>
      <c r="E245">
        <v>5</v>
      </c>
      <c r="F245">
        <v>62.81</v>
      </c>
      <c r="G245" t="s">
        <v>2698</v>
      </c>
      <c r="H245" t="s">
        <v>3067</v>
      </c>
      <c r="I245" t="s">
        <v>3070</v>
      </c>
      <c r="J245" t="s">
        <v>3531</v>
      </c>
      <c r="K245">
        <v>9</v>
      </c>
      <c r="L245" t="s">
        <v>4275</v>
      </c>
      <c r="M245" t="s">
        <v>4281</v>
      </c>
      <c r="N245">
        <v>314.05</v>
      </c>
      <c r="O245" t="s">
        <v>4290</v>
      </c>
      <c r="P245" t="s">
        <v>2698</v>
      </c>
      <c r="Q245" t="s">
        <v>3067</v>
      </c>
      <c r="R245" t="s">
        <v>4281</v>
      </c>
      <c r="S245">
        <v>34.89</v>
      </c>
    </row>
    <row r="246" spans="1:19" x14ac:dyDescent="0.3">
      <c r="A246" t="s">
        <v>94</v>
      </c>
      <c r="B246" s="3">
        <v>45104</v>
      </c>
      <c r="C246" t="s">
        <v>1294</v>
      </c>
      <c r="D246" t="s">
        <v>2404</v>
      </c>
      <c r="E246">
        <v>3</v>
      </c>
      <c r="F246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>
        <v>6</v>
      </c>
      <c r="L246" t="s">
        <v>4283</v>
      </c>
      <c r="M246" t="s">
        <v>4281</v>
      </c>
      <c r="N246">
        <v>1768.68</v>
      </c>
      <c r="O246" t="s">
        <v>4290</v>
      </c>
      <c r="P246" t="s">
        <v>2484</v>
      </c>
      <c r="Q246" t="s">
        <v>3066</v>
      </c>
      <c r="R246" t="s">
        <v>4281</v>
      </c>
      <c r="S246">
        <v>294.77999999999997</v>
      </c>
    </row>
    <row r="247" spans="1:19" x14ac:dyDescent="0.3">
      <c r="A247" t="s">
        <v>376</v>
      </c>
      <c r="B247" s="3">
        <v>45104</v>
      </c>
      <c r="C247" t="s">
        <v>1576</v>
      </c>
      <c r="D247" t="s">
        <v>2403</v>
      </c>
      <c r="E247">
        <v>4</v>
      </c>
      <c r="F247">
        <v>206.84</v>
      </c>
      <c r="G247" t="s">
        <v>2714</v>
      </c>
      <c r="H247" t="s">
        <v>3069</v>
      </c>
      <c r="I247" t="s">
        <v>3071</v>
      </c>
      <c r="J247" t="s">
        <v>3437</v>
      </c>
      <c r="K247">
        <v>5</v>
      </c>
      <c r="L247" t="s">
        <v>4277</v>
      </c>
      <c r="M247" t="s">
        <v>4278</v>
      </c>
      <c r="N247">
        <v>827.36</v>
      </c>
      <c r="O247" t="s">
        <v>4290</v>
      </c>
      <c r="P247" t="s">
        <v>2714</v>
      </c>
      <c r="Q247" t="s">
        <v>3069</v>
      </c>
      <c r="R247" t="s">
        <v>4278</v>
      </c>
      <c r="S247">
        <v>165.47</v>
      </c>
    </row>
    <row r="248" spans="1:19" x14ac:dyDescent="0.3">
      <c r="A248" t="s">
        <v>423</v>
      </c>
      <c r="B248" s="3">
        <v>45105</v>
      </c>
      <c r="C248" t="s">
        <v>1623</v>
      </c>
      <c r="D248" t="s">
        <v>2409</v>
      </c>
      <c r="E248">
        <v>5</v>
      </c>
      <c r="F248">
        <v>84.13</v>
      </c>
      <c r="G248" t="s">
        <v>2736</v>
      </c>
      <c r="H248" t="s">
        <v>3066</v>
      </c>
      <c r="I248" t="s">
        <v>3073</v>
      </c>
      <c r="J248" t="s">
        <v>3484</v>
      </c>
      <c r="K248">
        <v>9</v>
      </c>
      <c r="L248" t="s">
        <v>4275</v>
      </c>
      <c r="M248" t="s">
        <v>4282</v>
      </c>
      <c r="N248">
        <v>420.65</v>
      </c>
      <c r="O248" t="s">
        <v>4290</v>
      </c>
      <c r="P248" t="s">
        <v>2736</v>
      </c>
      <c r="Q248" t="s">
        <v>3066</v>
      </c>
      <c r="R248" t="s">
        <v>4282</v>
      </c>
      <c r="S248">
        <v>46.74</v>
      </c>
    </row>
    <row r="249" spans="1:19" x14ac:dyDescent="0.3">
      <c r="A249" t="s">
        <v>1108</v>
      </c>
      <c r="B249" s="3">
        <v>45105</v>
      </c>
      <c r="C249" t="s">
        <v>2300</v>
      </c>
      <c r="D249" t="s">
        <v>2407</v>
      </c>
      <c r="E249">
        <v>4</v>
      </c>
      <c r="F249">
        <v>648.91</v>
      </c>
      <c r="G249" t="s">
        <v>3027</v>
      </c>
      <c r="H249" t="s">
        <v>3067</v>
      </c>
      <c r="I249" t="s">
        <v>3070</v>
      </c>
      <c r="J249" t="s">
        <v>4169</v>
      </c>
      <c r="K249">
        <v>6</v>
      </c>
      <c r="L249" t="s">
        <v>4275</v>
      </c>
      <c r="M249" t="s">
        <v>4278</v>
      </c>
      <c r="N249">
        <v>2595.64</v>
      </c>
      <c r="O249" t="s">
        <v>4290</v>
      </c>
      <c r="P249" t="s">
        <v>3027</v>
      </c>
      <c r="Q249" t="s">
        <v>3067</v>
      </c>
      <c r="R249" t="s">
        <v>4278</v>
      </c>
      <c r="S249">
        <v>432.61</v>
      </c>
    </row>
    <row r="250" spans="1:19" x14ac:dyDescent="0.3">
      <c r="A250" t="s">
        <v>339</v>
      </c>
      <c r="B250" s="3">
        <v>45106</v>
      </c>
      <c r="C250" t="s">
        <v>1539</v>
      </c>
      <c r="D250" t="s">
        <v>2409</v>
      </c>
      <c r="E250">
        <v>3</v>
      </c>
      <c r="F250">
        <v>361.39</v>
      </c>
      <c r="G250" t="s">
        <v>2683</v>
      </c>
      <c r="H250" t="s">
        <v>3067</v>
      </c>
      <c r="I250" t="s">
        <v>3070</v>
      </c>
      <c r="J250" t="s">
        <v>3400</v>
      </c>
      <c r="K250">
        <v>8</v>
      </c>
      <c r="L250" t="s">
        <v>4283</v>
      </c>
      <c r="M250" t="s">
        <v>4279</v>
      </c>
      <c r="N250">
        <v>1084.17</v>
      </c>
      <c r="O250" t="s">
        <v>4290</v>
      </c>
      <c r="P250" t="s">
        <v>2683</v>
      </c>
      <c r="Q250" t="s">
        <v>3067</v>
      </c>
      <c r="R250" t="s">
        <v>4279</v>
      </c>
      <c r="S250">
        <v>135.52000000000001</v>
      </c>
    </row>
    <row r="251" spans="1:19" x14ac:dyDescent="0.3">
      <c r="A251" t="s">
        <v>571</v>
      </c>
      <c r="B251" s="3">
        <v>45106</v>
      </c>
      <c r="C251" t="s">
        <v>1771</v>
      </c>
      <c r="D251" t="s">
        <v>2405</v>
      </c>
      <c r="E251">
        <v>1</v>
      </c>
      <c r="F251">
        <v>56.2</v>
      </c>
      <c r="G251" t="s">
        <v>2818</v>
      </c>
      <c r="H251" t="s">
        <v>3065</v>
      </c>
      <c r="I251" t="s">
        <v>3074</v>
      </c>
      <c r="J251" t="s">
        <v>3632</v>
      </c>
      <c r="K251">
        <v>1</v>
      </c>
      <c r="L251" t="s">
        <v>4277</v>
      </c>
      <c r="M251" t="s">
        <v>4281</v>
      </c>
      <c r="N251">
        <v>56.2</v>
      </c>
      <c r="O251" t="s">
        <v>4290</v>
      </c>
      <c r="P251" t="s">
        <v>2818</v>
      </c>
      <c r="Q251" t="s">
        <v>3065</v>
      </c>
      <c r="R251" t="s">
        <v>4281</v>
      </c>
      <c r="S251">
        <v>56.2</v>
      </c>
    </row>
    <row r="252" spans="1:19" x14ac:dyDescent="0.3">
      <c r="A252" t="s">
        <v>45</v>
      </c>
      <c r="B252" s="3">
        <v>45107</v>
      </c>
      <c r="C252" t="s">
        <v>1245</v>
      </c>
      <c r="D252" t="s">
        <v>2406</v>
      </c>
      <c r="E252">
        <v>3</v>
      </c>
      <c r="F252">
        <v>500.08</v>
      </c>
      <c r="G252" t="s">
        <v>2441</v>
      </c>
      <c r="H252" t="s">
        <v>3065</v>
      </c>
      <c r="I252" t="s">
        <v>3072</v>
      </c>
      <c r="J252" t="s">
        <v>3106</v>
      </c>
      <c r="K252">
        <v>6</v>
      </c>
      <c r="L252" t="s">
        <v>4283</v>
      </c>
      <c r="M252" t="s">
        <v>4281</v>
      </c>
      <c r="N252">
        <v>1500.24</v>
      </c>
      <c r="O252" t="s">
        <v>4290</v>
      </c>
      <c r="P252" t="s">
        <v>2441</v>
      </c>
      <c r="Q252" t="s">
        <v>3065</v>
      </c>
      <c r="R252" t="s">
        <v>4281</v>
      </c>
      <c r="S252">
        <v>250.04</v>
      </c>
    </row>
    <row r="253" spans="1:19" x14ac:dyDescent="0.3">
      <c r="A253" t="s">
        <v>613</v>
      </c>
      <c r="B253" s="3">
        <v>45107</v>
      </c>
      <c r="C253" t="s">
        <v>1813</v>
      </c>
      <c r="D253" t="s">
        <v>2406</v>
      </c>
      <c r="E253">
        <v>3</v>
      </c>
      <c r="F253">
        <v>556.99</v>
      </c>
      <c r="G253" t="s">
        <v>2739</v>
      </c>
      <c r="H253" t="s">
        <v>3066</v>
      </c>
      <c r="I253" t="s">
        <v>3071</v>
      </c>
      <c r="J253" t="s">
        <v>3674</v>
      </c>
      <c r="K253">
        <v>4</v>
      </c>
      <c r="L253" t="s">
        <v>4276</v>
      </c>
      <c r="M253" t="s">
        <v>4281</v>
      </c>
      <c r="N253">
        <v>1670.97</v>
      </c>
      <c r="O253" t="s">
        <v>4290</v>
      </c>
      <c r="P253" t="s">
        <v>2739</v>
      </c>
      <c r="Q253" t="s">
        <v>3066</v>
      </c>
      <c r="R253" t="s">
        <v>4281</v>
      </c>
      <c r="S253">
        <v>417.74</v>
      </c>
    </row>
    <row r="254" spans="1:19" x14ac:dyDescent="0.3">
      <c r="A254" t="s">
        <v>321</v>
      </c>
      <c r="B254" s="3">
        <v>45108</v>
      </c>
      <c r="C254" t="s">
        <v>1521</v>
      </c>
      <c r="D254" t="s">
        <v>2408</v>
      </c>
      <c r="E254">
        <v>3</v>
      </c>
      <c r="F254">
        <v>557.41</v>
      </c>
      <c r="G254" t="s">
        <v>2670</v>
      </c>
      <c r="H254" t="s">
        <v>3066</v>
      </c>
      <c r="I254" t="s">
        <v>3073</v>
      </c>
      <c r="J254" t="s">
        <v>3382</v>
      </c>
      <c r="K254">
        <v>4</v>
      </c>
      <c r="L254" t="s">
        <v>4283</v>
      </c>
      <c r="M254" t="s">
        <v>4280</v>
      </c>
      <c r="N254">
        <v>1672.23</v>
      </c>
      <c r="O254" t="s">
        <v>4290</v>
      </c>
      <c r="P254" t="s">
        <v>2670</v>
      </c>
      <c r="Q254" t="s">
        <v>3066</v>
      </c>
      <c r="R254" t="s">
        <v>4280</v>
      </c>
      <c r="S254">
        <v>418.06</v>
      </c>
    </row>
    <row r="255" spans="1:19" x14ac:dyDescent="0.3">
      <c r="A255" t="s">
        <v>262</v>
      </c>
      <c r="B255" s="3">
        <v>45109</v>
      </c>
      <c r="C255" t="s">
        <v>1462</v>
      </c>
      <c r="D255" t="s">
        <v>2408</v>
      </c>
      <c r="E255">
        <v>1</v>
      </c>
      <c r="F255">
        <v>670.54</v>
      </c>
      <c r="G255" t="s">
        <v>2625</v>
      </c>
      <c r="H255" t="s">
        <v>3069</v>
      </c>
      <c r="I255" t="s">
        <v>3070</v>
      </c>
      <c r="J255" t="s">
        <v>3323</v>
      </c>
      <c r="K255">
        <v>6</v>
      </c>
      <c r="L255" t="s">
        <v>4276</v>
      </c>
      <c r="M255" t="s">
        <v>4279</v>
      </c>
      <c r="N255">
        <v>670.54</v>
      </c>
      <c r="O255" t="s">
        <v>4290</v>
      </c>
      <c r="P255" t="s">
        <v>2625</v>
      </c>
      <c r="Q255" t="s">
        <v>3069</v>
      </c>
      <c r="R255" t="s">
        <v>4279</v>
      </c>
      <c r="S255">
        <v>111.76</v>
      </c>
    </row>
    <row r="256" spans="1:19" x14ac:dyDescent="0.3">
      <c r="A256" t="s">
        <v>710</v>
      </c>
      <c r="B256" s="3">
        <v>45109</v>
      </c>
      <c r="C256" t="s">
        <v>1908</v>
      </c>
      <c r="D256" t="s">
        <v>2406</v>
      </c>
      <c r="E256">
        <v>4</v>
      </c>
      <c r="F256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>
        <v>9</v>
      </c>
      <c r="L256" t="s">
        <v>4277</v>
      </c>
      <c r="M256" t="s">
        <v>4281</v>
      </c>
      <c r="N256">
        <v>604.79999999999995</v>
      </c>
      <c r="O256" t="s">
        <v>4290</v>
      </c>
      <c r="P256" t="s">
        <v>2879</v>
      </c>
      <c r="Q256" t="s">
        <v>3068</v>
      </c>
      <c r="R256" t="s">
        <v>4281</v>
      </c>
      <c r="S256">
        <v>67.2</v>
      </c>
    </row>
    <row r="257" spans="1:19" x14ac:dyDescent="0.3">
      <c r="A257" t="s">
        <v>203</v>
      </c>
      <c r="B257" s="3">
        <v>45112</v>
      </c>
      <c r="C257" t="s">
        <v>1403</v>
      </c>
      <c r="D257" t="s">
        <v>2407</v>
      </c>
      <c r="E257">
        <v>5</v>
      </c>
      <c r="F257">
        <v>429.45</v>
      </c>
      <c r="G257" t="s">
        <v>2581</v>
      </c>
      <c r="H257" t="s">
        <v>3068</v>
      </c>
      <c r="I257" t="s">
        <v>3071</v>
      </c>
      <c r="J257" t="s">
        <v>3264</v>
      </c>
      <c r="K257">
        <v>5</v>
      </c>
      <c r="L257" t="s">
        <v>4277</v>
      </c>
      <c r="M257" t="s">
        <v>4280</v>
      </c>
      <c r="N257">
        <v>2147.25</v>
      </c>
      <c r="O257" t="s">
        <v>4290</v>
      </c>
      <c r="P257" t="s">
        <v>2581</v>
      </c>
      <c r="Q257" t="s">
        <v>3068</v>
      </c>
      <c r="R257" t="s">
        <v>4280</v>
      </c>
      <c r="S257">
        <v>429.45</v>
      </c>
    </row>
    <row r="258" spans="1:19" x14ac:dyDescent="0.3">
      <c r="A258" t="s">
        <v>408</v>
      </c>
      <c r="B258" s="3">
        <v>45112</v>
      </c>
      <c r="C258" t="s">
        <v>1608</v>
      </c>
      <c r="D258" t="s">
        <v>2409</v>
      </c>
      <c r="E258">
        <v>5</v>
      </c>
      <c r="F258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>
        <v>10</v>
      </c>
      <c r="L258" t="s">
        <v>4283</v>
      </c>
      <c r="M258" t="s">
        <v>4281</v>
      </c>
      <c r="N258">
        <v>2647.75</v>
      </c>
      <c r="O258" t="s">
        <v>4290</v>
      </c>
      <c r="P258" t="s">
        <v>2729</v>
      </c>
      <c r="Q258" t="s">
        <v>3068</v>
      </c>
      <c r="R258" t="s">
        <v>4281</v>
      </c>
      <c r="S258">
        <v>264.77999999999997</v>
      </c>
    </row>
    <row r="259" spans="1:19" x14ac:dyDescent="0.3">
      <c r="A259" t="s">
        <v>521</v>
      </c>
      <c r="B259" s="3">
        <v>45112</v>
      </c>
      <c r="C259" t="s">
        <v>1721</v>
      </c>
      <c r="D259" t="s">
        <v>2404</v>
      </c>
      <c r="E259">
        <v>1</v>
      </c>
      <c r="F259">
        <v>171.59</v>
      </c>
      <c r="G259" t="s">
        <v>2684</v>
      </c>
      <c r="H259" t="s">
        <v>3067</v>
      </c>
      <c r="I259" t="s">
        <v>3074</v>
      </c>
      <c r="J259" t="s">
        <v>3582</v>
      </c>
      <c r="K259">
        <v>5</v>
      </c>
      <c r="L259" t="s">
        <v>4277</v>
      </c>
      <c r="M259" t="s">
        <v>4280</v>
      </c>
      <c r="N259">
        <v>171.59</v>
      </c>
      <c r="O259" t="s">
        <v>4290</v>
      </c>
      <c r="P259" t="s">
        <v>2684</v>
      </c>
      <c r="Q259" t="s">
        <v>3067</v>
      </c>
      <c r="R259" t="s">
        <v>4280</v>
      </c>
      <c r="S259">
        <v>34.32</v>
      </c>
    </row>
    <row r="260" spans="1:19" x14ac:dyDescent="0.3">
      <c r="A260" t="s">
        <v>137</v>
      </c>
      <c r="B260" s="3">
        <v>45113</v>
      </c>
      <c r="C260" t="s">
        <v>1337</v>
      </c>
      <c r="D260" t="s">
        <v>2409</v>
      </c>
      <c r="E260">
        <v>3</v>
      </c>
      <c r="F260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>
        <v>5</v>
      </c>
      <c r="L260" t="s">
        <v>4283</v>
      </c>
      <c r="M260" t="s">
        <v>4278</v>
      </c>
      <c r="N260">
        <v>834.12000000000012</v>
      </c>
      <c r="O260" t="s">
        <v>4290</v>
      </c>
      <c r="P260" t="s">
        <v>2525</v>
      </c>
      <c r="Q260" t="s">
        <v>3066</v>
      </c>
      <c r="R260" t="s">
        <v>4278</v>
      </c>
      <c r="S260">
        <v>166.82</v>
      </c>
    </row>
    <row r="261" spans="1:19" x14ac:dyDescent="0.3">
      <c r="A261" t="s">
        <v>783</v>
      </c>
      <c r="B261" s="3">
        <v>45113</v>
      </c>
      <c r="C261" t="s">
        <v>1980</v>
      </c>
      <c r="D261" t="s">
        <v>2407</v>
      </c>
      <c r="E261">
        <v>4</v>
      </c>
      <c r="F261">
        <v>678.55</v>
      </c>
      <c r="G261" t="s">
        <v>2438</v>
      </c>
      <c r="H261" t="s">
        <v>3069</v>
      </c>
      <c r="I261" t="s">
        <v>3073</v>
      </c>
      <c r="J261" t="s">
        <v>3844</v>
      </c>
      <c r="K261">
        <v>5</v>
      </c>
      <c r="L261" t="s">
        <v>4283</v>
      </c>
      <c r="M261" t="s">
        <v>4280</v>
      </c>
      <c r="N261">
        <v>2714.2</v>
      </c>
      <c r="O261" t="s">
        <v>4290</v>
      </c>
      <c r="P261" t="s">
        <v>2438</v>
      </c>
      <c r="Q261" t="s">
        <v>3069</v>
      </c>
      <c r="R261" t="s">
        <v>4280</v>
      </c>
      <c r="S261">
        <v>542.84</v>
      </c>
    </row>
    <row r="262" spans="1:19" x14ac:dyDescent="0.3">
      <c r="A262" t="s">
        <v>643</v>
      </c>
      <c r="B262" s="3">
        <v>45114</v>
      </c>
      <c r="C262" t="s">
        <v>1842</v>
      </c>
      <c r="D262" t="s">
        <v>2404</v>
      </c>
      <c r="E262">
        <v>3</v>
      </c>
      <c r="F262">
        <v>19.73</v>
      </c>
      <c r="G262" t="s">
        <v>2850</v>
      </c>
      <c r="H262" t="s">
        <v>3066</v>
      </c>
      <c r="I262" t="s">
        <v>3074</v>
      </c>
      <c r="J262" t="s">
        <v>3704</v>
      </c>
      <c r="K262">
        <v>3</v>
      </c>
      <c r="L262" t="s">
        <v>4283</v>
      </c>
      <c r="M262" t="s">
        <v>4279</v>
      </c>
      <c r="N262">
        <v>59.19</v>
      </c>
      <c r="O262" t="s">
        <v>4290</v>
      </c>
      <c r="P262" t="s">
        <v>2850</v>
      </c>
      <c r="Q262" t="s">
        <v>3066</v>
      </c>
      <c r="R262" t="s">
        <v>4279</v>
      </c>
      <c r="S262">
        <v>19.73</v>
      </c>
    </row>
    <row r="263" spans="1:19" x14ac:dyDescent="0.3">
      <c r="A263" t="s">
        <v>371</v>
      </c>
      <c r="B263" s="3">
        <v>45115</v>
      </c>
      <c r="C263" t="s">
        <v>1571</v>
      </c>
      <c r="D263" t="s">
        <v>2408</v>
      </c>
      <c r="E263">
        <v>5</v>
      </c>
      <c r="F263">
        <v>408.56</v>
      </c>
      <c r="G263" t="s">
        <v>2692</v>
      </c>
      <c r="H263" t="s">
        <v>3065</v>
      </c>
      <c r="I263" t="s">
        <v>3073</v>
      </c>
      <c r="J263" t="s">
        <v>3432</v>
      </c>
      <c r="K263">
        <v>8</v>
      </c>
      <c r="L263" t="s">
        <v>4276</v>
      </c>
      <c r="M263" t="s">
        <v>4278</v>
      </c>
      <c r="N263">
        <v>2042.8</v>
      </c>
      <c r="O263" t="s">
        <v>4290</v>
      </c>
      <c r="P263" t="s">
        <v>2692</v>
      </c>
      <c r="Q263" t="s">
        <v>3065</v>
      </c>
      <c r="R263" t="s">
        <v>4278</v>
      </c>
      <c r="S263">
        <v>255.35</v>
      </c>
    </row>
    <row r="264" spans="1:19" x14ac:dyDescent="0.3">
      <c r="A264" t="s">
        <v>1032</v>
      </c>
      <c r="B264" s="3">
        <v>45115</v>
      </c>
      <c r="C264" t="s">
        <v>2224</v>
      </c>
      <c r="D264" t="s">
        <v>2408</v>
      </c>
      <c r="E264">
        <v>3</v>
      </c>
      <c r="F264">
        <v>182.48</v>
      </c>
      <c r="G264" t="s">
        <v>3004</v>
      </c>
      <c r="H264" t="s">
        <v>3069</v>
      </c>
      <c r="I264" t="s">
        <v>3073</v>
      </c>
      <c r="J264" t="s">
        <v>4093</v>
      </c>
      <c r="K264">
        <v>3</v>
      </c>
      <c r="L264" t="s">
        <v>4283</v>
      </c>
      <c r="M264" t="s">
        <v>4278</v>
      </c>
      <c r="N264">
        <v>547.43999999999994</v>
      </c>
      <c r="O264" t="s">
        <v>4290</v>
      </c>
      <c r="P264" t="s">
        <v>3004</v>
      </c>
      <c r="Q264" t="s">
        <v>3069</v>
      </c>
      <c r="R264" t="s">
        <v>4278</v>
      </c>
      <c r="S264">
        <v>182.48</v>
      </c>
    </row>
    <row r="265" spans="1:19" x14ac:dyDescent="0.3">
      <c r="A265" t="s">
        <v>327</v>
      </c>
      <c r="B265" s="3">
        <v>45116</v>
      </c>
      <c r="C265" t="s">
        <v>1527</v>
      </c>
      <c r="D265" t="s">
        <v>2406</v>
      </c>
      <c r="E265">
        <v>2</v>
      </c>
      <c r="F265">
        <v>434.3</v>
      </c>
      <c r="G265" t="s">
        <v>2674</v>
      </c>
      <c r="H265" t="s">
        <v>3069</v>
      </c>
      <c r="I265" t="s">
        <v>3073</v>
      </c>
      <c r="J265" t="s">
        <v>3388</v>
      </c>
      <c r="K265">
        <v>7</v>
      </c>
      <c r="L265" t="s">
        <v>4275</v>
      </c>
      <c r="M265" t="s">
        <v>4278</v>
      </c>
      <c r="N265">
        <v>868.6</v>
      </c>
      <c r="O265" t="s">
        <v>4290</v>
      </c>
      <c r="P265" t="s">
        <v>2674</v>
      </c>
      <c r="Q265" t="s">
        <v>3069</v>
      </c>
      <c r="R265" t="s">
        <v>4278</v>
      </c>
      <c r="S265">
        <v>124.09</v>
      </c>
    </row>
    <row r="266" spans="1:19" x14ac:dyDescent="0.3">
      <c r="A266" t="s">
        <v>886</v>
      </c>
      <c r="B266" s="3">
        <v>45117</v>
      </c>
      <c r="C266" t="s">
        <v>2082</v>
      </c>
      <c r="D266" t="s">
        <v>2406</v>
      </c>
      <c r="E266">
        <v>4</v>
      </c>
      <c r="F266">
        <v>629.34</v>
      </c>
      <c r="G266" t="s">
        <v>2590</v>
      </c>
      <c r="H266" t="s">
        <v>3069</v>
      </c>
      <c r="I266" t="s">
        <v>3070</v>
      </c>
      <c r="J266" t="s">
        <v>3947</v>
      </c>
      <c r="K266">
        <v>7</v>
      </c>
      <c r="L266" t="s">
        <v>4283</v>
      </c>
      <c r="M266" t="s">
        <v>4280</v>
      </c>
      <c r="N266">
        <v>2517.36</v>
      </c>
      <c r="O266" t="s">
        <v>4290</v>
      </c>
      <c r="P266" t="s">
        <v>2590</v>
      </c>
      <c r="Q266" t="s">
        <v>3069</v>
      </c>
      <c r="R266" t="s">
        <v>4280</v>
      </c>
      <c r="S266">
        <v>359.62</v>
      </c>
    </row>
    <row r="267" spans="1:19" x14ac:dyDescent="0.3">
      <c r="A267" t="s">
        <v>368</v>
      </c>
      <c r="B267" s="3">
        <v>45118</v>
      </c>
      <c r="C267" t="s">
        <v>1568</v>
      </c>
      <c r="D267" t="s">
        <v>2404</v>
      </c>
      <c r="E267">
        <v>1</v>
      </c>
      <c r="F267">
        <v>693.41</v>
      </c>
      <c r="G267" t="s">
        <v>2707</v>
      </c>
      <c r="H267" t="s">
        <v>3065</v>
      </c>
      <c r="I267" t="s">
        <v>3070</v>
      </c>
      <c r="J267" t="s">
        <v>3429</v>
      </c>
      <c r="K267">
        <v>4</v>
      </c>
      <c r="L267" t="s">
        <v>4283</v>
      </c>
      <c r="M267" t="s">
        <v>4278</v>
      </c>
      <c r="N267">
        <v>693.41</v>
      </c>
      <c r="O267" t="s">
        <v>4290</v>
      </c>
      <c r="P267" t="s">
        <v>2707</v>
      </c>
      <c r="Q267" t="s">
        <v>3065</v>
      </c>
      <c r="R267" t="s">
        <v>4278</v>
      </c>
      <c r="S267">
        <v>173.35</v>
      </c>
    </row>
    <row r="268" spans="1:19" x14ac:dyDescent="0.3">
      <c r="A268" t="s">
        <v>254</v>
      </c>
      <c r="B268" s="3">
        <v>45119</v>
      </c>
      <c r="C268" t="s">
        <v>1454</v>
      </c>
      <c r="D268" t="s">
        <v>2405</v>
      </c>
      <c r="E268">
        <v>1</v>
      </c>
      <c r="F268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>
        <v>2</v>
      </c>
      <c r="L268" t="s">
        <v>4276</v>
      </c>
      <c r="M268" t="s">
        <v>4278</v>
      </c>
      <c r="N268">
        <v>17.239999999999998</v>
      </c>
      <c r="O268" t="s">
        <v>4290</v>
      </c>
      <c r="P268" t="s">
        <v>2617</v>
      </c>
      <c r="Q268" t="s">
        <v>3066</v>
      </c>
      <c r="R268" t="s">
        <v>4278</v>
      </c>
      <c r="S268">
        <v>8.6199999999999992</v>
      </c>
    </row>
    <row r="269" spans="1:19" x14ac:dyDescent="0.3">
      <c r="A269" t="s">
        <v>512</v>
      </c>
      <c r="B269" s="3">
        <v>45119</v>
      </c>
      <c r="C269" t="s">
        <v>1712</v>
      </c>
      <c r="D269" t="s">
        <v>2405</v>
      </c>
      <c r="E269">
        <v>4</v>
      </c>
      <c r="F269">
        <v>132.56</v>
      </c>
      <c r="G269" t="s">
        <v>2622</v>
      </c>
      <c r="H269" t="s">
        <v>3069</v>
      </c>
      <c r="I269" t="s">
        <v>3072</v>
      </c>
      <c r="J269" t="s">
        <v>3573</v>
      </c>
      <c r="K269">
        <v>8</v>
      </c>
      <c r="L269" t="s">
        <v>4277</v>
      </c>
      <c r="M269" t="s">
        <v>4278</v>
      </c>
      <c r="N269">
        <v>530.24</v>
      </c>
      <c r="O269" t="s">
        <v>4290</v>
      </c>
      <c r="P269" t="s">
        <v>2622</v>
      </c>
      <c r="Q269" t="s">
        <v>3069</v>
      </c>
      <c r="R269" t="s">
        <v>4278</v>
      </c>
      <c r="S269">
        <v>66.28</v>
      </c>
    </row>
    <row r="270" spans="1:19" x14ac:dyDescent="0.3">
      <c r="A270" t="s">
        <v>952</v>
      </c>
      <c r="B270" s="3">
        <v>45119</v>
      </c>
      <c r="C270" t="s">
        <v>2148</v>
      </c>
      <c r="D270" t="s">
        <v>2406</v>
      </c>
      <c r="E270">
        <v>3</v>
      </c>
      <c r="F270">
        <v>331.46</v>
      </c>
      <c r="G270" t="s">
        <v>2796</v>
      </c>
      <c r="H270" t="s">
        <v>3067</v>
      </c>
      <c r="I270" t="s">
        <v>3071</v>
      </c>
      <c r="J270" t="s">
        <v>4013</v>
      </c>
      <c r="K270">
        <v>6</v>
      </c>
      <c r="L270" t="s">
        <v>4277</v>
      </c>
      <c r="M270" t="s">
        <v>4279</v>
      </c>
      <c r="N270">
        <v>994.37999999999988</v>
      </c>
      <c r="O270" t="s">
        <v>4290</v>
      </c>
      <c r="P270" t="s">
        <v>2796</v>
      </c>
      <c r="Q270" t="s">
        <v>3067</v>
      </c>
      <c r="R270" t="s">
        <v>4279</v>
      </c>
      <c r="S270">
        <v>165.73</v>
      </c>
    </row>
    <row r="271" spans="1:19" x14ac:dyDescent="0.3">
      <c r="A271" t="s">
        <v>1211</v>
      </c>
      <c r="B271" s="3">
        <v>45120</v>
      </c>
      <c r="C271" t="s">
        <v>2400</v>
      </c>
      <c r="D271" t="s">
        <v>2405</v>
      </c>
      <c r="E271">
        <v>2</v>
      </c>
      <c r="F271">
        <v>436.84</v>
      </c>
      <c r="G271" t="s">
        <v>2413</v>
      </c>
      <c r="H271" t="s">
        <v>3066</v>
      </c>
      <c r="I271" t="s">
        <v>3073</v>
      </c>
      <c r="J271" t="s">
        <v>4272</v>
      </c>
      <c r="K271">
        <v>2</v>
      </c>
      <c r="L271" t="s">
        <v>4276</v>
      </c>
      <c r="M271" t="s">
        <v>4278</v>
      </c>
      <c r="N271">
        <v>873.68</v>
      </c>
      <c r="O271" t="s">
        <v>4290</v>
      </c>
      <c r="P271" t="s">
        <v>2413</v>
      </c>
      <c r="Q271" t="s">
        <v>3066</v>
      </c>
      <c r="R271" t="s">
        <v>4278</v>
      </c>
      <c r="S271">
        <v>436.84</v>
      </c>
    </row>
    <row r="272" spans="1:19" x14ac:dyDescent="0.3">
      <c r="A272" t="s">
        <v>404</v>
      </c>
      <c r="B272" s="3">
        <v>45121</v>
      </c>
      <c r="C272" t="s">
        <v>1604</v>
      </c>
      <c r="D272" t="s">
        <v>2407</v>
      </c>
      <c r="E272">
        <v>5</v>
      </c>
      <c r="F272">
        <v>508.69</v>
      </c>
      <c r="G272" t="s">
        <v>2701</v>
      </c>
      <c r="H272" t="s">
        <v>3069</v>
      </c>
      <c r="I272" t="s">
        <v>3073</v>
      </c>
      <c r="J272" t="s">
        <v>3465</v>
      </c>
      <c r="K272">
        <v>10</v>
      </c>
      <c r="L272" t="s">
        <v>4276</v>
      </c>
      <c r="M272" t="s">
        <v>4282</v>
      </c>
      <c r="N272">
        <v>2543.4499999999998</v>
      </c>
      <c r="O272" t="s">
        <v>4290</v>
      </c>
      <c r="P272" t="s">
        <v>2701</v>
      </c>
      <c r="Q272" t="s">
        <v>3069</v>
      </c>
      <c r="R272" t="s">
        <v>4282</v>
      </c>
      <c r="S272">
        <v>254.34</v>
      </c>
    </row>
    <row r="273" spans="1:19" x14ac:dyDescent="0.3">
      <c r="A273" t="s">
        <v>1179</v>
      </c>
      <c r="B273" s="3">
        <v>45121</v>
      </c>
      <c r="C273" t="s">
        <v>2368</v>
      </c>
      <c r="D273" t="s">
        <v>2406</v>
      </c>
      <c r="E273">
        <v>3</v>
      </c>
      <c r="F273">
        <v>223.79</v>
      </c>
      <c r="G273" t="s">
        <v>3051</v>
      </c>
      <c r="H273" t="s">
        <v>3065</v>
      </c>
      <c r="I273" t="s">
        <v>3074</v>
      </c>
      <c r="J273" t="s">
        <v>4240</v>
      </c>
      <c r="K273">
        <v>3</v>
      </c>
      <c r="L273" t="s">
        <v>4283</v>
      </c>
      <c r="M273" t="s">
        <v>4282</v>
      </c>
      <c r="N273">
        <v>671.37</v>
      </c>
      <c r="O273" t="s">
        <v>4290</v>
      </c>
      <c r="P273" t="s">
        <v>3051</v>
      </c>
      <c r="Q273" t="s">
        <v>3065</v>
      </c>
      <c r="R273" t="s">
        <v>4282</v>
      </c>
      <c r="S273">
        <v>223.79</v>
      </c>
    </row>
    <row r="274" spans="1:19" x14ac:dyDescent="0.3">
      <c r="A274" t="s">
        <v>29</v>
      </c>
      <c r="B274" s="3">
        <v>45124</v>
      </c>
      <c r="C274" t="s">
        <v>1229</v>
      </c>
      <c r="D274" t="s">
        <v>2407</v>
      </c>
      <c r="E274">
        <v>1</v>
      </c>
      <c r="F274">
        <v>473.96</v>
      </c>
      <c r="G274" t="s">
        <v>2425</v>
      </c>
      <c r="H274" t="s">
        <v>3069</v>
      </c>
      <c r="I274" t="s">
        <v>3073</v>
      </c>
      <c r="J274" t="s">
        <v>3090</v>
      </c>
      <c r="K274">
        <v>3</v>
      </c>
      <c r="L274" t="s">
        <v>4283</v>
      </c>
      <c r="M274" t="s">
        <v>4282</v>
      </c>
      <c r="N274">
        <v>473.96</v>
      </c>
      <c r="O274" t="s">
        <v>4290</v>
      </c>
      <c r="P274" t="s">
        <v>2425</v>
      </c>
      <c r="Q274" t="s">
        <v>3069</v>
      </c>
      <c r="R274" t="s">
        <v>4282</v>
      </c>
      <c r="S274">
        <v>157.99</v>
      </c>
    </row>
    <row r="275" spans="1:19" x14ac:dyDescent="0.3">
      <c r="A275" t="s">
        <v>955</v>
      </c>
      <c r="B275" s="3">
        <v>45124</v>
      </c>
      <c r="C275" t="s">
        <v>1653</v>
      </c>
      <c r="D275" t="s">
        <v>2407</v>
      </c>
      <c r="E275">
        <v>5</v>
      </c>
      <c r="F275">
        <v>111.7</v>
      </c>
      <c r="G275" t="s">
        <v>2690</v>
      </c>
      <c r="H275" t="s">
        <v>3067</v>
      </c>
      <c r="I275" t="s">
        <v>3071</v>
      </c>
      <c r="J275" t="s">
        <v>4016</v>
      </c>
      <c r="K275">
        <v>9</v>
      </c>
      <c r="L275" t="s">
        <v>4276</v>
      </c>
      <c r="M275" t="s">
        <v>4280</v>
      </c>
      <c r="N275">
        <v>558.5</v>
      </c>
      <c r="O275" t="s">
        <v>4290</v>
      </c>
      <c r="P275" t="s">
        <v>2690</v>
      </c>
      <c r="Q275" t="s">
        <v>3067</v>
      </c>
      <c r="R275" t="s">
        <v>4280</v>
      </c>
      <c r="S275">
        <v>62.06</v>
      </c>
    </row>
    <row r="276" spans="1:19" x14ac:dyDescent="0.3">
      <c r="A276" t="s">
        <v>234</v>
      </c>
      <c r="B276" s="3">
        <v>45125</v>
      </c>
      <c r="C276" t="s">
        <v>1434</v>
      </c>
      <c r="D276" t="s">
        <v>2408</v>
      </c>
      <c r="E276">
        <v>2</v>
      </c>
      <c r="F276">
        <v>373.17</v>
      </c>
      <c r="G276" t="s">
        <v>2601</v>
      </c>
      <c r="H276" t="s">
        <v>3067</v>
      </c>
      <c r="I276" t="s">
        <v>3074</v>
      </c>
      <c r="J276" t="s">
        <v>3295</v>
      </c>
      <c r="K276">
        <v>6</v>
      </c>
      <c r="L276" t="s">
        <v>4275</v>
      </c>
      <c r="M276" t="s">
        <v>4279</v>
      </c>
      <c r="N276">
        <v>746.34</v>
      </c>
      <c r="O276" t="s">
        <v>4290</v>
      </c>
      <c r="P276" t="s">
        <v>2601</v>
      </c>
      <c r="Q276" t="s">
        <v>3067</v>
      </c>
      <c r="R276" t="s">
        <v>4279</v>
      </c>
      <c r="S276">
        <v>124.39</v>
      </c>
    </row>
    <row r="277" spans="1:19" x14ac:dyDescent="0.3">
      <c r="A277" t="s">
        <v>430</v>
      </c>
      <c r="B277" s="3">
        <v>45125</v>
      </c>
      <c r="C277" t="s">
        <v>1630</v>
      </c>
      <c r="D277" t="s">
        <v>2408</v>
      </c>
      <c r="E277">
        <v>2</v>
      </c>
      <c r="F27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>
        <v>5</v>
      </c>
      <c r="L277" t="s">
        <v>4277</v>
      </c>
      <c r="M277" t="s">
        <v>4279</v>
      </c>
      <c r="N277">
        <v>1288.0999999999999</v>
      </c>
      <c r="O277" t="s">
        <v>4290</v>
      </c>
      <c r="P277" t="s">
        <v>2741</v>
      </c>
      <c r="Q277" t="s">
        <v>3068</v>
      </c>
      <c r="R277" t="s">
        <v>4279</v>
      </c>
      <c r="S277">
        <v>257.62</v>
      </c>
    </row>
    <row r="278" spans="1:19" x14ac:dyDescent="0.3">
      <c r="A278" t="s">
        <v>480</v>
      </c>
      <c r="B278" s="3">
        <v>45125</v>
      </c>
      <c r="C278" t="s">
        <v>1680</v>
      </c>
      <c r="D278" t="s">
        <v>2404</v>
      </c>
      <c r="E278">
        <v>1</v>
      </c>
      <c r="F278">
        <v>432.47</v>
      </c>
      <c r="G278" t="s">
        <v>2440</v>
      </c>
      <c r="H278" t="s">
        <v>3069</v>
      </c>
      <c r="I278" t="s">
        <v>3073</v>
      </c>
      <c r="J278" t="s">
        <v>3541</v>
      </c>
      <c r="K278">
        <v>4</v>
      </c>
      <c r="L278" t="s">
        <v>4276</v>
      </c>
      <c r="M278" t="s">
        <v>4279</v>
      </c>
      <c r="N278">
        <v>432.47</v>
      </c>
      <c r="O278" t="s">
        <v>4290</v>
      </c>
      <c r="P278" t="s">
        <v>2440</v>
      </c>
      <c r="Q278" t="s">
        <v>3069</v>
      </c>
      <c r="R278" t="s">
        <v>4279</v>
      </c>
      <c r="S278">
        <v>108.12</v>
      </c>
    </row>
    <row r="279" spans="1:19" x14ac:dyDescent="0.3">
      <c r="A279" t="s">
        <v>61</v>
      </c>
      <c r="B279" s="3">
        <v>45126</v>
      </c>
      <c r="C279" t="s">
        <v>1261</v>
      </c>
      <c r="D279" t="s">
        <v>2409</v>
      </c>
      <c r="E279">
        <v>2</v>
      </c>
      <c r="F279">
        <v>209.94</v>
      </c>
      <c r="G279" t="s">
        <v>2455</v>
      </c>
      <c r="H279" t="s">
        <v>3067</v>
      </c>
      <c r="I279" t="s">
        <v>3072</v>
      </c>
      <c r="J279" t="s">
        <v>3122</v>
      </c>
      <c r="K279">
        <v>3</v>
      </c>
      <c r="L279" t="s">
        <v>4276</v>
      </c>
      <c r="M279" t="s">
        <v>4280</v>
      </c>
      <c r="N279">
        <v>419.88</v>
      </c>
      <c r="O279" t="s">
        <v>4290</v>
      </c>
      <c r="P279" t="s">
        <v>2455</v>
      </c>
      <c r="Q279" t="s">
        <v>3067</v>
      </c>
      <c r="R279" t="s">
        <v>4280</v>
      </c>
      <c r="S279">
        <v>139.96</v>
      </c>
    </row>
    <row r="280" spans="1:19" x14ac:dyDescent="0.3">
      <c r="A280" t="s">
        <v>508</v>
      </c>
      <c r="B280" s="3">
        <v>45126</v>
      </c>
      <c r="C280" t="s">
        <v>1708</v>
      </c>
      <c r="D280" t="s">
        <v>2408</v>
      </c>
      <c r="E280">
        <v>3</v>
      </c>
      <c r="F280">
        <v>505.79</v>
      </c>
      <c r="G280" t="s">
        <v>2788</v>
      </c>
      <c r="H280" t="s">
        <v>3065</v>
      </c>
      <c r="I280" t="s">
        <v>3074</v>
      </c>
      <c r="J280" t="s">
        <v>3569</v>
      </c>
      <c r="K280">
        <v>3</v>
      </c>
      <c r="L280" t="s">
        <v>4276</v>
      </c>
      <c r="M280" t="s">
        <v>4279</v>
      </c>
      <c r="N280">
        <v>1517.37</v>
      </c>
      <c r="O280" t="s">
        <v>4290</v>
      </c>
      <c r="P280" t="s">
        <v>2788</v>
      </c>
      <c r="Q280" t="s">
        <v>3065</v>
      </c>
      <c r="R280" t="s">
        <v>4279</v>
      </c>
      <c r="S280">
        <v>505.79</v>
      </c>
    </row>
    <row r="281" spans="1:19" x14ac:dyDescent="0.3">
      <c r="A281" t="s">
        <v>1170</v>
      </c>
      <c r="B281" s="3">
        <v>45126</v>
      </c>
      <c r="C281" t="s">
        <v>2359</v>
      </c>
      <c r="D281" t="s">
        <v>2408</v>
      </c>
      <c r="E281">
        <v>4</v>
      </c>
      <c r="F281">
        <v>690.78</v>
      </c>
      <c r="G281" t="s">
        <v>2424</v>
      </c>
      <c r="H281" t="s">
        <v>3067</v>
      </c>
      <c r="I281" t="s">
        <v>3070</v>
      </c>
      <c r="J281" t="s">
        <v>4231</v>
      </c>
      <c r="K281">
        <v>9</v>
      </c>
      <c r="L281" t="s">
        <v>4283</v>
      </c>
      <c r="M281" t="s">
        <v>4279</v>
      </c>
      <c r="N281">
        <v>2763.12</v>
      </c>
      <c r="O281" t="s">
        <v>4290</v>
      </c>
      <c r="P281" t="s">
        <v>2424</v>
      </c>
      <c r="Q281" t="s">
        <v>3067</v>
      </c>
      <c r="R281" t="s">
        <v>4279</v>
      </c>
      <c r="S281">
        <v>307.01</v>
      </c>
    </row>
    <row r="282" spans="1:19" x14ac:dyDescent="0.3">
      <c r="A282" t="s">
        <v>168</v>
      </c>
      <c r="B282" s="3">
        <v>45127</v>
      </c>
      <c r="C282" t="s">
        <v>1368</v>
      </c>
      <c r="D282" t="s">
        <v>2404</v>
      </c>
      <c r="E282">
        <v>4</v>
      </c>
      <c r="F282">
        <v>408.21</v>
      </c>
      <c r="G282" t="s">
        <v>2525</v>
      </c>
      <c r="H282" t="s">
        <v>3067</v>
      </c>
      <c r="I282" t="s">
        <v>3074</v>
      </c>
      <c r="J282" t="s">
        <v>3229</v>
      </c>
      <c r="K282">
        <v>9</v>
      </c>
      <c r="L282" t="s">
        <v>4283</v>
      </c>
      <c r="M282" t="s">
        <v>4278</v>
      </c>
      <c r="N282">
        <v>1632.84</v>
      </c>
      <c r="O282" t="s">
        <v>4290</v>
      </c>
      <c r="P282" t="s">
        <v>2525</v>
      </c>
      <c r="Q282" t="s">
        <v>3067</v>
      </c>
      <c r="R282" t="s">
        <v>4278</v>
      </c>
      <c r="S282">
        <v>181.43</v>
      </c>
    </row>
    <row r="283" spans="1:19" x14ac:dyDescent="0.3">
      <c r="A283" t="s">
        <v>261</v>
      </c>
      <c r="B283" s="3">
        <v>45127</v>
      </c>
      <c r="C283" t="s">
        <v>1461</v>
      </c>
      <c r="D283" t="s">
        <v>2407</v>
      </c>
      <c r="E283">
        <v>2</v>
      </c>
      <c r="F283">
        <v>220.9</v>
      </c>
      <c r="G283" t="s">
        <v>2624</v>
      </c>
      <c r="H283" t="s">
        <v>3068</v>
      </c>
      <c r="I283" t="s">
        <v>3070</v>
      </c>
      <c r="J283" t="s">
        <v>3322</v>
      </c>
      <c r="K283">
        <v>4</v>
      </c>
      <c r="L283" t="s">
        <v>4283</v>
      </c>
      <c r="M283" t="s">
        <v>4280</v>
      </c>
      <c r="N283">
        <v>441.8</v>
      </c>
      <c r="O283" t="s">
        <v>4290</v>
      </c>
      <c r="P283" t="s">
        <v>2624</v>
      </c>
      <c r="Q283" t="s">
        <v>3068</v>
      </c>
      <c r="R283" t="s">
        <v>4280</v>
      </c>
      <c r="S283">
        <v>110.45</v>
      </c>
    </row>
    <row r="284" spans="1:19" x14ac:dyDescent="0.3">
      <c r="A284" t="s">
        <v>207</v>
      </c>
      <c r="B284" s="3">
        <v>45128</v>
      </c>
      <c r="C284" t="s">
        <v>1407</v>
      </c>
      <c r="D284" t="s">
        <v>2407</v>
      </c>
      <c r="E284">
        <v>1</v>
      </c>
      <c r="F284">
        <v>46.66</v>
      </c>
      <c r="G284" t="s">
        <v>2584</v>
      </c>
      <c r="H284" t="s">
        <v>3069</v>
      </c>
      <c r="I284" t="s">
        <v>3071</v>
      </c>
      <c r="J284" t="s">
        <v>3268</v>
      </c>
      <c r="K284">
        <v>6</v>
      </c>
      <c r="L284" t="s">
        <v>4283</v>
      </c>
      <c r="M284" t="s">
        <v>4282</v>
      </c>
      <c r="N284">
        <v>46.66</v>
      </c>
      <c r="O284" t="s">
        <v>4290</v>
      </c>
      <c r="P284" t="s">
        <v>2584</v>
      </c>
      <c r="Q284" t="s">
        <v>3069</v>
      </c>
      <c r="R284" t="s">
        <v>4282</v>
      </c>
      <c r="S284">
        <v>7.78</v>
      </c>
    </row>
    <row r="285" spans="1:19" x14ac:dyDescent="0.3">
      <c r="A285" t="s">
        <v>466</v>
      </c>
      <c r="B285" s="3">
        <v>45130</v>
      </c>
      <c r="C285" t="s">
        <v>1666</v>
      </c>
      <c r="D285" t="s">
        <v>2407</v>
      </c>
      <c r="E285">
        <v>1</v>
      </c>
      <c r="F285">
        <v>75.78</v>
      </c>
      <c r="G285" t="s">
        <v>2763</v>
      </c>
      <c r="H285" t="s">
        <v>3069</v>
      </c>
      <c r="I285" t="s">
        <v>3074</v>
      </c>
      <c r="J285" t="s">
        <v>3527</v>
      </c>
      <c r="K285">
        <v>5</v>
      </c>
      <c r="L285" t="s">
        <v>4275</v>
      </c>
      <c r="M285" t="s">
        <v>4282</v>
      </c>
      <c r="N285">
        <v>75.78</v>
      </c>
      <c r="O285" t="s">
        <v>4290</v>
      </c>
      <c r="P285" t="s">
        <v>2763</v>
      </c>
      <c r="Q285" t="s">
        <v>3069</v>
      </c>
      <c r="R285" t="s">
        <v>4282</v>
      </c>
      <c r="S285">
        <v>15.16</v>
      </c>
    </row>
    <row r="286" spans="1:19" x14ac:dyDescent="0.3">
      <c r="A286" t="s">
        <v>696</v>
      </c>
      <c r="B286" s="3">
        <v>45130</v>
      </c>
      <c r="C286" t="s">
        <v>1894</v>
      </c>
      <c r="D286" t="s">
        <v>2403</v>
      </c>
      <c r="E286">
        <v>3</v>
      </c>
      <c r="F286">
        <v>509.42</v>
      </c>
      <c r="G286" t="s">
        <v>2777</v>
      </c>
      <c r="H286" t="s">
        <v>3067</v>
      </c>
      <c r="I286" t="s">
        <v>3071</v>
      </c>
      <c r="J286" t="s">
        <v>3757</v>
      </c>
      <c r="K286">
        <v>5</v>
      </c>
      <c r="L286" t="s">
        <v>4276</v>
      </c>
      <c r="M286" t="s">
        <v>4282</v>
      </c>
      <c r="N286">
        <v>1528.26</v>
      </c>
      <c r="O286" t="s">
        <v>4290</v>
      </c>
      <c r="P286" t="s">
        <v>2777</v>
      </c>
      <c r="Q286" t="s">
        <v>3067</v>
      </c>
      <c r="R286" t="s">
        <v>4282</v>
      </c>
      <c r="S286">
        <v>305.64999999999998</v>
      </c>
    </row>
    <row r="287" spans="1:19" x14ac:dyDescent="0.3">
      <c r="A287" t="s">
        <v>773</v>
      </c>
      <c r="B287" s="3">
        <v>45131</v>
      </c>
      <c r="C287" t="s">
        <v>1970</v>
      </c>
      <c r="D287" t="s">
        <v>2409</v>
      </c>
      <c r="E287">
        <v>3</v>
      </c>
      <c r="F287">
        <v>308.01</v>
      </c>
      <c r="G287" t="s">
        <v>2910</v>
      </c>
      <c r="H287" t="s">
        <v>3069</v>
      </c>
      <c r="I287" t="s">
        <v>3074</v>
      </c>
      <c r="J287" t="s">
        <v>3834</v>
      </c>
      <c r="K287">
        <v>3</v>
      </c>
      <c r="L287" t="s">
        <v>4276</v>
      </c>
      <c r="M287" t="s">
        <v>4281</v>
      </c>
      <c r="N287">
        <v>924.03</v>
      </c>
      <c r="O287" t="s">
        <v>4290</v>
      </c>
      <c r="P287" t="s">
        <v>2910</v>
      </c>
      <c r="Q287" t="s">
        <v>3069</v>
      </c>
      <c r="R287" t="s">
        <v>4281</v>
      </c>
      <c r="S287">
        <v>308.01</v>
      </c>
    </row>
    <row r="288" spans="1:19" x14ac:dyDescent="0.3">
      <c r="A288" t="s">
        <v>935</v>
      </c>
      <c r="B288" s="3">
        <v>45131</v>
      </c>
      <c r="C288" t="s">
        <v>2131</v>
      </c>
      <c r="D288" t="s">
        <v>2405</v>
      </c>
      <c r="E288">
        <v>1</v>
      </c>
      <c r="F288">
        <v>438.93</v>
      </c>
      <c r="G288" t="s">
        <v>2980</v>
      </c>
      <c r="H288" t="s">
        <v>3068</v>
      </c>
      <c r="I288" t="s">
        <v>3071</v>
      </c>
      <c r="J288" t="s">
        <v>3996</v>
      </c>
      <c r="K288">
        <v>3</v>
      </c>
      <c r="L288" t="s">
        <v>4275</v>
      </c>
      <c r="M288" t="s">
        <v>4279</v>
      </c>
      <c r="N288">
        <v>438.93</v>
      </c>
      <c r="O288" t="s">
        <v>4290</v>
      </c>
      <c r="P288" t="s">
        <v>2980</v>
      </c>
      <c r="Q288" t="s">
        <v>3068</v>
      </c>
      <c r="R288" t="s">
        <v>4279</v>
      </c>
      <c r="S288">
        <v>146.31</v>
      </c>
    </row>
    <row r="289" spans="1:19" x14ac:dyDescent="0.3">
      <c r="A289" t="s">
        <v>341</v>
      </c>
      <c r="B289" s="3">
        <v>45132</v>
      </c>
      <c r="C289" t="s">
        <v>1541</v>
      </c>
      <c r="D289" t="s">
        <v>2404</v>
      </c>
      <c r="E289">
        <v>1</v>
      </c>
      <c r="F289">
        <v>359.99</v>
      </c>
      <c r="G289" t="s">
        <v>2471</v>
      </c>
      <c r="H289" t="s">
        <v>3068</v>
      </c>
      <c r="I289" t="s">
        <v>3071</v>
      </c>
      <c r="J289" t="s">
        <v>3402</v>
      </c>
      <c r="K289">
        <v>5</v>
      </c>
      <c r="L289" t="s">
        <v>4275</v>
      </c>
      <c r="M289" t="s">
        <v>4280</v>
      </c>
      <c r="N289">
        <v>359.99</v>
      </c>
      <c r="O289" t="s">
        <v>4290</v>
      </c>
      <c r="P289" t="s">
        <v>2471</v>
      </c>
      <c r="Q289" t="s">
        <v>3068</v>
      </c>
      <c r="R289" t="s">
        <v>4280</v>
      </c>
      <c r="S289">
        <v>72</v>
      </c>
    </row>
    <row r="290" spans="1:19" x14ac:dyDescent="0.3">
      <c r="A290" t="s">
        <v>520</v>
      </c>
      <c r="B290" s="3">
        <v>45132</v>
      </c>
      <c r="C290" t="s">
        <v>1720</v>
      </c>
      <c r="D290" t="s">
        <v>2403</v>
      </c>
      <c r="E290">
        <v>2</v>
      </c>
      <c r="F290">
        <v>43.67</v>
      </c>
      <c r="G290" t="s">
        <v>2796</v>
      </c>
      <c r="H290" t="s">
        <v>3069</v>
      </c>
      <c r="I290" t="s">
        <v>3072</v>
      </c>
      <c r="J290" t="s">
        <v>3581</v>
      </c>
      <c r="K290">
        <v>4</v>
      </c>
      <c r="L290" t="s">
        <v>4277</v>
      </c>
      <c r="M290" t="s">
        <v>4278</v>
      </c>
      <c r="N290">
        <v>87.34</v>
      </c>
      <c r="O290" t="s">
        <v>4290</v>
      </c>
      <c r="P290" t="s">
        <v>2796</v>
      </c>
      <c r="Q290" t="s">
        <v>3069</v>
      </c>
      <c r="R290" t="s">
        <v>4278</v>
      </c>
      <c r="S290">
        <v>21.84</v>
      </c>
    </row>
    <row r="291" spans="1:19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">
        <v>4290</v>
      </c>
      <c r="P291" t="s">
        <v>2420</v>
      </c>
      <c r="Q291" t="s">
        <v>3067</v>
      </c>
      <c r="R291" t="s">
        <v>4279</v>
      </c>
      <c r="S291">
        <v>80.239999999999995</v>
      </c>
    </row>
    <row r="292" spans="1:19" x14ac:dyDescent="0.3">
      <c r="A292" t="s">
        <v>176</v>
      </c>
      <c r="B292" s="3">
        <v>45134</v>
      </c>
      <c r="C292" t="s">
        <v>1376</v>
      </c>
      <c r="D292" t="s">
        <v>2406</v>
      </c>
      <c r="E292">
        <v>3</v>
      </c>
      <c r="F292">
        <v>65.86</v>
      </c>
      <c r="G292" t="s">
        <v>2479</v>
      </c>
      <c r="H292" t="s">
        <v>3066</v>
      </c>
      <c r="I292" t="s">
        <v>3074</v>
      </c>
      <c r="J292" t="s">
        <v>3237</v>
      </c>
      <c r="K292">
        <v>8</v>
      </c>
      <c r="L292" t="s">
        <v>4277</v>
      </c>
      <c r="M292" t="s">
        <v>4282</v>
      </c>
      <c r="N292">
        <v>197.58</v>
      </c>
      <c r="O292" t="s">
        <v>4290</v>
      </c>
      <c r="P292" t="s">
        <v>2479</v>
      </c>
      <c r="Q292" t="s">
        <v>3066</v>
      </c>
      <c r="R292" t="s">
        <v>4282</v>
      </c>
      <c r="S292">
        <v>24.7</v>
      </c>
    </row>
    <row r="293" spans="1:19" x14ac:dyDescent="0.3">
      <c r="A293" t="s">
        <v>295</v>
      </c>
      <c r="B293" s="3">
        <v>45134</v>
      </c>
      <c r="C293" t="s">
        <v>1495</v>
      </c>
      <c r="D293" t="s">
        <v>2409</v>
      </c>
      <c r="E293">
        <v>4</v>
      </c>
      <c r="F293">
        <v>654.79</v>
      </c>
      <c r="G293" t="s">
        <v>2651</v>
      </c>
      <c r="H293" t="s">
        <v>3069</v>
      </c>
      <c r="I293" t="s">
        <v>3074</v>
      </c>
      <c r="J293" t="s">
        <v>3356</v>
      </c>
      <c r="K293">
        <v>9</v>
      </c>
      <c r="L293" t="s">
        <v>4283</v>
      </c>
      <c r="M293" t="s">
        <v>4279</v>
      </c>
      <c r="N293">
        <v>2619.16</v>
      </c>
      <c r="O293" t="s">
        <v>4290</v>
      </c>
      <c r="P293" t="s">
        <v>2651</v>
      </c>
      <c r="Q293" t="s">
        <v>3069</v>
      </c>
      <c r="R293" t="s">
        <v>4279</v>
      </c>
      <c r="S293">
        <v>291.02</v>
      </c>
    </row>
    <row r="294" spans="1:19" x14ac:dyDescent="0.3">
      <c r="A294" t="s">
        <v>1195</v>
      </c>
      <c r="B294" s="3">
        <v>45134</v>
      </c>
      <c r="C294" t="s">
        <v>2384</v>
      </c>
      <c r="D294" t="s">
        <v>2409</v>
      </c>
      <c r="E294">
        <v>3</v>
      </c>
      <c r="F294">
        <v>158.74</v>
      </c>
      <c r="G294" t="s">
        <v>2694</v>
      </c>
      <c r="H294" t="s">
        <v>3066</v>
      </c>
      <c r="I294" t="s">
        <v>3074</v>
      </c>
      <c r="J294" t="s">
        <v>4256</v>
      </c>
      <c r="K294">
        <v>7</v>
      </c>
      <c r="L294" t="s">
        <v>4276</v>
      </c>
      <c r="M294" t="s">
        <v>4278</v>
      </c>
      <c r="N294">
        <v>476.22</v>
      </c>
      <c r="O294" t="s">
        <v>4290</v>
      </c>
      <c r="P294" t="s">
        <v>2694</v>
      </c>
      <c r="Q294" t="s">
        <v>3066</v>
      </c>
      <c r="R294" t="s">
        <v>4278</v>
      </c>
      <c r="S294">
        <v>68.03</v>
      </c>
    </row>
    <row r="295" spans="1:19" x14ac:dyDescent="0.3">
      <c r="A295" t="s">
        <v>799</v>
      </c>
      <c r="B295" s="3">
        <v>45136</v>
      </c>
      <c r="C295" t="s">
        <v>1996</v>
      </c>
      <c r="D295" t="s">
        <v>2406</v>
      </c>
      <c r="E295">
        <v>1</v>
      </c>
      <c r="F295">
        <v>176.1</v>
      </c>
      <c r="G295" t="s">
        <v>2920</v>
      </c>
      <c r="H295" t="s">
        <v>3067</v>
      </c>
      <c r="I295" t="s">
        <v>3074</v>
      </c>
      <c r="J295" t="s">
        <v>3860</v>
      </c>
      <c r="K295">
        <v>1</v>
      </c>
      <c r="L295" t="s">
        <v>4275</v>
      </c>
      <c r="M295" t="s">
        <v>4278</v>
      </c>
      <c r="N295">
        <v>176.1</v>
      </c>
      <c r="O295" t="s">
        <v>4290</v>
      </c>
      <c r="P295" t="s">
        <v>2920</v>
      </c>
      <c r="Q295" t="s">
        <v>3067</v>
      </c>
      <c r="R295" t="s">
        <v>4278</v>
      </c>
      <c r="S295">
        <v>176.1</v>
      </c>
    </row>
    <row r="296" spans="1:19" x14ac:dyDescent="0.3">
      <c r="A296" t="s">
        <v>64</v>
      </c>
      <c r="B296" s="3">
        <v>45138</v>
      </c>
      <c r="C296" t="s">
        <v>1264</v>
      </c>
      <c r="D296" t="s">
        <v>2405</v>
      </c>
      <c r="E296">
        <v>1</v>
      </c>
      <c r="F296">
        <v>179.22</v>
      </c>
      <c r="G296" t="s">
        <v>2457</v>
      </c>
      <c r="H296" t="s">
        <v>3066</v>
      </c>
      <c r="I296" t="s">
        <v>3071</v>
      </c>
      <c r="J296" t="s">
        <v>3125</v>
      </c>
      <c r="K296">
        <v>6</v>
      </c>
      <c r="L296" t="s">
        <v>4276</v>
      </c>
      <c r="M296" t="s">
        <v>4278</v>
      </c>
      <c r="N296">
        <v>179.22</v>
      </c>
      <c r="O296" t="s">
        <v>4290</v>
      </c>
      <c r="P296" t="s">
        <v>2457</v>
      </c>
      <c r="Q296" t="s">
        <v>3066</v>
      </c>
      <c r="R296" t="s">
        <v>4278</v>
      </c>
      <c r="S296">
        <v>29.87</v>
      </c>
    </row>
    <row r="297" spans="1:19" x14ac:dyDescent="0.3">
      <c r="A297" t="s">
        <v>1180</v>
      </c>
      <c r="B297" s="3">
        <v>45138</v>
      </c>
      <c r="C297" t="s">
        <v>2369</v>
      </c>
      <c r="D297" t="s">
        <v>2406</v>
      </c>
      <c r="E297">
        <v>3</v>
      </c>
      <c r="F29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>
        <v>4</v>
      </c>
      <c r="L297" t="s">
        <v>4277</v>
      </c>
      <c r="M297" t="s">
        <v>4280</v>
      </c>
      <c r="N297">
        <v>973.41000000000008</v>
      </c>
      <c r="O297" t="s">
        <v>4290</v>
      </c>
      <c r="P297" t="s">
        <v>2486</v>
      </c>
      <c r="Q297" t="s">
        <v>3069</v>
      </c>
      <c r="R297" t="s">
        <v>4280</v>
      </c>
      <c r="S297">
        <v>243.35</v>
      </c>
    </row>
    <row r="298" spans="1:19" x14ac:dyDescent="0.3">
      <c r="A298" t="s">
        <v>499</v>
      </c>
      <c r="B298" s="3">
        <v>45139</v>
      </c>
      <c r="C298" t="s">
        <v>1699</v>
      </c>
      <c r="D298" t="s">
        <v>2406</v>
      </c>
      <c r="E298">
        <v>3</v>
      </c>
      <c r="F298">
        <v>404.79</v>
      </c>
      <c r="G298" t="s">
        <v>2783</v>
      </c>
      <c r="H298" t="s">
        <v>3069</v>
      </c>
      <c r="I298" t="s">
        <v>3070</v>
      </c>
      <c r="J298" t="s">
        <v>3560</v>
      </c>
      <c r="K298">
        <v>6</v>
      </c>
      <c r="L298" t="s">
        <v>4275</v>
      </c>
      <c r="M298" t="s">
        <v>4278</v>
      </c>
      <c r="N298">
        <v>1214.3699999999999</v>
      </c>
      <c r="O298" t="s">
        <v>4290</v>
      </c>
      <c r="P298" t="s">
        <v>2783</v>
      </c>
      <c r="Q298" t="s">
        <v>3069</v>
      </c>
      <c r="R298" t="s">
        <v>4278</v>
      </c>
      <c r="S298">
        <v>202.4</v>
      </c>
    </row>
    <row r="299" spans="1:19" x14ac:dyDescent="0.3">
      <c r="A299" t="s">
        <v>607</v>
      </c>
      <c r="B299" s="3">
        <v>45140</v>
      </c>
      <c r="C299" t="s">
        <v>1807</v>
      </c>
      <c r="D299" t="s">
        <v>2403</v>
      </c>
      <c r="E299">
        <v>1</v>
      </c>
      <c r="F299">
        <v>489.8</v>
      </c>
      <c r="G299" t="s">
        <v>2535</v>
      </c>
      <c r="H299" t="s">
        <v>3068</v>
      </c>
      <c r="I299" t="s">
        <v>3070</v>
      </c>
      <c r="J299" t="s">
        <v>3668</v>
      </c>
      <c r="K299">
        <v>4</v>
      </c>
      <c r="L299" t="s">
        <v>4276</v>
      </c>
      <c r="M299" t="s">
        <v>4281</v>
      </c>
      <c r="N299">
        <v>489.8</v>
      </c>
      <c r="O299" t="s">
        <v>4290</v>
      </c>
      <c r="P299" t="s">
        <v>2535</v>
      </c>
      <c r="Q299" t="s">
        <v>3068</v>
      </c>
      <c r="R299" t="s">
        <v>4281</v>
      </c>
      <c r="S299">
        <v>122.45</v>
      </c>
    </row>
    <row r="300" spans="1:19" x14ac:dyDescent="0.3">
      <c r="A300" t="s">
        <v>889</v>
      </c>
      <c r="B300" s="3">
        <v>45141</v>
      </c>
      <c r="C300" t="s">
        <v>2085</v>
      </c>
      <c r="D300" t="s">
        <v>2408</v>
      </c>
      <c r="E300">
        <v>5</v>
      </c>
      <c r="F300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>
        <v>6</v>
      </c>
      <c r="L300" t="s">
        <v>4276</v>
      </c>
      <c r="M300" t="s">
        <v>4279</v>
      </c>
      <c r="N300">
        <v>666.94999999999993</v>
      </c>
      <c r="O300" t="s">
        <v>4290</v>
      </c>
      <c r="P300" t="s">
        <v>2496</v>
      </c>
      <c r="Q300" t="s">
        <v>3067</v>
      </c>
      <c r="R300" t="s">
        <v>4279</v>
      </c>
      <c r="S300">
        <v>111.16</v>
      </c>
    </row>
    <row r="301" spans="1:19" x14ac:dyDescent="0.3">
      <c r="A301" t="s">
        <v>1184</v>
      </c>
      <c r="B301" s="3">
        <v>45141</v>
      </c>
      <c r="C301" t="s">
        <v>2373</v>
      </c>
      <c r="D301" t="s">
        <v>2407</v>
      </c>
      <c r="E301">
        <v>2</v>
      </c>
      <c r="F301">
        <v>697.19</v>
      </c>
      <c r="G301" t="s">
        <v>2607</v>
      </c>
      <c r="H301" t="s">
        <v>3069</v>
      </c>
      <c r="I301" t="s">
        <v>3072</v>
      </c>
      <c r="J301" t="s">
        <v>4245</v>
      </c>
      <c r="K301">
        <v>7</v>
      </c>
      <c r="L301" t="s">
        <v>4276</v>
      </c>
      <c r="M301" t="s">
        <v>4280</v>
      </c>
      <c r="N301">
        <v>1394.38</v>
      </c>
      <c r="O301" t="s">
        <v>4290</v>
      </c>
      <c r="P301" t="s">
        <v>2607</v>
      </c>
      <c r="Q301" t="s">
        <v>3069</v>
      </c>
      <c r="R301" t="s">
        <v>4280</v>
      </c>
      <c r="S301">
        <v>199.2</v>
      </c>
    </row>
    <row r="302" spans="1:19" x14ac:dyDescent="0.3">
      <c r="A302" t="s">
        <v>149</v>
      </c>
      <c r="B302" s="3">
        <v>45142</v>
      </c>
      <c r="C302" t="s">
        <v>1349</v>
      </c>
      <c r="D302" t="s">
        <v>2407</v>
      </c>
      <c r="E302">
        <v>2</v>
      </c>
      <c r="F302">
        <v>68.81</v>
      </c>
      <c r="G302" t="s">
        <v>2536</v>
      </c>
      <c r="H302" t="s">
        <v>3068</v>
      </c>
      <c r="I302" t="s">
        <v>3070</v>
      </c>
      <c r="J302" t="s">
        <v>3210</v>
      </c>
      <c r="K302">
        <v>5</v>
      </c>
      <c r="L302" t="s">
        <v>4275</v>
      </c>
      <c r="M302" t="s">
        <v>4279</v>
      </c>
      <c r="N302">
        <v>137.62</v>
      </c>
      <c r="O302" t="s">
        <v>4290</v>
      </c>
      <c r="P302" t="s">
        <v>2536</v>
      </c>
      <c r="Q302" t="s">
        <v>3068</v>
      </c>
      <c r="R302" t="s">
        <v>4279</v>
      </c>
      <c r="S302">
        <v>27.52</v>
      </c>
    </row>
    <row r="303" spans="1:19" x14ac:dyDescent="0.3">
      <c r="A303" t="s">
        <v>158</v>
      </c>
      <c r="B303" s="3">
        <v>45142</v>
      </c>
      <c r="C303" t="s">
        <v>1358</v>
      </c>
      <c r="D303" t="s">
        <v>2409</v>
      </c>
      <c r="E303">
        <v>5</v>
      </c>
      <c r="F303">
        <v>219.78</v>
      </c>
      <c r="G303" t="s">
        <v>2440</v>
      </c>
      <c r="H303" t="s">
        <v>3067</v>
      </c>
      <c r="I303" t="s">
        <v>3074</v>
      </c>
      <c r="J303" t="s">
        <v>3219</v>
      </c>
      <c r="K303">
        <v>8</v>
      </c>
      <c r="L303" t="s">
        <v>4283</v>
      </c>
      <c r="M303" t="s">
        <v>4281</v>
      </c>
      <c r="N303">
        <v>1098.9000000000001</v>
      </c>
      <c r="O303" t="s">
        <v>4290</v>
      </c>
      <c r="P303" t="s">
        <v>2440</v>
      </c>
      <c r="Q303" t="s">
        <v>3067</v>
      </c>
      <c r="R303" t="s">
        <v>4281</v>
      </c>
      <c r="S303">
        <v>137.36000000000001</v>
      </c>
    </row>
    <row r="304" spans="1:19" x14ac:dyDescent="0.3">
      <c r="A304" t="s">
        <v>191</v>
      </c>
      <c r="B304" s="3">
        <v>45143</v>
      </c>
      <c r="C304" t="s">
        <v>1391</v>
      </c>
      <c r="D304" t="s">
        <v>2406</v>
      </c>
      <c r="E304">
        <v>5</v>
      </c>
      <c r="F304">
        <v>431.69</v>
      </c>
      <c r="G304" t="s">
        <v>2569</v>
      </c>
      <c r="H304" t="s">
        <v>3067</v>
      </c>
      <c r="I304" t="s">
        <v>3074</v>
      </c>
      <c r="J304" t="s">
        <v>3252</v>
      </c>
      <c r="K304">
        <v>10</v>
      </c>
      <c r="L304" t="s">
        <v>4283</v>
      </c>
      <c r="M304" t="s">
        <v>4281</v>
      </c>
      <c r="N304">
        <v>2158.4499999999998</v>
      </c>
      <c r="O304" t="s">
        <v>4290</v>
      </c>
      <c r="P304" t="s">
        <v>2569</v>
      </c>
      <c r="Q304" t="s">
        <v>3067</v>
      </c>
      <c r="R304" t="s">
        <v>4281</v>
      </c>
      <c r="S304">
        <v>215.84</v>
      </c>
    </row>
    <row r="305" spans="1:19" x14ac:dyDescent="0.3">
      <c r="A305" t="s">
        <v>641</v>
      </c>
      <c r="B305" s="3">
        <v>45144</v>
      </c>
      <c r="C305" t="s">
        <v>1840</v>
      </c>
      <c r="D305" t="s">
        <v>2406</v>
      </c>
      <c r="E305">
        <v>3</v>
      </c>
      <c r="F305">
        <v>498.68</v>
      </c>
      <c r="G305" t="s">
        <v>2812</v>
      </c>
      <c r="H305" t="s">
        <v>3066</v>
      </c>
      <c r="I305" t="s">
        <v>3072</v>
      </c>
      <c r="J305" t="s">
        <v>3702</v>
      </c>
      <c r="K305">
        <v>4</v>
      </c>
      <c r="L305" t="s">
        <v>4276</v>
      </c>
      <c r="M305" t="s">
        <v>4280</v>
      </c>
      <c r="N305">
        <v>1496.04</v>
      </c>
      <c r="O305" t="s">
        <v>4290</v>
      </c>
      <c r="P305" t="s">
        <v>2812</v>
      </c>
      <c r="Q305" t="s">
        <v>3066</v>
      </c>
      <c r="R305" t="s">
        <v>4280</v>
      </c>
      <c r="S305">
        <v>374.01</v>
      </c>
    </row>
    <row r="306" spans="1:19" x14ac:dyDescent="0.3">
      <c r="A306" t="s">
        <v>555</v>
      </c>
      <c r="B306" s="3">
        <v>45145</v>
      </c>
      <c r="C306" t="s">
        <v>1755</v>
      </c>
      <c r="D306" t="s">
        <v>2407</v>
      </c>
      <c r="E306">
        <v>5</v>
      </c>
      <c r="F306">
        <v>456.06</v>
      </c>
      <c r="G306" t="s">
        <v>2812</v>
      </c>
      <c r="H306" t="s">
        <v>3069</v>
      </c>
      <c r="I306" t="s">
        <v>3074</v>
      </c>
      <c r="J306" t="s">
        <v>3616</v>
      </c>
      <c r="K306">
        <v>10</v>
      </c>
      <c r="L306" t="s">
        <v>4283</v>
      </c>
      <c r="M306" t="s">
        <v>4278</v>
      </c>
      <c r="N306">
        <v>2280.3000000000002</v>
      </c>
      <c r="O306" t="s">
        <v>4290</v>
      </c>
      <c r="P306" t="s">
        <v>2812</v>
      </c>
      <c r="Q306" t="s">
        <v>3069</v>
      </c>
      <c r="R306" t="s">
        <v>4278</v>
      </c>
      <c r="S306">
        <v>228.03</v>
      </c>
    </row>
    <row r="307" spans="1:19" x14ac:dyDescent="0.3">
      <c r="A307" t="s">
        <v>335</v>
      </c>
      <c r="B307" s="3">
        <v>45147</v>
      </c>
      <c r="C307" t="s">
        <v>1535</v>
      </c>
      <c r="D307" t="s">
        <v>2404</v>
      </c>
      <c r="E307">
        <v>4</v>
      </c>
      <c r="F307">
        <v>152.29</v>
      </c>
      <c r="G307" t="s">
        <v>2670</v>
      </c>
      <c r="H307" t="s">
        <v>3065</v>
      </c>
      <c r="I307" t="s">
        <v>3071</v>
      </c>
      <c r="J307" t="s">
        <v>3396</v>
      </c>
      <c r="K307">
        <v>6</v>
      </c>
      <c r="L307" t="s">
        <v>4277</v>
      </c>
      <c r="M307" t="s">
        <v>4282</v>
      </c>
      <c r="N307">
        <v>609.16</v>
      </c>
      <c r="O307" t="s">
        <v>4290</v>
      </c>
      <c r="P307" t="s">
        <v>2670</v>
      </c>
      <c r="Q307" t="s">
        <v>3065</v>
      </c>
      <c r="R307" t="s">
        <v>4282</v>
      </c>
      <c r="S307">
        <v>101.53</v>
      </c>
    </row>
    <row r="308" spans="1:19" x14ac:dyDescent="0.3">
      <c r="A308" t="s">
        <v>141</v>
      </c>
      <c r="B308" s="3">
        <v>45148</v>
      </c>
      <c r="C308" t="s">
        <v>1341</v>
      </c>
      <c r="D308" t="s">
        <v>2409</v>
      </c>
      <c r="E308">
        <v>3</v>
      </c>
      <c r="F308">
        <v>469.32</v>
      </c>
      <c r="G308" t="s">
        <v>2529</v>
      </c>
      <c r="H308" t="s">
        <v>3065</v>
      </c>
      <c r="I308" t="s">
        <v>3070</v>
      </c>
      <c r="J308" t="s">
        <v>3202</v>
      </c>
      <c r="K308">
        <v>3</v>
      </c>
      <c r="L308" t="s">
        <v>4283</v>
      </c>
      <c r="M308" t="s">
        <v>4282</v>
      </c>
      <c r="N308">
        <v>1407.96</v>
      </c>
      <c r="O308" t="s">
        <v>4290</v>
      </c>
      <c r="P308" t="s">
        <v>2529</v>
      </c>
      <c r="Q308" t="s">
        <v>3065</v>
      </c>
      <c r="R308" t="s">
        <v>4282</v>
      </c>
      <c r="S308">
        <v>469.32</v>
      </c>
    </row>
    <row r="309" spans="1:19" x14ac:dyDescent="0.3">
      <c r="A309" t="s">
        <v>229</v>
      </c>
      <c r="B309" s="3">
        <v>45148</v>
      </c>
      <c r="C309" t="s">
        <v>1429</v>
      </c>
      <c r="D309" t="s">
        <v>2407</v>
      </c>
      <c r="E309">
        <v>1</v>
      </c>
      <c r="F309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>
        <v>5</v>
      </c>
      <c r="L309" t="s">
        <v>4276</v>
      </c>
      <c r="M309" t="s">
        <v>4281</v>
      </c>
      <c r="N309">
        <v>303.60000000000002</v>
      </c>
      <c r="O309" t="s">
        <v>4290</v>
      </c>
      <c r="P309" t="s">
        <v>2597</v>
      </c>
      <c r="Q309" t="s">
        <v>3069</v>
      </c>
      <c r="R309" t="s">
        <v>4281</v>
      </c>
      <c r="S309">
        <v>60.72</v>
      </c>
    </row>
    <row r="310" spans="1:19" x14ac:dyDescent="0.3">
      <c r="A310" t="s">
        <v>206</v>
      </c>
      <c r="B310" s="3">
        <v>45149</v>
      </c>
      <c r="C310" t="s">
        <v>1406</v>
      </c>
      <c r="D310" t="s">
        <v>2409</v>
      </c>
      <c r="E310">
        <v>1</v>
      </c>
      <c r="F310">
        <v>645.46</v>
      </c>
      <c r="G310" t="s">
        <v>2541</v>
      </c>
      <c r="H310" t="s">
        <v>3068</v>
      </c>
      <c r="I310" t="s">
        <v>3071</v>
      </c>
      <c r="J310" t="s">
        <v>3267</v>
      </c>
      <c r="K310">
        <v>5</v>
      </c>
      <c r="L310" t="s">
        <v>4275</v>
      </c>
      <c r="M310" t="s">
        <v>4282</v>
      </c>
      <c r="N310">
        <v>645.46</v>
      </c>
      <c r="O310" t="s">
        <v>4290</v>
      </c>
      <c r="P310" t="s">
        <v>2541</v>
      </c>
      <c r="Q310" t="s">
        <v>3068</v>
      </c>
      <c r="R310" t="s">
        <v>4282</v>
      </c>
      <c r="S310">
        <v>129.09</v>
      </c>
    </row>
    <row r="311" spans="1:19" x14ac:dyDescent="0.3">
      <c r="A311" t="s">
        <v>282</v>
      </c>
      <c r="B311" s="3">
        <v>45149</v>
      </c>
      <c r="C311" t="s">
        <v>1482</v>
      </c>
      <c r="D311" t="s">
        <v>2404</v>
      </c>
      <c r="E311">
        <v>2</v>
      </c>
      <c r="F311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>
        <v>847.76</v>
      </c>
      <c r="O311" t="s">
        <v>4290</v>
      </c>
      <c r="P311" t="s">
        <v>2639</v>
      </c>
      <c r="Q311" t="s">
        <v>3065</v>
      </c>
      <c r="R311" t="s">
        <v>4279</v>
      </c>
      <c r="S311">
        <v>121.11</v>
      </c>
    </row>
    <row r="312" spans="1:19" x14ac:dyDescent="0.3">
      <c r="A312" t="s">
        <v>904</v>
      </c>
      <c r="B312" s="3">
        <v>45149</v>
      </c>
      <c r="C312" t="s">
        <v>2100</v>
      </c>
      <c r="D312" t="s">
        <v>2408</v>
      </c>
      <c r="E312">
        <v>3</v>
      </c>
      <c r="F312">
        <v>439.53</v>
      </c>
      <c r="G312" t="s">
        <v>2781</v>
      </c>
      <c r="H312" t="s">
        <v>3065</v>
      </c>
      <c r="I312" t="s">
        <v>3074</v>
      </c>
      <c r="J312" t="s">
        <v>3965</v>
      </c>
      <c r="K312">
        <v>5</v>
      </c>
      <c r="L312" t="s">
        <v>4283</v>
      </c>
      <c r="M312" t="s">
        <v>4282</v>
      </c>
      <c r="N312">
        <v>1318.59</v>
      </c>
      <c r="O312" t="s">
        <v>4290</v>
      </c>
      <c r="P312" t="s">
        <v>2781</v>
      </c>
      <c r="Q312" t="s">
        <v>3065</v>
      </c>
      <c r="R312" t="s">
        <v>4282</v>
      </c>
      <c r="S312">
        <v>263.72000000000003</v>
      </c>
    </row>
    <row r="313" spans="1:19" x14ac:dyDescent="0.3">
      <c r="A313" t="s">
        <v>421</v>
      </c>
      <c r="B313" s="3">
        <v>45151</v>
      </c>
      <c r="C313" t="s">
        <v>1621</v>
      </c>
      <c r="D313" t="s">
        <v>2405</v>
      </c>
      <c r="E313">
        <v>4</v>
      </c>
      <c r="F313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>
        <v>8</v>
      </c>
      <c r="L313" t="s">
        <v>4276</v>
      </c>
      <c r="M313" t="s">
        <v>4278</v>
      </c>
      <c r="N313">
        <v>2189.2800000000002</v>
      </c>
      <c r="O313" t="s">
        <v>4290</v>
      </c>
      <c r="P313" t="s">
        <v>2634</v>
      </c>
      <c r="Q313" t="s">
        <v>3069</v>
      </c>
      <c r="R313" t="s">
        <v>4278</v>
      </c>
      <c r="S313">
        <v>273.66000000000003</v>
      </c>
    </row>
    <row r="314" spans="1:19" x14ac:dyDescent="0.3">
      <c r="A314" t="s">
        <v>1169</v>
      </c>
      <c r="B314" s="3">
        <v>45151</v>
      </c>
      <c r="C314" t="s">
        <v>2358</v>
      </c>
      <c r="D314" t="s">
        <v>2407</v>
      </c>
      <c r="E314">
        <v>4</v>
      </c>
      <c r="F314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>
        <v>6</v>
      </c>
      <c r="L314" t="s">
        <v>4276</v>
      </c>
      <c r="M314" t="s">
        <v>4281</v>
      </c>
      <c r="N314">
        <v>2138.2800000000002</v>
      </c>
      <c r="O314" t="s">
        <v>4290</v>
      </c>
      <c r="P314" t="s">
        <v>2558</v>
      </c>
      <c r="Q314" t="s">
        <v>3067</v>
      </c>
      <c r="R314" t="s">
        <v>4281</v>
      </c>
      <c r="S314">
        <v>356.38</v>
      </c>
    </row>
    <row r="315" spans="1:19" x14ac:dyDescent="0.3">
      <c r="A315" t="s">
        <v>1190</v>
      </c>
      <c r="B315" s="3">
        <v>45151</v>
      </c>
      <c r="C315" t="s">
        <v>2379</v>
      </c>
      <c r="D315" t="s">
        <v>2405</v>
      </c>
      <c r="E315">
        <v>2</v>
      </c>
      <c r="F315">
        <v>213.83</v>
      </c>
      <c r="G315" t="s">
        <v>3056</v>
      </c>
      <c r="H315" t="s">
        <v>3065</v>
      </c>
      <c r="I315" t="s">
        <v>3071</v>
      </c>
      <c r="J315" t="s">
        <v>4251</v>
      </c>
      <c r="K315">
        <v>2</v>
      </c>
      <c r="L315" t="s">
        <v>4277</v>
      </c>
      <c r="M315" t="s">
        <v>4280</v>
      </c>
      <c r="N315">
        <v>427.66</v>
      </c>
      <c r="O315" t="s">
        <v>4290</v>
      </c>
      <c r="P315" t="s">
        <v>3056</v>
      </c>
      <c r="Q315" t="s">
        <v>3065</v>
      </c>
      <c r="R315" t="s">
        <v>4280</v>
      </c>
      <c r="S315">
        <v>213.83</v>
      </c>
    </row>
    <row r="316" spans="1:19" x14ac:dyDescent="0.3">
      <c r="A316" t="s">
        <v>185</v>
      </c>
      <c r="B316" s="3">
        <v>45153</v>
      </c>
      <c r="C316" t="s">
        <v>1385</v>
      </c>
      <c r="D316" t="s">
        <v>2405</v>
      </c>
      <c r="E316">
        <v>2</v>
      </c>
      <c r="F316">
        <v>148.22</v>
      </c>
      <c r="G316" t="s">
        <v>2564</v>
      </c>
      <c r="H316" t="s">
        <v>3067</v>
      </c>
      <c r="I316" t="s">
        <v>3073</v>
      </c>
      <c r="J316" t="s">
        <v>3246</v>
      </c>
      <c r="K316">
        <v>7</v>
      </c>
      <c r="L316" t="s">
        <v>4277</v>
      </c>
      <c r="M316" t="s">
        <v>4278</v>
      </c>
      <c r="N316">
        <v>296.44</v>
      </c>
      <c r="O316" t="s">
        <v>4290</v>
      </c>
      <c r="P316" t="s">
        <v>2564</v>
      </c>
      <c r="Q316" t="s">
        <v>3067</v>
      </c>
      <c r="R316" t="s">
        <v>4278</v>
      </c>
      <c r="S316">
        <v>42.35</v>
      </c>
    </row>
    <row r="317" spans="1:19" x14ac:dyDescent="0.3">
      <c r="A317" t="s">
        <v>803</v>
      </c>
      <c r="B317" s="3">
        <v>45155</v>
      </c>
      <c r="C317" t="s">
        <v>2000</v>
      </c>
      <c r="D317" t="s">
        <v>2405</v>
      </c>
      <c r="E317">
        <v>5</v>
      </c>
      <c r="F317">
        <v>691.28</v>
      </c>
      <c r="G317" t="s">
        <v>2924</v>
      </c>
      <c r="H317" t="s">
        <v>3066</v>
      </c>
      <c r="I317" t="s">
        <v>3073</v>
      </c>
      <c r="J317" t="s">
        <v>3864</v>
      </c>
      <c r="K317">
        <v>10</v>
      </c>
      <c r="L317" t="s">
        <v>4275</v>
      </c>
      <c r="M317" t="s">
        <v>4280</v>
      </c>
      <c r="N317">
        <v>3456.4</v>
      </c>
      <c r="O317" t="s">
        <v>4290</v>
      </c>
      <c r="P317" t="s">
        <v>2924</v>
      </c>
      <c r="Q317" t="s">
        <v>3066</v>
      </c>
      <c r="R317" t="s">
        <v>4280</v>
      </c>
      <c r="S317">
        <v>345.64</v>
      </c>
    </row>
    <row r="318" spans="1:19" x14ac:dyDescent="0.3">
      <c r="A318" t="s">
        <v>1114</v>
      </c>
      <c r="B318" s="3">
        <v>45155</v>
      </c>
      <c r="C318" t="s">
        <v>2306</v>
      </c>
      <c r="D318" t="s">
        <v>2408</v>
      </c>
      <c r="E318">
        <v>5</v>
      </c>
      <c r="F318">
        <v>38.11</v>
      </c>
      <c r="G318" t="s">
        <v>3032</v>
      </c>
      <c r="H318" t="s">
        <v>3065</v>
      </c>
      <c r="I318" t="s">
        <v>3071</v>
      </c>
      <c r="J318" t="s">
        <v>4175</v>
      </c>
      <c r="K318">
        <v>6</v>
      </c>
      <c r="L318" t="s">
        <v>4277</v>
      </c>
      <c r="M318" t="s">
        <v>4278</v>
      </c>
      <c r="N318">
        <v>190.55</v>
      </c>
      <c r="O318" t="s">
        <v>4290</v>
      </c>
      <c r="P318" t="s">
        <v>3032</v>
      </c>
      <c r="Q318" t="s">
        <v>3065</v>
      </c>
      <c r="R318" t="s">
        <v>4278</v>
      </c>
      <c r="S318">
        <v>31.76</v>
      </c>
    </row>
    <row r="319" spans="1:19" x14ac:dyDescent="0.3">
      <c r="A319" t="s">
        <v>1142</v>
      </c>
      <c r="B319" s="3">
        <v>45155</v>
      </c>
      <c r="C319" t="s">
        <v>2332</v>
      </c>
      <c r="D319" t="s">
        <v>2403</v>
      </c>
      <c r="E319">
        <v>3</v>
      </c>
      <c r="F319">
        <v>646.79</v>
      </c>
      <c r="G319" t="s">
        <v>2490</v>
      </c>
      <c r="H319" t="s">
        <v>3069</v>
      </c>
      <c r="I319" t="s">
        <v>3071</v>
      </c>
      <c r="J319" t="s">
        <v>4203</v>
      </c>
      <c r="K319">
        <v>5</v>
      </c>
      <c r="L319" t="s">
        <v>4277</v>
      </c>
      <c r="M319" t="s">
        <v>4282</v>
      </c>
      <c r="N319">
        <v>1940.37</v>
      </c>
      <c r="O319" t="s">
        <v>4290</v>
      </c>
      <c r="P319" t="s">
        <v>2490</v>
      </c>
      <c r="Q319" t="s">
        <v>3069</v>
      </c>
      <c r="R319" t="s">
        <v>4282</v>
      </c>
      <c r="S319">
        <v>388.07</v>
      </c>
    </row>
    <row r="320" spans="1:19" x14ac:dyDescent="0.3">
      <c r="A320" t="s">
        <v>54</v>
      </c>
      <c r="B320" s="3">
        <v>45158</v>
      </c>
      <c r="C320" t="s">
        <v>1254</v>
      </c>
      <c r="D320" t="s">
        <v>2409</v>
      </c>
      <c r="E320">
        <v>2</v>
      </c>
      <c r="F320">
        <v>344.02</v>
      </c>
      <c r="G320" t="s">
        <v>2450</v>
      </c>
      <c r="H320" t="s">
        <v>3066</v>
      </c>
      <c r="I320" t="s">
        <v>3073</v>
      </c>
      <c r="J320" t="s">
        <v>3115</v>
      </c>
      <c r="K320">
        <v>4</v>
      </c>
      <c r="L320" t="s">
        <v>4276</v>
      </c>
      <c r="M320" t="s">
        <v>4278</v>
      </c>
      <c r="N320">
        <v>688.04</v>
      </c>
      <c r="O320" t="s">
        <v>4290</v>
      </c>
      <c r="P320" t="s">
        <v>2450</v>
      </c>
      <c r="Q320" t="s">
        <v>3066</v>
      </c>
      <c r="R320" t="s">
        <v>4278</v>
      </c>
      <c r="S320">
        <v>172.01</v>
      </c>
    </row>
    <row r="321" spans="1:19" x14ac:dyDescent="0.3">
      <c r="A321" t="s">
        <v>561</v>
      </c>
      <c r="B321" s="3">
        <v>45158</v>
      </c>
      <c r="C321" t="s">
        <v>1761</v>
      </c>
      <c r="D321" t="s">
        <v>2404</v>
      </c>
      <c r="E321">
        <v>1</v>
      </c>
      <c r="F321">
        <v>613.98</v>
      </c>
      <c r="G321" t="s">
        <v>2814</v>
      </c>
      <c r="H321" t="s">
        <v>3066</v>
      </c>
      <c r="I321" t="s">
        <v>3073</v>
      </c>
      <c r="J321" t="s">
        <v>3622</v>
      </c>
      <c r="K321">
        <v>4</v>
      </c>
      <c r="L321" t="s">
        <v>4276</v>
      </c>
      <c r="M321" t="s">
        <v>4281</v>
      </c>
      <c r="N321">
        <v>613.98</v>
      </c>
      <c r="O321" t="s">
        <v>4290</v>
      </c>
      <c r="P321" t="s">
        <v>2814</v>
      </c>
      <c r="Q321" t="s">
        <v>3066</v>
      </c>
      <c r="R321" t="s">
        <v>4281</v>
      </c>
      <c r="S321">
        <v>153.5</v>
      </c>
    </row>
    <row r="322" spans="1:19" x14ac:dyDescent="0.3">
      <c r="A322" t="s">
        <v>599</v>
      </c>
      <c r="B322" s="3">
        <v>45158</v>
      </c>
      <c r="C322" t="s">
        <v>1799</v>
      </c>
      <c r="D322" t="s">
        <v>2405</v>
      </c>
      <c r="E322">
        <v>4</v>
      </c>
      <c r="F322">
        <v>67.08</v>
      </c>
      <c r="G322" t="s">
        <v>2709</v>
      </c>
      <c r="H322" t="s">
        <v>3069</v>
      </c>
      <c r="I322" t="s">
        <v>3072</v>
      </c>
      <c r="J322" t="s">
        <v>3660</v>
      </c>
      <c r="K322">
        <v>8</v>
      </c>
      <c r="L322" t="s">
        <v>4277</v>
      </c>
      <c r="M322" t="s">
        <v>4282</v>
      </c>
      <c r="N322">
        <v>268.32</v>
      </c>
      <c r="O322" t="s">
        <v>4290</v>
      </c>
      <c r="P322" t="s">
        <v>2709</v>
      </c>
      <c r="Q322" t="s">
        <v>3069</v>
      </c>
      <c r="R322" t="s">
        <v>4282</v>
      </c>
      <c r="S322">
        <v>33.54</v>
      </c>
    </row>
    <row r="323" spans="1:19" x14ac:dyDescent="0.3">
      <c r="A323" t="s">
        <v>817</v>
      </c>
      <c r="B323" s="3">
        <v>45158</v>
      </c>
      <c r="C323" t="s">
        <v>2013</v>
      </c>
      <c r="D323" t="s">
        <v>2403</v>
      </c>
      <c r="E323">
        <v>5</v>
      </c>
      <c r="F323">
        <v>397.81</v>
      </c>
      <c r="G323" t="s">
        <v>2454</v>
      </c>
      <c r="H323" t="s">
        <v>3065</v>
      </c>
      <c r="I323" t="s">
        <v>3072</v>
      </c>
      <c r="J323" t="s">
        <v>3878</v>
      </c>
      <c r="K323">
        <v>5</v>
      </c>
      <c r="L323" t="s">
        <v>4275</v>
      </c>
      <c r="M323" t="s">
        <v>4279</v>
      </c>
      <c r="N323">
        <v>1989.05</v>
      </c>
      <c r="O323" t="s">
        <v>4290</v>
      </c>
      <c r="P323" t="s">
        <v>2454</v>
      </c>
      <c r="Q323" t="s">
        <v>3065</v>
      </c>
      <c r="R323" t="s">
        <v>4279</v>
      </c>
      <c r="S323">
        <v>397.81</v>
      </c>
    </row>
    <row r="324" spans="1:19" x14ac:dyDescent="0.3">
      <c r="A324" t="s">
        <v>872</v>
      </c>
      <c r="B324" s="3">
        <v>45158</v>
      </c>
      <c r="C324" t="s">
        <v>2068</v>
      </c>
      <c r="D324" t="s">
        <v>2405</v>
      </c>
      <c r="E324">
        <v>5</v>
      </c>
      <c r="F324">
        <v>435.66</v>
      </c>
      <c r="G324" t="s">
        <v>2428</v>
      </c>
      <c r="H324" t="s">
        <v>3066</v>
      </c>
      <c r="I324" t="s">
        <v>3074</v>
      </c>
      <c r="J324" t="s">
        <v>3933</v>
      </c>
      <c r="K324">
        <v>9</v>
      </c>
      <c r="L324" t="s">
        <v>4283</v>
      </c>
      <c r="M324" t="s">
        <v>4281</v>
      </c>
      <c r="N324">
        <v>2178.3000000000002</v>
      </c>
      <c r="O324" t="s">
        <v>4290</v>
      </c>
      <c r="P324" t="s">
        <v>2428</v>
      </c>
      <c r="Q324" t="s">
        <v>3066</v>
      </c>
      <c r="R324" t="s">
        <v>4281</v>
      </c>
      <c r="S324">
        <v>242.03</v>
      </c>
    </row>
    <row r="325" spans="1:19" x14ac:dyDescent="0.3">
      <c r="A325" t="s">
        <v>959</v>
      </c>
      <c r="B325" s="3">
        <v>45158</v>
      </c>
      <c r="C325" t="s">
        <v>2154</v>
      </c>
      <c r="D325" t="s">
        <v>2405</v>
      </c>
      <c r="E325">
        <v>5</v>
      </c>
      <c r="F325">
        <v>276.44</v>
      </c>
      <c r="G325" t="s">
        <v>2695</v>
      </c>
      <c r="H325" t="s">
        <v>3068</v>
      </c>
      <c r="I325" t="s">
        <v>3070</v>
      </c>
      <c r="J325" t="s">
        <v>4020</v>
      </c>
      <c r="K325">
        <v>10</v>
      </c>
      <c r="L325" t="s">
        <v>4276</v>
      </c>
      <c r="M325" t="s">
        <v>4279</v>
      </c>
      <c r="N325">
        <v>1382.2</v>
      </c>
      <c r="O325" t="s">
        <v>4290</v>
      </c>
      <c r="P325" t="s">
        <v>2695</v>
      </c>
      <c r="Q325" t="s">
        <v>3068</v>
      </c>
      <c r="R325" t="s">
        <v>4279</v>
      </c>
      <c r="S325">
        <v>138.22</v>
      </c>
    </row>
    <row r="326" spans="1:19" x14ac:dyDescent="0.3">
      <c r="A326" t="s">
        <v>978</v>
      </c>
      <c r="B326" s="3">
        <v>45158</v>
      </c>
      <c r="C326" t="s">
        <v>2171</v>
      </c>
      <c r="D326" t="s">
        <v>2404</v>
      </c>
      <c r="E326">
        <v>5</v>
      </c>
      <c r="F326">
        <v>364.42</v>
      </c>
      <c r="G326" t="s">
        <v>2730</v>
      </c>
      <c r="H326" t="s">
        <v>3067</v>
      </c>
      <c r="I326" t="s">
        <v>3071</v>
      </c>
      <c r="J326" t="s">
        <v>4039</v>
      </c>
      <c r="K326">
        <v>10</v>
      </c>
      <c r="L326" t="s">
        <v>4275</v>
      </c>
      <c r="M326" t="s">
        <v>4279</v>
      </c>
      <c r="N326">
        <v>1822.1</v>
      </c>
      <c r="O326" t="s">
        <v>4290</v>
      </c>
      <c r="P326" t="s">
        <v>2730</v>
      </c>
      <c r="Q326" t="s">
        <v>3067</v>
      </c>
      <c r="R326" t="s">
        <v>4279</v>
      </c>
      <c r="S326">
        <v>182.21</v>
      </c>
    </row>
    <row r="327" spans="1:19" x14ac:dyDescent="0.3">
      <c r="A327" t="s">
        <v>1064</v>
      </c>
      <c r="B327" s="3">
        <v>45158</v>
      </c>
      <c r="C327" t="s">
        <v>2256</v>
      </c>
      <c r="D327" t="s">
        <v>2408</v>
      </c>
      <c r="E327">
        <v>5</v>
      </c>
      <c r="F327">
        <v>69.7</v>
      </c>
      <c r="G327" t="s">
        <v>2805</v>
      </c>
      <c r="H327" t="s">
        <v>3066</v>
      </c>
      <c r="I327" t="s">
        <v>3072</v>
      </c>
      <c r="J327" t="s">
        <v>4125</v>
      </c>
      <c r="K327">
        <v>9</v>
      </c>
      <c r="L327" t="s">
        <v>4283</v>
      </c>
      <c r="M327" t="s">
        <v>4278</v>
      </c>
      <c r="N327">
        <v>348.5</v>
      </c>
      <c r="O327" t="s">
        <v>4290</v>
      </c>
      <c r="P327" t="s">
        <v>2805</v>
      </c>
      <c r="Q327" t="s">
        <v>3066</v>
      </c>
      <c r="R327" t="s">
        <v>4278</v>
      </c>
      <c r="S327">
        <v>38.72</v>
      </c>
    </row>
    <row r="328" spans="1:19" x14ac:dyDescent="0.3">
      <c r="A328" t="s">
        <v>790</v>
      </c>
      <c r="B328" s="3">
        <v>45159</v>
      </c>
      <c r="C328" t="s">
        <v>1987</v>
      </c>
      <c r="D328" t="s">
        <v>2405</v>
      </c>
      <c r="E328">
        <v>1</v>
      </c>
      <c r="F328">
        <v>21.19</v>
      </c>
      <c r="G328" t="s">
        <v>2917</v>
      </c>
      <c r="H328" t="s">
        <v>3069</v>
      </c>
      <c r="I328" t="s">
        <v>3072</v>
      </c>
      <c r="J328" t="s">
        <v>3851</v>
      </c>
      <c r="K328">
        <v>5</v>
      </c>
      <c r="L328" t="s">
        <v>4277</v>
      </c>
      <c r="M328" t="s">
        <v>4282</v>
      </c>
      <c r="N328">
        <v>21.19</v>
      </c>
      <c r="O328" t="s">
        <v>4290</v>
      </c>
      <c r="P328" t="s">
        <v>2917</v>
      </c>
      <c r="Q328" t="s">
        <v>3069</v>
      </c>
      <c r="R328" t="s">
        <v>4282</v>
      </c>
      <c r="S328">
        <v>4.24</v>
      </c>
    </row>
    <row r="329" spans="1:19" x14ac:dyDescent="0.3">
      <c r="A329" t="s">
        <v>1106</v>
      </c>
      <c r="B329" s="3">
        <v>45159</v>
      </c>
      <c r="C329" t="s">
        <v>2298</v>
      </c>
      <c r="D329" t="s">
        <v>2408</v>
      </c>
      <c r="E329">
        <v>5</v>
      </c>
      <c r="F329">
        <v>209.2</v>
      </c>
      <c r="G329" t="s">
        <v>2439</v>
      </c>
      <c r="H329" t="s">
        <v>3065</v>
      </c>
      <c r="I329" t="s">
        <v>3073</v>
      </c>
      <c r="J329" t="s">
        <v>4167</v>
      </c>
      <c r="K329">
        <v>6</v>
      </c>
      <c r="L329" t="s">
        <v>4277</v>
      </c>
      <c r="M329" t="s">
        <v>4280</v>
      </c>
      <c r="N329">
        <v>1046</v>
      </c>
      <c r="O329" t="s">
        <v>4290</v>
      </c>
      <c r="P329" t="s">
        <v>2439</v>
      </c>
      <c r="Q329" t="s">
        <v>3065</v>
      </c>
      <c r="R329" t="s">
        <v>4280</v>
      </c>
      <c r="S329">
        <v>174.33</v>
      </c>
    </row>
    <row r="330" spans="1:19" x14ac:dyDescent="0.3">
      <c r="A330" t="s">
        <v>76</v>
      </c>
      <c r="B330" s="3">
        <v>45160</v>
      </c>
      <c r="C330" t="s">
        <v>1276</v>
      </c>
      <c r="D330" t="s">
        <v>2409</v>
      </c>
      <c r="E330">
        <v>2</v>
      </c>
      <c r="F330">
        <v>43.15</v>
      </c>
      <c r="G330" t="s">
        <v>2468</v>
      </c>
      <c r="H330" t="s">
        <v>3065</v>
      </c>
      <c r="I330" t="s">
        <v>3074</v>
      </c>
      <c r="J330" t="s">
        <v>3137</v>
      </c>
      <c r="K330">
        <v>3</v>
      </c>
      <c r="L330" t="s">
        <v>4277</v>
      </c>
      <c r="M330" t="s">
        <v>4280</v>
      </c>
      <c r="N330">
        <v>86.3</v>
      </c>
      <c r="O330" t="s">
        <v>4290</v>
      </c>
      <c r="P330" t="s">
        <v>2468</v>
      </c>
      <c r="Q330" t="s">
        <v>3065</v>
      </c>
      <c r="R330" t="s">
        <v>4280</v>
      </c>
      <c r="S330">
        <v>28.77</v>
      </c>
    </row>
    <row r="331" spans="1:19" x14ac:dyDescent="0.3">
      <c r="A331" t="s">
        <v>97</v>
      </c>
      <c r="B331" s="3">
        <v>45160</v>
      </c>
      <c r="C331" t="s">
        <v>1297</v>
      </c>
      <c r="D331" t="s">
        <v>2408</v>
      </c>
      <c r="E331">
        <v>4</v>
      </c>
      <c r="F331">
        <v>540.41</v>
      </c>
      <c r="G331" t="s">
        <v>2487</v>
      </c>
      <c r="H331" t="s">
        <v>3067</v>
      </c>
      <c r="I331" t="s">
        <v>3071</v>
      </c>
      <c r="J331" t="s">
        <v>3158</v>
      </c>
      <c r="K331">
        <v>6</v>
      </c>
      <c r="L331" t="s">
        <v>4283</v>
      </c>
      <c r="M331" t="s">
        <v>4279</v>
      </c>
      <c r="N331">
        <v>2161.64</v>
      </c>
      <c r="O331" t="s">
        <v>4290</v>
      </c>
      <c r="P331" t="s">
        <v>2487</v>
      </c>
      <c r="Q331" t="s">
        <v>3067</v>
      </c>
      <c r="R331" t="s">
        <v>4279</v>
      </c>
      <c r="S331">
        <v>360.27</v>
      </c>
    </row>
    <row r="332" spans="1:19" x14ac:dyDescent="0.3">
      <c r="A332" t="s">
        <v>567</v>
      </c>
      <c r="B332" s="3">
        <v>45161</v>
      </c>
      <c r="C332" t="s">
        <v>1767</v>
      </c>
      <c r="D332" t="s">
        <v>2404</v>
      </c>
      <c r="E332">
        <v>2</v>
      </c>
      <c r="F332">
        <v>333.83</v>
      </c>
      <c r="G332" t="s">
        <v>2816</v>
      </c>
      <c r="H332" t="s">
        <v>3068</v>
      </c>
      <c r="I332" t="s">
        <v>3071</v>
      </c>
      <c r="J332" t="s">
        <v>3628</v>
      </c>
      <c r="K332">
        <v>4</v>
      </c>
      <c r="L332" t="s">
        <v>4276</v>
      </c>
      <c r="M332" t="s">
        <v>4279</v>
      </c>
      <c r="N332">
        <v>667.66</v>
      </c>
      <c r="O332" t="s">
        <v>4290</v>
      </c>
      <c r="P332" t="s">
        <v>2816</v>
      </c>
      <c r="Q332" t="s">
        <v>3068</v>
      </c>
      <c r="R332" t="s">
        <v>4279</v>
      </c>
      <c r="S332">
        <v>166.92</v>
      </c>
    </row>
    <row r="333" spans="1:19" x14ac:dyDescent="0.3">
      <c r="A333" t="s">
        <v>800</v>
      </c>
      <c r="B333" s="3">
        <v>45161</v>
      </c>
      <c r="C333" t="s">
        <v>1997</v>
      </c>
      <c r="D333" t="s">
        <v>2406</v>
      </c>
      <c r="E333">
        <v>5</v>
      </c>
      <c r="F333">
        <v>45.31</v>
      </c>
      <c r="G333" t="s">
        <v>2921</v>
      </c>
      <c r="H333" t="s">
        <v>3066</v>
      </c>
      <c r="I333" t="s">
        <v>3071</v>
      </c>
      <c r="J333" t="s">
        <v>3861</v>
      </c>
      <c r="K333">
        <v>8</v>
      </c>
      <c r="L333" t="s">
        <v>4283</v>
      </c>
      <c r="M333" t="s">
        <v>4279</v>
      </c>
      <c r="N333">
        <v>226.55</v>
      </c>
      <c r="O333" t="s">
        <v>4290</v>
      </c>
      <c r="P333" t="s">
        <v>2921</v>
      </c>
      <c r="Q333" t="s">
        <v>3066</v>
      </c>
      <c r="R333" t="s">
        <v>4279</v>
      </c>
      <c r="S333">
        <v>28.32</v>
      </c>
    </row>
    <row r="334" spans="1:19" x14ac:dyDescent="0.3">
      <c r="A334" t="s">
        <v>1076</v>
      </c>
      <c r="B334" s="3">
        <v>45161</v>
      </c>
      <c r="C334" t="s">
        <v>2268</v>
      </c>
      <c r="D334" t="s">
        <v>2406</v>
      </c>
      <c r="E334">
        <v>5</v>
      </c>
      <c r="F334">
        <v>85.52</v>
      </c>
      <c r="G334" t="s">
        <v>2676</v>
      </c>
      <c r="H334" t="s">
        <v>3068</v>
      </c>
      <c r="I334" t="s">
        <v>3071</v>
      </c>
      <c r="J334" t="s">
        <v>4137</v>
      </c>
      <c r="K334">
        <v>5</v>
      </c>
      <c r="L334" t="s">
        <v>4283</v>
      </c>
      <c r="M334" t="s">
        <v>4281</v>
      </c>
      <c r="N334">
        <v>427.6</v>
      </c>
      <c r="O334" t="s">
        <v>4290</v>
      </c>
      <c r="P334" t="s">
        <v>2676</v>
      </c>
      <c r="Q334" t="s">
        <v>3068</v>
      </c>
      <c r="R334" t="s">
        <v>4281</v>
      </c>
      <c r="S334">
        <v>85.52</v>
      </c>
    </row>
    <row r="335" spans="1:19" x14ac:dyDescent="0.3">
      <c r="A335" t="s">
        <v>390</v>
      </c>
      <c r="B335" s="3">
        <v>45162</v>
      </c>
      <c r="C335" t="s">
        <v>1590</v>
      </c>
      <c r="D335" t="s">
        <v>2403</v>
      </c>
      <c r="E335">
        <v>5</v>
      </c>
      <c r="F335">
        <v>201.22</v>
      </c>
      <c r="G335" t="s">
        <v>2722</v>
      </c>
      <c r="H335" t="s">
        <v>3065</v>
      </c>
      <c r="I335" t="s">
        <v>3074</v>
      </c>
      <c r="J335" t="s">
        <v>3451</v>
      </c>
      <c r="K335">
        <v>6</v>
      </c>
      <c r="L335" t="s">
        <v>4276</v>
      </c>
      <c r="M335" t="s">
        <v>4281</v>
      </c>
      <c r="N335">
        <v>1006.1</v>
      </c>
      <c r="O335" t="s">
        <v>4290</v>
      </c>
      <c r="P335" t="s">
        <v>2722</v>
      </c>
      <c r="Q335" t="s">
        <v>3065</v>
      </c>
      <c r="R335" t="s">
        <v>4281</v>
      </c>
      <c r="S335">
        <v>167.68</v>
      </c>
    </row>
    <row r="336" spans="1:19" x14ac:dyDescent="0.3">
      <c r="A336" t="s">
        <v>853</v>
      </c>
      <c r="B336" s="3">
        <v>45162</v>
      </c>
      <c r="C336" t="s">
        <v>2049</v>
      </c>
      <c r="D336" t="s">
        <v>2406</v>
      </c>
      <c r="E336">
        <v>3</v>
      </c>
      <c r="F336">
        <v>197.97</v>
      </c>
      <c r="G336" t="s">
        <v>2902</v>
      </c>
      <c r="H336" t="s">
        <v>3066</v>
      </c>
      <c r="I336" t="s">
        <v>3071</v>
      </c>
      <c r="J336" t="s">
        <v>3914</v>
      </c>
      <c r="K336">
        <v>5</v>
      </c>
      <c r="L336" t="s">
        <v>4283</v>
      </c>
      <c r="M336" t="s">
        <v>4282</v>
      </c>
      <c r="N336">
        <v>593.91</v>
      </c>
      <c r="O336" t="s">
        <v>4290</v>
      </c>
      <c r="P336" t="s">
        <v>2902</v>
      </c>
      <c r="Q336" t="s">
        <v>3066</v>
      </c>
      <c r="R336" t="s">
        <v>4282</v>
      </c>
      <c r="S336">
        <v>118.78</v>
      </c>
    </row>
    <row r="337" spans="1:19" x14ac:dyDescent="0.3">
      <c r="A337" t="s">
        <v>62</v>
      </c>
      <c r="B337" s="3">
        <v>45164</v>
      </c>
      <c r="C337" t="s">
        <v>1262</v>
      </c>
      <c r="D337" t="s">
        <v>2403</v>
      </c>
      <c r="E337">
        <v>2</v>
      </c>
      <c r="F337">
        <v>80.77</v>
      </c>
      <c r="G337" t="s">
        <v>2456</v>
      </c>
      <c r="H337" t="s">
        <v>3065</v>
      </c>
      <c r="I337" t="s">
        <v>3070</v>
      </c>
      <c r="J337" t="s">
        <v>3123</v>
      </c>
      <c r="K337">
        <v>4</v>
      </c>
      <c r="L337" t="s">
        <v>4283</v>
      </c>
      <c r="M337" t="s">
        <v>4282</v>
      </c>
      <c r="N337">
        <v>161.54</v>
      </c>
      <c r="O337" t="s">
        <v>4290</v>
      </c>
      <c r="P337" t="s">
        <v>2456</v>
      </c>
      <c r="Q337" t="s">
        <v>3065</v>
      </c>
      <c r="R337" t="s">
        <v>4282</v>
      </c>
      <c r="S337">
        <v>40.380000000000003</v>
      </c>
    </row>
    <row r="338" spans="1:19" x14ac:dyDescent="0.3">
      <c r="A338" t="s">
        <v>447</v>
      </c>
      <c r="B338" s="3">
        <v>45164</v>
      </c>
      <c r="C338" t="s">
        <v>1647</v>
      </c>
      <c r="D338" t="s">
        <v>2403</v>
      </c>
      <c r="E338">
        <v>3</v>
      </c>
      <c r="F338">
        <v>631.64</v>
      </c>
      <c r="G338" t="s">
        <v>2624</v>
      </c>
      <c r="H338" t="s">
        <v>3067</v>
      </c>
      <c r="I338" t="s">
        <v>3072</v>
      </c>
      <c r="J338" t="s">
        <v>3508</v>
      </c>
      <c r="K338">
        <v>3</v>
      </c>
      <c r="L338" t="s">
        <v>4276</v>
      </c>
      <c r="M338" t="s">
        <v>4281</v>
      </c>
      <c r="N338">
        <v>1894.92</v>
      </c>
      <c r="O338" t="s">
        <v>4290</v>
      </c>
      <c r="P338" t="s">
        <v>2624</v>
      </c>
      <c r="Q338" t="s">
        <v>3067</v>
      </c>
      <c r="R338" t="s">
        <v>4281</v>
      </c>
      <c r="S338">
        <v>631.64</v>
      </c>
    </row>
    <row r="339" spans="1:19" x14ac:dyDescent="0.3">
      <c r="A339" t="s">
        <v>211</v>
      </c>
      <c r="B339" s="3">
        <v>45165</v>
      </c>
      <c r="C339" t="s">
        <v>1411</v>
      </c>
      <c r="D339" t="s">
        <v>2408</v>
      </c>
      <c r="E339">
        <v>5</v>
      </c>
      <c r="F339">
        <v>221.51</v>
      </c>
      <c r="G339" t="s">
        <v>2588</v>
      </c>
      <c r="H339" t="s">
        <v>3069</v>
      </c>
      <c r="I339" t="s">
        <v>3072</v>
      </c>
      <c r="J339" t="s">
        <v>3272</v>
      </c>
      <c r="K339">
        <v>5</v>
      </c>
      <c r="L339" t="s">
        <v>4277</v>
      </c>
      <c r="M339" t="s">
        <v>4279</v>
      </c>
      <c r="N339">
        <v>1107.55</v>
      </c>
      <c r="O339" t="s">
        <v>4290</v>
      </c>
      <c r="P339" t="s">
        <v>2588</v>
      </c>
      <c r="Q339" t="s">
        <v>3069</v>
      </c>
      <c r="R339" t="s">
        <v>4279</v>
      </c>
      <c r="S339">
        <v>221.51</v>
      </c>
    </row>
    <row r="340" spans="1:19" x14ac:dyDescent="0.3">
      <c r="A340" t="s">
        <v>694</v>
      </c>
      <c r="B340" s="3">
        <v>45165</v>
      </c>
      <c r="C340" t="s">
        <v>1892</v>
      </c>
      <c r="D340" t="s">
        <v>2403</v>
      </c>
      <c r="E340">
        <v>3</v>
      </c>
      <c r="F340">
        <v>463.39</v>
      </c>
      <c r="G340" t="s">
        <v>2869</v>
      </c>
      <c r="H340" t="s">
        <v>3067</v>
      </c>
      <c r="I340" t="s">
        <v>3072</v>
      </c>
      <c r="J340" t="s">
        <v>3755</v>
      </c>
      <c r="K340">
        <v>3</v>
      </c>
      <c r="L340" t="s">
        <v>4283</v>
      </c>
      <c r="M340" t="s">
        <v>4281</v>
      </c>
      <c r="N340">
        <v>1390.17</v>
      </c>
      <c r="O340" t="s">
        <v>4290</v>
      </c>
      <c r="P340" t="s">
        <v>2869</v>
      </c>
      <c r="Q340" t="s">
        <v>3067</v>
      </c>
      <c r="R340" t="s">
        <v>4281</v>
      </c>
      <c r="S340">
        <v>463.39</v>
      </c>
    </row>
    <row r="341" spans="1:19" x14ac:dyDescent="0.3">
      <c r="A341" t="s">
        <v>98</v>
      </c>
      <c r="B341" s="3">
        <v>45166</v>
      </c>
      <c r="C341" t="s">
        <v>1298</v>
      </c>
      <c r="D341" t="s">
        <v>2403</v>
      </c>
      <c r="E341">
        <v>2</v>
      </c>
      <c r="F341">
        <v>165.49</v>
      </c>
      <c r="G341" t="s">
        <v>2488</v>
      </c>
      <c r="H341" t="s">
        <v>3066</v>
      </c>
      <c r="I341" t="s">
        <v>3070</v>
      </c>
      <c r="J341" t="s">
        <v>3159</v>
      </c>
      <c r="K341">
        <v>4</v>
      </c>
      <c r="L341" t="s">
        <v>4277</v>
      </c>
      <c r="M341" t="s">
        <v>4278</v>
      </c>
      <c r="N341">
        <v>330.98</v>
      </c>
      <c r="O341" t="s">
        <v>4290</v>
      </c>
      <c r="P341" t="s">
        <v>2488</v>
      </c>
      <c r="Q341" t="s">
        <v>3066</v>
      </c>
      <c r="R341" t="s">
        <v>4278</v>
      </c>
      <c r="S341">
        <v>82.74</v>
      </c>
    </row>
    <row r="342" spans="1:19" x14ac:dyDescent="0.3">
      <c r="A342" t="s">
        <v>1185</v>
      </c>
      <c r="B342" s="3">
        <v>45166</v>
      </c>
      <c r="C342" t="s">
        <v>2374</v>
      </c>
      <c r="D342" t="s">
        <v>2404</v>
      </c>
      <c r="E342">
        <v>4</v>
      </c>
      <c r="F342">
        <v>518.4</v>
      </c>
      <c r="G342" t="s">
        <v>3054</v>
      </c>
      <c r="H342" t="s">
        <v>3067</v>
      </c>
      <c r="I342" t="s">
        <v>3073</v>
      </c>
      <c r="J342" t="s">
        <v>4246</v>
      </c>
      <c r="K342">
        <v>7</v>
      </c>
      <c r="L342" t="s">
        <v>4275</v>
      </c>
      <c r="M342" t="s">
        <v>4281</v>
      </c>
      <c r="N342">
        <v>2073.6</v>
      </c>
      <c r="O342" t="s">
        <v>4290</v>
      </c>
      <c r="P342" t="s">
        <v>3054</v>
      </c>
      <c r="Q342" t="s">
        <v>3067</v>
      </c>
      <c r="R342" t="s">
        <v>4281</v>
      </c>
      <c r="S342">
        <v>296.23</v>
      </c>
    </row>
    <row r="343" spans="1:19" x14ac:dyDescent="0.3">
      <c r="A343" t="s">
        <v>223</v>
      </c>
      <c r="B343" s="3">
        <v>45167</v>
      </c>
      <c r="C343" t="s">
        <v>1423</v>
      </c>
      <c r="D343" t="s">
        <v>2405</v>
      </c>
      <c r="E343">
        <v>5</v>
      </c>
      <c r="F343">
        <v>187.97</v>
      </c>
      <c r="G343" t="s">
        <v>2417</v>
      </c>
      <c r="H343" t="s">
        <v>3069</v>
      </c>
      <c r="I343" t="s">
        <v>3072</v>
      </c>
      <c r="J343" t="s">
        <v>3284</v>
      </c>
      <c r="K343">
        <v>9</v>
      </c>
      <c r="L343" t="s">
        <v>4275</v>
      </c>
      <c r="M343" t="s">
        <v>4282</v>
      </c>
      <c r="N343">
        <v>939.85</v>
      </c>
      <c r="O343" t="s">
        <v>4290</v>
      </c>
      <c r="P343" t="s">
        <v>2417</v>
      </c>
      <c r="Q343" t="s">
        <v>3069</v>
      </c>
      <c r="R343" t="s">
        <v>4282</v>
      </c>
      <c r="S343">
        <v>104.43</v>
      </c>
    </row>
    <row r="344" spans="1:19" x14ac:dyDescent="0.3">
      <c r="A344" t="s">
        <v>703</v>
      </c>
      <c r="B344" s="3">
        <v>45167</v>
      </c>
      <c r="C344" t="s">
        <v>1901</v>
      </c>
      <c r="D344" t="s">
        <v>2405</v>
      </c>
      <c r="E344">
        <v>2</v>
      </c>
      <c r="F344">
        <v>444.84</v>
      </c>
      <c r="G344" t="s">
        <v>2876</v>
      </c>
      <c r="H344" t="s">
        <v>3066</v>
      </c>
      <c r="I344" t="s">
        <v>3070</v>
      </c>
      <c r="J344" t="s">
        <v>3764</v>
      </c>
      <c r="K344">
        <v>7</v>
      </c>
      <c r="L344" t="s">
        <v>4283</v>
      </c>
      <c r="M344" t="s">
        <v>4281</v>
      </c>
      <c r="N344">
        <v>889.68</v>
      </c>
      <c r="O344" t="s">
        <v>4290</v>
      </c>
      <c r="P344" t="s">
        <v>2876</v>
      </c>
      <c r="Q344" t="s">
        <v>3066</v>
      </c>
      <c r="R344" t="s">
        <v>4281</v>
      </c>
      <c r="S344">
        <v>127.1</v>
      </c>
    </row>
    <row r="345" spans="1:19" x14ac:dyDescent="0.3">
      <c r="A345" t="s">
        <v>838</v>
      </c>
      <c r="B345" s="3">
        <v>45167</v>
      </c>
      <c r="C345" t="s">
        <v>2034</v>
      </c>
      <c r="D345" t="s">
        <v>2403</v>
      </c>
      <c r="E345">
        <v>3</v>
      </c>
      <c r="F345">
        <v>481.1</v>
      </c>
      <c r="G345" t="s">
        <v>2943</v>
      </c>
      <c r="H345" t="s">
        <v>3067</v>
      </c>
      <c r="I345" t="s">
        <v>3072</v>
      </c>
      <c r="J345" t="s">
        <v>3899</v>
      </c>
      <c r="K345">
        <v>3</v>
      </c>
      <c r="L345" t="s">
        <v>4276</v>
      </c>
      <c r="M345" t="s">
        <v>4281</v>
      </c>
      <c r="N345">
        <v>1443.3</v>
      </c>
      <c r="O345" t="s">
        <v>4290</v>
      </c>
      <c r="P345" t="s">
        <v>2943</v>
      </c>
      <c r="Q345" t="s">
        <v>3067</v>
      </c>
      <c r="R345" t="s">
        <v>4281</v>
      </c>
      <c r="S345">
        <v>481.1</v>
      </c>
    </row>
    <row r="346" spans="1:19" x14ac:dyDescent="0.3">
      <c r="A346" t="s">
        <v>27</v>
      </c>
      <c r="B346" s="3">
        <v>45168</v>
      </c>
      <c r="C346" t="s">
        <v>1227</v>
      </c>
      <c r="D346" t="s">
        <v>2408</v>
      </c>
      <c r="E346">
        <v>3</v>
      </c>
      <c r="F346">
        <v>201.49</v>
      </c>
      <c r="G346" t="s">
        <v>2423</v>
      </c>
      <c r="H346" t="s">
        <v>3067</v>
      </c>
      <c r="I346" t="s">
        <v>3072</v>
      </c>
      <c r="J346" t="s">
        <v>3088</v>
      </c>
      <c r="K346">
        <v>4</v>
      </c>
      <c r="L346" t="s">
        <v>4276</v>
      </c>
      <c r="M346" t="s">
        <v>4281</v>
      </c>
      <c r="N346">
        <v>604.47</v>
      </c>
      <c r="O346" t="s">
        <v>4290</v>
      </c>
      <c r="P346" t="s">
        <v>2423</v>
      </c>
      <c r="Q346" t="s">
        <v>3067</v>
      </c>
      <c r="R346" t="s">
        <v>4281</v>
      </c>
      <c r="S346">
        <v>151.12</v>
      </c>
    </row>
    <row r="347" spans="1:19" x14ac:dyDescent="0.3">
      <c r="A347" t="s">
        <v>366</v>
      </c>
      <c r="B347" s="3">
        <v>45169</v>
      </c>
      <c r="C347" t="s">
        <v>1566</v>
      </c>
      <c r="D347" t="s">
        <v>2406</v>
      </c>
      <c r="E347">
        <v>5</v>
      </c>
      <c r="F347">
        <v>173.96</v>
      </c>
      <c r="G347" t="s">
        <v>2705</v>
      </c>
      <c r="H347" t="s">
        <v>3065</v>
      </c>
      <c r="I347" t="s">
        <v>3074</v>
      </c>
      <c r="J347" t="s">
        <v>3427</v>
      </c>
      <c r="K347">
        <v>8</v>
      </c>
      <c r="L347" t="s">
        <v>4277</v>
      </c>
      <c r="M347" t="s">
        <v>4278</v>
      </c>
      <c r="N347">
        <v>869.80000000000007</v>
      </c>
      <c r="O347" t="s">
        <v>4290</v>
      </c>
      <c r="P347" t="s">
        <v>2705</v>
      </c>
      <c r="Q347" t="s">
        <v>3065</v>
      </c>
      <c r="R347" t="s">
        <v>4278</v>
      </c>
      <c r="S347">
        <v>108.72</v>
      </c>
    </row>
    <row r="348" spans="1:19" x14ac:dyDescent="0.3">
      <c r="A348" t="s">
        <v>517</v>
      </c>
      <c r="B348" s="3">
        <v>45169</v>
      </c>
      <c r="C348" t="s">
        <v>1717</v>
      </c>
      <c r="D348" t="s">
        <v>2405</v>
      </c>
      <c r="E348">
        <v>3</v>
      </c>
      <c r="F348">
        <v>136.84</v>
      </c>
      <c r="G348" t="s">
        <v>2794</v>
      </c>
      <c r="H348" t="s">
        <v>3066</v>
      </c>
      <c r="I348" t="s">
        <v>3074</v>
      </c>
      <c r="J348" t="s">
        <v>3578</v>
      </c>
      <c r="K348">
        <v>4</v>
      </c>
      <c r="L348" t="s">
        <v>4276</v>
      </c>
      <c r="M348" t="s">
        <v>4281</v>
      </c>
      <c r="N348">
        <v>410.52</v>
      </c>
      <c r="O348" t="s">
        <v>4290</v>
      </c>
      <c r="P348" t="s">
        <v>2794</v>
      </c>
      <c r="Q348" t="s">
        <v>3066</v>
      </c>
      <c r="R348" t="s">
        <v>4281</v>
      </c>
      <c r="S348">
        <v>102.63</v>
      </c>
    </row>
    <row r="349" spans="1:19" x14ac:dyDescent="0.3">
      <c r="A349" t="s">
        <v>820</v>
      </c>
      <c r="B349" s="3">
        <v>45170</v>
      </c>
      <c r="C349" t="s">
        <v>2016</v>
      </c>
      <c r="D349" t="s">
        <v>2406</v>
      </c>
      <c r="E349">
        <v>5</v>
      </c>
      <c r="F349">
        <v>253.75</v>
      </c>
      <c r="G349" t="s">
        <v>2650</v>
      </c>
      <c r="H349" t="s">
        <v>3066</v>
      </c>
      <c r="I349" t="s">
        <v>3074</v>
      </c>
      <c r="J349" t="s">
        <v>3881</v>
      </c>
      <c r="K349">
        <v>9</v>
      </c>
      <c r="L349" t="s">
        <v>4277</v>
      </c>
      <c r="M349" t="s">
        <v>4278</v>
      </c>
      <c r="N349">
        <v>1268.75</v>
      </c>
      <c r="O349" t="s">
        <v>4290</v>
      </c>
      <c r="P349" t="s">
        <v>2650</v>
      </c>
      <c r="Q349" t="s">
        <v>3066</v>
      </c>
      <c r="R349" t="s">
        <v>4278</v>
      </c>
      <c r="S349">
        <v>140.97</v>
      </c>
    </row>
    <row r="350" spans="1:19" x14ac:dyDescent="0.3">
      <c r="A350" t="s">
        <v>1023</v>
      </c>
      <c r="B350" s="3">
        <v>45171</v>
      </c>
      <c r="C350" t="s">
        <v>2215</v>
      </c>
      <c r="D350" t="s">
        <v>2405</v>
      </c>
      <c r="E350">
        <v>2</v>
      </c>
      <c r="F350">
        <v>176.46</v>
      </c>
      <c r="G350" t="s">
        <v>2796</v>
      </c>
      <c r="H350" t="s">
        <v>3067</v>
      </c>
      <c r="I350" t="s">
        <v>3073</v>
      </c>
      <c r="J350" t="s">
        <v>4084</v>
      </c>
      <c r="K350">
        <v>2</v>
      </c>
      <c r="L350" t="s">
        <v>4276</v>
      </c>
      <c r="M350" t="s">
        <v>4280</v>
      </c>
      <c r="N350">
        <v>352.92</v>
      </c>
      <c r="O350" t="s">
        <v>4290</v>
      </c>
      <c r="P350" t="s">
        <v>2796</v>
      </c>
      <c r="Q350" t="s">
        <v>3067</v>
      </c>
      <c r="R350" t="s">
        <v>4280</v>
      </c>
      <c r="S350">
        <v>176.46</v>
      </c>
    </row>
    <row r="351" spans="1:19" x14ac:dyDescent="0.3">
      <c r="A351" t="s">
        <v>446</v>
      </c>
      <c r="B351" s="3">
        <v>45173</v>
      </c>
      <c r="C351" t="s">
        <v>1646</v>
      </c>
      <c r="D351" t="s">
        <v>2405</v>
      </c>
      <c r="E351">
        <v>2</v>
      </c>
      <c r="F351">
        <v>424.32</v>
      </c>
      <c r="G351" t="s">
        <v>2750</v>
      </c>
      <c r="H351" t="s">
        <v>3067</v>
      </c>
      <c r="I351" t="s">
        <v>3072</v>
      </c>
      <c r="J351" t="s">
        <v>3507</v>
      </c>
      <c r="K351">
        <v>6</v>
      </c>
      <c r="L351" t="s">
        <v>4283</v>
      </c>
      <c r="M351" t="s">
        <v>4279</v>
      </c>
      <c r="N351">
        <v>848.64</v>
      </c>
      <c r="O351" t="s">
        <v>4290</v>
      </c>
      <c r="P351" t="s">
        <v>2750</v>
      </c>
      <c r="Q351" t="s">
        <v>3067</v>
      </c>
      <c r="R351" t="s">
        <v>4279</v>
      </c>
      <c r="S351">
        <v>141.44</v>
      </c>
    </row>
    <row r="352" spans="1:19" x14ac:dyDescent="0.3">
      <c r="A352" t="s">
        <v>462</v>
      </c>
      <c r="B352" s="3">
        <v>45173</v>
      </c>
      <c r="C352" t="s">
        <v>1662</v>
      </c>
      <c r="D352" t="s">
        <v>2408</v>
      </c>
      <c r="E352">
        <v>2</v>
      </c>
      <c r="F352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>
        <v>320</v>
      </c>
      <c r="O352" t="s">
        <v>4290</v>
      </c>
      <c r="P352" t="s">
        <v>2760</v>
      </c>
      <c r="Q352" t="s">
        <v>3069</v>
      </c>
      <c r="R352" t="s">
        <v>4278</v>
      </c>
      <c r="S352">
        <v>80</v>
      </c>
    </row>
    <row r="353" spans="1:19" x14ac:dyDescent="0.3">
      <c r="A353" t="s">
        <v>782</v>
      </c>
      <c r="B353" s="3">
        <v>45173</v>
      </c>
      <c r="C353" t="s">
        <v>1979</v>
      </c>
      <c r="D353" t="s">
        <v>2405</v>
      </c>
      <c r="E353">
        <v>5</v>
      </c>
      <c r="F353">
        <v>653.46</v>
      </c>
      <c r="G353" t="s">
        <v>2913</v>
      </c>
      <c r="H353" t="s">
        <v>3069</v>
      </c>
      <c r="I353" t="s">
        <v>3071</v>
      </c>
      <c r="J353" t="s">
        <v>3843</v>
      </c>
      <c r="K353">
        <v>9</v>
      </c>
      <c r="L353" t="s">
        <v>4277</v>
      </c>
      <c r="M353" t="s">
        <v>4280</v>
      </c>
      <c r="N353">
        <v>3267.3</v>
      </c>
      <c r="O353" t="s">
        <v>4290</v>
      </c>
      <c r="P353" t="s">
        <v>2913</v>
      </c>
      <c r="Q353" t="s">
        <v>3069</v>
      </c>
      <c r="R353" t="s">
        <v>4280</v>
      </c>
      <c r="S353">
        <v>363.03</v>
      </c>
    </row>
    <row r="354" spans="1:19" x14ac:dyDescent="0.3">
      <c r="A354" t="s">
        <v>218</v>
      </c>
      <c r="B354" s="3">
        <v>45174</v>
      </c>
      <c r="C354" t="s">
        <v>1418</v>
      </c>
      <c r="D354" t="s">
        <v>2408</v>
      </c>
      <c r="E354">
        <v>4</v>
      </c>
      <c r="F354">
        <v>413.71</v>
      </c>
      <c r="G354" t="s">
        <v>2539</v>
      </c>
      <c r="H354" t="s">
        <v>3068</v>
      </c>
      <c r="I354" t="s">
        <v>3071</v>
      </c>
      <c r="J354" t="s">
        <v>3279</v>
      </c>
      <c r="K354">
        <v>9</v>
      </c>
      <c r="L354" t="s">
        <v>4276</v>
      </c>
      <c r="M354" t="s">
        <v>4281</v>
      </c>
      <c r="N354">
        <v>1654.84</v>
      </c>
      <c r="O354" t="s">
        <v>4290</v>
      </c>
      <c r="P354" t="s">
        <v>2539</v>
      </c>
      <c r="Q354" t="s">
        <v>3068</v>
      </c>
      <c r="R354" t="s">
        <v>4281</v>
      </c>
      <c r="S354">
        <v>183.87</v>
      </c>
    </row>
    <row r="355" spans="1:19" x14ac:dyDescent="0.3">
      <c r="A355" t="s">
        <v>503</v>
      </c>
      <c r="B355" s="3">
        <v>45174</v>
      </c>
      <c r="C355" t="s">
        <v>1703</v>
      </c>
      <c r="D355" t="s">
        <v>2405</v>
      </c>
      <c r="E355">
        <v>3</v>
      </c>
      <c r="F355">
        <v>149.34</v>
      </c>
      <c r="G355" t="s">
        <v>2637</v>
      </c>
      <c r="H355" t="s">
        <v>3068</v>
      </c>
      <c r="I355" t="s">
        <v>3071</v>
      </c>
      <c r="J355" t="s">
        <v>3564</v>
      </c>
      <c r="K355">
        <v>7</v>
      </c>
      <c r="L355" t="s">
        <v>4277</v>
      </c>
      <c r="M355" t="s">
        <v>4280</v>
      </c>
      <c r="N355">
        <v>448.02</v>
      </c>
      <c r="O355" t="s">
        <v>4290</v>
      </c>
      <c r="P355" t="s">
        <v>2637</v>
      </c>
      <c r="Q355" t="s">
        <v>3068</v>
      </c>
      <c r="R355" t="s">
        <v>4280</v>
      </c>
      <c r="S355">
        <v>64</v>
      </c>
    </row>
    <row r="356" spans="1:19" x14ac:dyDescent="0.3">
      <c r="A356" t="s">
        <v>156</v>
      </c>
      <c r="B356" s="3">
        <v>45175</v>
      </c>
      <c r="C356" t="s">
        <v>1356</v>
      </c>
      <c r="D356" t="s">
        <v>2409</v>
      </c>
      <c r="E356">
        <v>5</v>
      </c>
      <c r="F356">
        <v>272.77</v>
      </c>
      <c r="G356" t="s">
        <v>2542</v>
      </c>
      <c r="H356" t="s">
        <v>3069</v>
      </c>
      <c r="I356" t="s">
        <v>3074</v>
      </c>
      <c r="J356" t="s">
        <v>3217</v>
      </c>
      <c r="K356">
        <v>7</v>
      </c>
      <c r="L356" t="s">
        <v>4277</v>
      </c>
      <c r="M356" t="s">
        <v>4280</v>
      </c>
      <c r="N356">
        <v>1363.85</v>
      </c>
      <c r="O356" t="s">
        <v>4290</v>
      </c>
      <c r="P356" t="s">
        <v>2542</v>
      </c>
      <c r="Q356" t="s">
        <v>3069</v>
      </c>
      <c r="R356" t="s">
        <v>4280</v>
      </c>
      <c r="S356">
        <v>194.84</v>
      </c>
    </row>
    <row r="357" spans="1:19" x14ac:dyDescent="0.3">
      <c r="A357" t="s">
        <v>961</v>
      </c>
      <c r="B357" s="3">
        <v>45176</v>
      </c>
      <c r="C357" t="s">
        <v>2156</v>
      </c>
      <c r="D357" t="s">
        <v>2404</v>
      </c>
      <c r="E357">
        <v>4</v>
      </c>
      <c r="F357">
        <v>465.66</v>
      </c>
      <c r="G357" t="s">
        <v>2642</v>
      </c>
      <c r="H357" t="s">
        <v>3066</v>
      </c>
      <c r="I357" t="s">
        <v>3072</v>
      </c>
      <c r="J357" t="s">
        <v>4022</v>
      </c>
      <c r="K357">
        <v>9</v>
      </c>
      <c r="L357" t="s">
        <v>4276</v>
      </c>
      <c r="M357" t="s">
        <v>4280</v>
      </c>
      <c r="N357">
        <v>1862.64</v>
      </c>
      <c r="O357" t="s">
        <v>4290</v>
      </c>
      <c r="P357" t="s">
        <v>2642</v>
      </c>
      <c r="Q357" t="s">
        <v>3066</v>
      </c>
      <c r="R357" t="s">
        <v>4280</v>
      </c>
      <c r="S357">
        <v>206.96</v>
      </c>
    </row>
    <row r="358" spans="1:19" x14ac:dyDescent="0.3">
      <c r="A358" t="s">
        <v>120</v>
      </c>
      <c r="B358" s="3">
        <v>45177</v>
      </c>
      <c r="C358" t="s">
        <v>1320</v>
      </c>
      <c r="D358" t="s">
        <v>2409</v>
      </c>
      <c r="E358">
        <v>3</v>
      </c>
      <c r="F358">
        <v>465.05</v>
      </c>
      <c r="G358" t="s">
        <v>2509</v>
      </c>
      <c r="H358" t="s">
        <v>3067</v>
      </c>
      <c r="I358" t="s">
        <v>3071</v>
      </c>
      <c r="J358" t="s">
        <v>3181</v>
      </c>
      <c r="K358">
        <v>3</v>
      </c>
      <c r="L358" t="s">
        <v>4275</v>
      </c>
      <c r="M358" t="s">
        <v>4280</v>
      </c>
      <c r="N358">
        <v>1395.15</v>
      </c>
      <c r="O358" t="s">
        <v>4290</v>
      </c>
      <c r="P358" t="s">
        <v>2509</v>
      </c>
      <c r="Q358" t="s">
        <v>3067</v>
      </c>
      <c r="R358" t="s">
        <v>4280</v>
      </c>
      <c r="S358">
        <v>465.05</v>
      </c>
    </row>
    <row r="359" spans="1:19" x14ac:dyDescent="0.3">
      <c r="A359" t="s">
        <v>743</v>
      </c>
      <c r="B359" s="3">
        <v>45177</v>
      </c>
      <c r="C359" t="s">
        <v>1940</v>
      </c>
      <c r="D359" t="s">
        <v>2404</v>
      </c>
      <c r="E359">
        <v>4</v>
      </c>
      <c r="F359">
        <v>186.41</v>
      </c>
      <c r="G359" t="s">
        <v>2555</v>
      </c>
      <c r="H359" t="s">
        <v>3068</v>
      </c>
      <c r="I359" t="s">
        <v>3074</v>
      </c>
      <c r="J359" t="s">
        <v>3804</v>
      </c>
      <c r="K359">
        <v>6</v>
      </c>
      <c r="L359" t="s">
        <v>4275</v>
      </c>
      <c r="M359" t="s">
        <v>4282</v>
      </c>
      <c r="N359">
        <v>745.64</v>
      </c>
      <c r="O359" t="s">
        <v>4290</v>
      </c>
      <c r="P359" t="s">
        <v>2555</v>
      </c>
      <c r="Q359" t="s">
        <v>3068</v>
      </c>
      <c r="R359" t="s">
        <v>4282</v>
      </c>
      <c r="S359">
        <v>124.27</v>
      </c>
    </row>
    <row r="360" spans="1:19" x14ac:dyDescent="0.3">
      <c r="A360" t="s">
        <v>1072</v>
      </c>
      <c r="B360" s="3">
        <v>45177</v>
      </c>
      <c r="C360" t="s">
        <v>2264</v>
      </c>
      <c r="D360" t="s">
        <v>2409</v>
      </c>
      <c r="E360">
        <v>2</v>
      </c>
      <c r="F360">
        <v>412.14</v>
      </c>
      <c r="G360" t="s">
        <v>2640</v>
      </c>
      <c r="H360" t="s">
        <v>3067</v>
      </c>
      <c r="I360" t="s">
        <v>3072</v>
      </c>
      <c r="J360" t="s">
        <v>4133</v>
      </c>
      <c r="K360">
        <v>2</v>
      </c>
      <c r="L360" t="s">
        <v>4276</v>
      </c>
      <c r="M360" t="s">
        <v>4278</v>
      </c>
      <c r="N360">
        <v>824.28</v>
      </c>
      <c r="O360" t="s">
        <v>4290</v>
      </c>
      <c r="P360" t="s">
        <v>2640</v>
      </c>
      <c r="Q360" t="s">
        <v>3067</v>
      </c>
      <c r="R360" t="s">
        <v>4278</v>
      </c>
      <c r="S360">
        <v>412.14</v>
      </c>
    </row>
    <row r="361" spans="1:19" x14ac:dyDescent="0.3">
      <c r="A361" t="s">
        <v>604</v>
      </c>
      <c r="B361" s="3">
        <v>45179</v>
      </c>
      <c r="C361" t="s">
        <v>1804</v>
      </c>
      <c r="D361" t="s">
        <v>2407</v>
      </c>
      <c r="E361">
        <v>2</v>
      </c>
      <c r="F361">
        <v>461.13</v>
      </c>
      <c r="G361" t="s">
        <v>2831</v>
      </c>
      <c r="H361" t="s">
        <v>3068</v>
      </c>
      <c r="I361" t="s">
        <v>3072</v>
      </c>
      <c r="J361" t="s">
        <v>3665</v>
      </c>
      <c r="K361">
        <v>4</v>
      </c>
      <c r="L361" t="s">
        <v>4283</v>
      </c>
      <c r="M361" t="s">
        <v>4280</v>
      </c>
      <c r="N361">
        <v>922.26</v>
      </c>
      <c r="O361" t="s">
        <v>4290</v>
      </c>
      <c r="P361" t="s">
        <v>2831</v>
      </c>
      <c r="Q361" t="s">
        <v>3068</v>
      </c>
      <c r="R361" t="s">
        <v>4280</v>
      </c>
      <c r="S361">
        <v>230.56</v>
      </c>
    </row>
    <row r="362" spans="1:19" x14ac:dyDescent="0.3">
      <c r="A362" t="s">
        <v>1066</v>
      </c>
      <c r="B362" s="3">
        <v>45180</v>
      </c>
      <c r="C362" t="s">
        <v>2258</v>
      </c>
      <c r="D362" t="s">
        <v>2405</v>
      </c>
      <c r="E362">
        <v>1</v>
      </c>
      <c r="F362">
        <v>531.74</v>
      </c>
      <c r="G362" t="s">
        <v>3018</v>
      </c>
      <c r="H362" t="s">
        <v>3066</v>
      </c>
      <c r="I362" t="s">
        <v>3070</v>
      </c>
      <c r="J362" t="s">
        <v>4127</v>
      </c>
      <c r="K362">
        <v>1</v>
      </c>
      <c r="L362" t="s">
        <v>4277</v>
      </c>
      <c r="M362" t="s">
        <v>4282</v>
      </c>
      <c r="N362">
        <v>531.74</v>
      </c>
      <c r="O362" t="s">
        <v>4290</v>
      </c>
      <c r="P362" t="s">
        <v>3018</v>
      </c>
      <c r="Q362" t="s">
        <v>3066</v>
      </c>
      <c r="R362" t="s">
        <v>4282</v>
      </c>
      <c r="S362">
        <v>531.74</v>
      </c>
    </row>
    <row r="363" spans="1:19" x14ac:dyDescent="0.3">
      <c r="A363" t="s">
        <v>701</v>
      </c>
      <c r="B363" s="3">
        <v>45182</v>
      </c>
      <c r="C363" t="s">
        <v>1899</v>
      </c>
      <c r="D363" t="s">
        <v>2405</v>
      </c>
      <c r="E363">
        <v>1</v>
      </c>
      <c r="F363">
        <v>332.09</v>
      </c>
      <c r="G363" t="s">
        <v>2875</v>
      </c>
      <c r="H363" t="s">
        <v>3068</v>
      </c>
      <c r="I363" t="s">
        <v>3072</v>
      </c>
      <c r="J363" t="s">
        <v>3762</v>
      </c>
      <c r="K363">
        <v>5</v>
      </c>
      <c r="L363" t="s">
        <v>4276</v>
      </c>
      <c r="M363" t="s">
        <v>4278</v>
      </c>
      <c r="N363">
        <v>332.09</v>
      </c>
      <c r="O363" t="s">
        <v>4290</v>
      </c>
      <c r="P363" t="s">
        <v>2875</v>
      </c>
      <c r="Q363" t="s">
        <v>3068</v>
      </c>
      <c r="R363" t="s">
        <v>4278</v>
      </c>
      <c r="S363">
        <v>66.42</v>
      </c>
    </row>
    <row r="364" spans="1:19" x14ac:dyDescent="0.3">
      <c r="A364" t="s">
        <v>123</v>
      </c>
      <c r="B364" s="3">
        <v>45186</v>
      </c>
      <c r="C364" t="s">
        <v>1323</v>
      </c>
      <c r="D364" t="s">
        <v>2409</v>
      </c>
      <c r="E364">
        <v>3</v>
      </c>
      <c r="F364">
        <v>592.87</v>
      </c>
      <c r="G364" t="s">
        <v>2512</v>
      </c>
      <c r="H364" t="s">
        <v>3068</v>
      </c>
      <c r="I364" t="s">
        <v>3070</v>
      </c>
      <c r="J364" t="s">
        <v>3184</v>
      </c>
      <c r="K364">
        <v>3</v>
      </c>
      <c r="L364" t="s">
        <v>4276</v>
      </c>
      <c r="M364" t="s">
        <v>4279</v>
      </c>
      <c r="N364">
        <v>1778.61</v>
      </c>
      <c r="O364" t="s">
        <v>4290</v>
      </c>
      <c r="P364" t="s">
        <v>2512</v>
      </c>
      <c r="Q364" t="s">
        <v>3068</v>
      </c>
      <c r="R364" t="s">
        <v>4279</v>
      </c>
      <c r="S364">
        <v>592.87</v>
      </c>
    </row>
    <row r="365" spans="1:19" x14ac:dyDescent="0.3">
      <c r="A365" t="s">
        <v>104</v>
      </c>
      <c r="B365" s="3">
        <v>45187</v>
      </c>
      <c r="C365" t="s">
        <v>1304</v>
      </c>
      <c r="D365" t="s">
        <v>2406</v>
      </c>
      <c r="E365">
        <v>4</v>
      </c>
      <c r="F365">
        <v>182.08</v>
      </c>
      <c r="G365" t="s">
        <v>2494</v>
      </c>
      <c r="H365" t="s">
        <v>3068</v>
      </c>
      <c r="I365" t="s">
        <v>3073</v>
      </c>
      <c r="J365" t="s">
        <v>3165</v>
      </c>
      <c r="K365">
        <v>4</v>
      </c>
      <c r="L365" t="s">
        <v>4275</v>
      </c>
      <c r="M365" t="s">
        <v>4280</v>
      </c>
      <c r="N365">
        <v>728.32</v>
      </c>
      <c r="O365" t="s">
        <v>4290</v>
      </c>
      <c r="P365" t="s">
        <v>2494</v>
      </c>
      <c r="Q365" t="s">
        <v>3068</v>
      </c>
      <c r="R365" t="s">
        <v>4280</v>
      </c>
      <c r="S365">
        <v>182.08</v>
      </c>
    </row>
    <row r="366" spans="1:19" x14ac:dyDescent="0.3">
      <c r="A366" t="s">
        <v>286</v>
      </c>
      <c r="B366" s="3">
        <v>45188</v>
      </c>
      <c r="C366" t="s">
        <v>1486</v>
      </c>
      <c r="D366" t="s">
        <v>2406</v>
      </c>
      <c r="E366">
        <v>2</v>
      </c>
      <c r="F366">
        <v>399.32</v>
      </c>
      <c r="G366" t="s">
        <v>2642</v>
      </c>
      <c r="H366" t="s">
        <v>3066</v>
      </c>
      <c r="I366" t="s">
        <v>3074</v>
      </c>
      <c r="J366" t="s">
        <v>3347</v>
      </c>
      <c r="K366">
        <v>6</v>
      </c>
      <c r="L366" t="s">
        <v>4277</v>
      </c>
      <c r="M366" t="s">
        <v>4278</v>
      </c>
      <c r="N366">
        <v>798.64</v>
      </c>
      <c r="O366" t="s">
        <v>4290</v>
      </c>
      <c r="P366" t="s">
        <v>2642</v>
      </c>
      <c r="Q366" t="s">
        <v>3066</v>
      </c>
      <c r="R366" t="s">
        <v>4278</v>
      </c>
      <c r="S366">
        <v>133.11000000000001</v>
      </c>
    </row>
    <row r="367" spans="1:19" x14ac:dyDescent="0.3">
      <c r="A367" t="s">
        <v>734</v>
      </c>
      <c r="B367" s="3">
        <v>45190</v>
      </c>
      <c r="C367" t="s">
        <v>1931</v>
      </c>
      <c r="D367" t="s">
        <v>2409</v>
      </c>
      <c r="E367">
        <v>5</v>
      </c>
      <c r="F36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>
        <v>10</v>
      </c>
      <c r="L367" t="s">
        <v>4276</v>
      </c>
      <c r="M367" t="s">
        <v>4278</v>
      </c>
      <c r="N367">
        <v>644.75</v>
      </c>
      <c r="O367" t="s">
        <v>4290</v>
      </c>
      <c r="P367" t="s">
        <v>2892</v>
      </c>
      <c r="Q367" t="s">
        <v>3069</v>
      </c>
      <c r="R367" t="s">
        <v>4278</v>
      </c>
      <c r="S367">
        <v>64.48</v>
      </c>
    </row>
    <row r="368" spans="1:19" x14ac:dyDescent="0.3">
      <c r="A368" t="s">
        <v>238</v>
      </c>
      <c r="B368" s="3">
        <v>45192</v>
      </c>
      <c r="C368" t="s">
        <v>1438</v>
      </c>
      <c r="D368" t="s">
        <v>2407</v>
      </c>
      <c r="E368">
        <v>4</v>
      </c>
      <c r="F368">
        <v>91.46</v>
      </c>
      <c r="G368" t="s">
        <v>2603</v>
      </c>
      <c r="H368" t="s">
        <v>3069</v>
      </c>
      <c r="I368" t="s">
        <v>3071</v>
      </c>
      <c r="J368" t="s">
        <v>3299</v>
      </c>
      <c r="K368">
        <v>9</v>
      </c>
      <c r="L368" t="s">
        <v>4275</v>
      </c>
      <c r="M368" t="s">
        <v>4279</v>
      </c>
      <c r="N368">
        <v>365.84</v>
      </c>
      <c r="O368" t="s">
        <v>4290</v>
      </c>
      <c r="P368" t="s">
        <v>2603</v>
      </c>
      <c r="Q368" t="s">
        <v>3069</v>
      </c>
      <c r="R368" t="s">
        <v>4279</v>
      </c>
      <c r="S368">
        <v>40.65</v>
      </c>
    </row>
    <row r="369" spans="1:19" x14ac:dyDescent="0.3">
      <c r="A369" t="s">
        <v>639</v>
      </c>
      <c r="B369" s="3">
        <v>45193</v>
      </c>
      <c r="C369" t="s">
        <v>1838</v>
      </c>
      <c r="D369" t="s">
        <v>2405</v>
      </c>
      <c r="E369">
        <v>1</v>
      </c>
      <c r="F369">
        <v>672.89</v>
      </c>
      <c r="G369" t="s">
        <v>2848</v>
      </c>
      <c r="H369" t="s">
        <v>3067</v>
      </c>
      <c r="I369" t="s">
        <v>3074</v>
      </c>
      <c r="J369" t="s">
        <v>3700</v>
      </c>
      <c r="K369">
        <v>1</v>
      </c>
      <c r="L369" t="s">
        <v>4277</v>
      </c>
      <c r="M369" t="s">
        <v>4280</v>
      </c>
      <c r="N369">
        <v>672.89</v>
      </c>
      <c r="O369" t="s">
        <v>4290</v>
      </c>
      <c r="P369" t="s">
        <v>2848</v>
      </c>
      <c r="Q369" t="s">
        <v>3067</v>
      </c>
      <c r="R369" t="s">
        <v>4280</v>
      </c>
      <c r="S369">
        <v>672.89</v>
      </c>
    </row>
    <row r="370" spans="1:19" x14ac:dyDescent="0.3">
      <c r="A370" t="s">
        <v>1150</v>
      </c>
      <c r="B370" s="3">
        <v>45193</v>
      </c>
      <c r="C370" t="s">
        <v>2340</v>
      </c>
      <c r="D370" t="s">
        <v>2405</v>
      </c>
      <c r="E370">
        <v>3</v>
      </c>
      <c r="F370">
        <v>668.33</v>
      </c>
      <c r="G370" t="s">
        <v>2882</v>
      </c>
      <c r="H370" t="s">
        <v>3068</v>
      </c>
      <c r="I370" t="s">
        <v>3074</v>
      </c>
      <c r="J370" t="s">
        <v>4211</v>
      </c>
      <c r="K370">
        <v>4</v>
      </c>
      <c r="L370" t="s">
        <v>4277</v>
      </c>
      <c r="M370" t="s">
        <v>4281</v>
      </c>
      <c r="N370">
        <v>2004.99</v>
      </c>
      <c r="O370" t="s">
        <v>4290</v>
      </c>
      <c r="P370" t="s">
        <v>2882</v>
      </c>
      <c r="Q370" t="s">
        <v>3068</v>
      </c>
      <c r="R370" t="s">
        <v>4281</v>
      </c>
      <c r="S370">
        <v>501.25</v>
      </c>
    </row>
    <row r="371" spans="1:19" x14ac:dyDescent="0.3">
      <c r="A371" t="s">
        <v>89</v>
      </c>
      <c r="B371" s="3">
        <v>45195</v>
      </c>
      <c r="C371" t="s">
        <v>1289</v>
      </c>
      <c r="D371" t="s">
        <v>2405</v>
      </c>
      <c r="E371">
        <v>3</v>
      </c>
      <c r="F371">
        <v>398.17</v>
      </c>
      <c r="G371" t="s">
        <v>2479</v>
      </c>
      <c r="H371" t="s">
        <v>3065</v>
      </c>
      <c r="I371" t="s">
        <v>3073</v>
      </c>
      <c r="J371" t="s">
        <v>3150</v>
      </c>
      <c r="K371">
        <v>5</v>
      </c>
      <c r="L371" t="s">
        <v>4275</v>
      </c>
      <c r="M371" t="s">
        <v>4280</v>
      </c>
      <c r="N371">
        <v>1194.51</v>
      </c>
      <c r="O371" t="s">
        <v>4290</v>
      </c>
      <c r="P371" t="s">
        <v>2479</v>
      </c>
      <c r="Q371" t="s">
        <v>3065</v>
      </c>
      <c r="R371" t="s">
        <v>4280</v>
      </c>
      <c r="S371">
        <v>238.9</v>
      </c>
    </row>
    <row r="372" spans="1:19" x14ac:dyDescent="0.3">
      <c r="A372" t="s">
        <v>988</v>
      </c>
      <c r="B372" s="3">
        <v>45196</v>
      </c>
      <c r="C372" t="s">
        <v>2181</v>
      </c>
      <c r="D372" t="s">
        <v>2409</v>
      </c>
      <c r="E372">
        <v>5</v>
      </c>
      <c r="F372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>
        <v>5</v>
      </c>
      <c r="L372" t="s">
        <v>4283</v>
      </c>
      <c r="M372" t="s">
        <v>4280</v>
      </c>
      <c r="N372">
        <v>1333.9</v>
      </c>
      <c r="O372" t="s">
        <v>4290</v>
      </c>
      <c r="P372" t="s">
        <v>2673</v>
      </c>
      <c r="Q372" t="s">
        <v>3068</v>
      </c>
      <c r="R372" t="s">
        <v>4280</v>
      </c>
      <c r="S372">
        <v>266.77999999999997</v>
      </c>
    </row>
    <row r="373" spans="1:19" x14ac:dyDescent="0.3">
      <c r="A373" t="s">
        <v>1198</v>
      </c>
      <c r="B373" s="3">
        <v>45196</v>
      </c>
      <c r="C373" t="s">
        <v>2387</v>
      </c>
      <c r="D373" t="s">
        <v>2408</v>
      </c>
      <c r="E373">
        <v>1</v>
      </c>
      <c r="F373">
        <v>204.08</v>
      </c>
      <c r="G373" t="s">
        <v>2938</v>
      </c>
      <c r="H373" t="s">
        <v>3068</v>
      </c>
      <c r="I373" t="s">
        <v>3072</v>
      </c>
      <c r="J373" t="s">
        <v>4259</v>
      </c>
      <c r="K373">
        <v>4</v>
      </c>
      <c r="L373" t="s">
        <v>4283</v>
      </c>
      <c r="M373" t="s">
        <v>4282</v>
      </c>
      <c r="N373">
        <v>204.08</v>
      </c>
      <c r="O373" t="s">
        <v>4290</v>
      </c>
      <c r="P373" t="s">
        <v>2938</v>
      </c>
      <c r="Q373" t="s">
        <v>3068</v>
      </c>
      <c r="R373" t="s">
        <v>4282</v>
      </c>
      <c r="S373">
        <v>51.02</v>
      </c>
    </row>
    <row r="374" spans="1:19" x14ac:dyDescent="0.3">
      <c r="A374" t="s">
        <v>411</v>
      </c>
      <c r="B374" s="3">
        <v>45197</v>
      </c>
      <c r="C374" t="s">
        <v>1611</v>
      </c>
      <c r="D374" t="s">
        <v>2403</v>
      </c>
      <c r="E374">
        <v>1</v>
      </c>
      <c r="F374">
        <v>427.06</v>
      </c>
      <c r="G374" t="s">
        <v>2731</v>
      </c>
      <c r="H374" t="s">
        <v>3066</v>
      </c>
      <c r="I374" t="s">
        <v>3071</v>
      </c>
      <c r="J374" t="s">
        <v>3472</v>
      </c>
      <c r="K374">
        <v>1</v>
      </c>
      <c r="L374" t="s">
        <v>4277</v>
      </c>
      <c r="M374" t="s">
        <v>4279</v>
      </c>
      <c r="N374">
        <v>427.06</v>
      </c>
      <c r="O374" t="s">
        <v>4290</v>
      </c>
      <c r="P374" t="s">
        <v>2731</v>
      </c>
      <c r="Q374" t="s">
        <v>3066</v>
      </c>
      <c r="R374" t="s">
        <v>4279</v>
      </c>
      <c r="S374">
        <v>427.06</v>
      </c>
    </row>
    <row r="375" spans="1:19" x14ac:dyDescent="0.3">
      <c r="A375" t="s">
        <v>484</v>
      </c>
      <c r="B375" s="3">
        <v>45198</v>
      </c>
      <c r="C375" t="s">
        <v>1684</v>
      </c>
      <c r="D375" t="s">
        <v>2405</v>
      </c>
      <c r="E375">
        <v>4</v>
      </c>
      <c r="F375">
        <v>263.62</v>
      </c>
      <c r="G375" t="s">
        <v>2774</v>
      </c>
      <c r="H375" t="s">
        <v>3069</v>
      </c>
      <c r="I375" t="s">
        <v>3070</v>
      </c>
      <c r="J375" t="s">
        <v>3545</v>
      </c>
      <c r="K375">
        <v>5</v>
      </c>
      <c r="L375" t="s">
        <v>4275</v>
      </c>
      <c r="M375" t="s">
        <v>4280</v>
      </c>
      <c r="N375">
        <v>1054.48</v>
      </c>
      <c r="O375" t="s">
        <v>4290</v>
      </c>
      <c r="P375" t="s">
        <v>2774</v>
      </c>
      <c r="Q375" t="s">
        <v>3069</v>
      </c>
      <c r="R375" t="s">
        <v>4280</v>
      </c>
      <c r="S375">
        <v>210.9</v>
      </c>
    </row>
    <row r="376" spans="1:19" x14ac:dyDescent="0.3">
      <c r="A376" t="s">
        <v>956</v>
      </c>
      <c r="B376" s="3">
        <v>45198</v>
      </c>
      <c r="C376" t="s">
        <v>2151</v>
      </c>
      <c r="D376" t="s">
        <v>2405</v>
      </c>
      <c r="E376">
        <v>1</v>
      </c>
      <c r="F376">
        <v>479.76</v>
      </c>
      <c r="G376" t="s">
        <v>2599</v>
      </c>
      <c r="H376" t="s">
        <v>3067</v>
      </c>
      <c r="I376" t="s">
        <v>3074</v>
      </c>
      <c r="J376" t="s">
        <v>4017</v>
      </c>
      <c r="K376">
        <v>1</v>
      </c>
      <c r="L376" t="s">
        <v>4283</v>
      </c>
      <c r="M376" t="s">
        <v>4280</v>
      </c>
      <c r="N376">
        <v>479.76</v>
      </c>
      <c r="O376" t="s">
        <v>4290</v>
      </c>
      <c r="P376" t="s">
        <v>2599</v>
      </c>
      <c r="Q376" t="s">
        <v>3067</v>
      </c>
      <c r="R376" t="s">
        <v>4280</v>
      </c>
      <c r="S376">
        <v>479.76</v>
      </c>
    </row>
    <row r="377" spans="1:19" x14ac:dyDescent="0.3">
      <c r="A377" t="s">
        <v>566</v>
      </c>
      <c r="B377" s="3">
        <v>45199</v>
      </c>
      <c r="C377" t="s">
        <v>1766</v>
      </c>
      <c r="D377" t="s">
        <v>2406</v>
      </c>
      <c r="E377">
        <v>4</v>
      </c>
      <c r="F37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>
        <v>1700.72</v>
      </c>
      <c r="O377" t="s">
        <v>4290</v>
      </c>
      <c r="P377" t="s">
        <v>2798</v>
      </c>
      <c r="Q377" t="s">
        <v>3066</v>
      </c>
      <c r="R377" t="s">
        <v>4281</v>
      </c>
      <c r="S377">
        <v>212.59</v>
      </c>
    </row>
    <row r="378" spans="1:19" x14ac:dyDescent="0.3">
      <c r="A378" t="s">
        <v>330</v>
      </c>
      <c r="B378" s="3">
        <v>45201</v>
      </c>
      <c r="C378" t="s">
        <v>1530</v>
      </c>
      <c r="D378" t="s">
        <v>2409</v>
      </c>
      <c r="E378">
        <v>4</v>
      </c>
      <c r="F378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>
        <v>9</v>
      </c>
      <c r="L378" t="s">
        <v>4277</v>
      </c>
      <c r="M378" t="s">
        <v>4281</v>
      </c>
      <c r="N378">
        <v>1101.1199999999999</v>
      </c>
      <c r="O378" t="s">
        <v>4290</v>
      </c>
      <c r="P378" t="s">
        <v>2677</v>
      </c>
      <c r="Q378" t="s">
        <v>3068</v>
      </c>
      <c r="R378" t="s">
        <v>4281</v>
      </c>
      <c r="S378">
        <v>122.35</v>
      </c>
    </row>
    <row r="379" spans="1:19" x14ac:dyDescent="0.3">
      <c r="A379" t="s">
        <v>615</v>
      </c>
      <c r="B379" s="3">
        <v>45201</v>
      </c>
      <c r="C379" t="s">
        <v>1815</v>
      </c>
      <c r="D379" t="s">
        <v>2403</v>
      </c>
      <c r="E379">
        <v>5</v>
      </c>
      <c r="F379">
        <v>24.82</v>
      </c>
      <c r="G379" t="s">
        <v>2836</v>
      </c>
      <c r="H379" t="s">
        <v>3067</v>
      </c>
      <c r="I379" t="s">
        <v>3070</v>
      </c>
      <c r="J379" t="s">
        <v>3676</v>
      </c>
      <c r="K379">
        <v>10</v>
      </c>
      <c r="L379" t="s">
        <v>4283</v>
      </c>
      <c r="M379" t="s">
        <v>4279</v>
      </c>
      <c r="N379">
        <v>124.1</v>
      </c>
      <c r="O379" t="s">
        <v>4290</v>
      </c>
      <c r="P379" t="s">
        <v>2836</v>
      </c>
      <c r="Q379" t="s">
        <v>3067</v>
      </c>
      <c r="R379" t="s">
        <v>4279</v>
      </c>
      <c r="S379">
        <v>12.41</v>
      </c>
    </row>
    <row r="380" spans="1:19" x14ac:dyDescent="0.3">
      <c r="A380" t="s">
        <v>708</v>
      </c>
      <c r="B380" s="3">
        <v>45201</v>
      </c>
      <c r="C380" t="s">
        <v>1906</v>
      </c>
      <c r="D380" t="s">
        <v>2407</v>
      </c>
      <c r="E380">
        <v>4</v>
      </c>
      <c r="F380">
        <v>666.52</v>
      </c>
      <c r="G380" t="s">
        <v>2695</v>
      </c>
      <c r="H380" t="s">
        <v>3069</v>
      </c>
      <c r="I380" t="s">
        <v>3070</v>
      </c>
      <c r="J380" t="s">
        <v>3769</v>
      </c>
      <c r="K380">
        <v>8</v>
      </c>
      <c r="L380" t="s">
        <v>4276</v>
      </c>
      <c r="M380" t="s">
        <v>4280</v>
      </c>
      <c r="N380">
        <v>2666.08</v>
      </c>
      <c r="O380" t="s">
        <v>4290</v>
      </c>
      <c r="P380" t="s">
        <v>2695</v>
      </c>
      <c r="Q380" t="s">
        <v>3069</v>
      </c>
      <c r="R380" t="s">
        <v>4280</v>
      </c>
      <c r="S380">
        <v>333.26</v>
      </c>
    </row>
    <row r="381" spans="1:19" x14ac:dyDescent="0.3">
      <c r="A381" t="s">
        <v>1044</v>
      </c>
      <c r="B381" s="3">
        <v>45201</v>
      </c>
      <c r="C381" t="s">
        <v>2236</v>
      </c>
      <c r="D381" t="s">
        <v>2404</v>
      </c>
      <c r="E381">
        <v>4</v>
      </c>
      <c r="F381">
        <v>245.28</v>
      </c>
      <c r="G381" t="s">
        <v>3005</v>
      </c>
      <c r="H381" t="s">
        <v>3067</v>
      </c>
      <c r="I381" t="s">
        <v>3073</v>
      </c>
      <c r="J381" t="s">
        <v>4105</v>
      </c>
      <c r="K381">
        <v>6</v>
      </c>
      <c r="L381" t="s">
        <v>4277</v>
      </c>
      <c r="M381" t="s">
        <v>4280</v>
      </c>
      <c r="N381">
        <v>981.12</v>
      </c>
      <c r="O381" t="s">
        <v>4290</v>
      </c>
      <c r="P381" t="s">
        <v>3005</v>
      </c>
      <c r="Q381" t="s">
        <v>3067</v>
      </c>
      <c r="R381" t="s">
        <v>4280</v>
      </c>
      <c r="S381">
        <v>163.52000000000001</v>
      </c>
    </row>
    <row r="382" spans="1:19" x14ac:dyDescent="0.3">
      <c r="A382" t="s">
        <v>323</v>
      </c>
      <c r="B382" s="3">
        <v>45202</v>
      </c>
      <c r="C382" t="s">
        <v>1523</v>
      </c>
      <c r="D382" t="s">
        <v>2406</v>
      </c>
      <c r="E382">
        <v>4</v>
      </c>
      <c r="F382">
        <v>549.76</v>
      </c>
      <c r="G382" t="s">
        <v>2671</v>
      </c>
      <c r="H382" t="s">
        <v>3065</v>
      </c>
      <c r="I382" t="s">
        <v>3073</v>
      </c>
      <c r="J382" t="s">
        <v>3384</v>
      </c>
      <c r="K382">
        <v>4</v>
      </c>
      <c r="L382" t="s">
        <v>4276</v>
      </c>
      <c r="M382" t="s">
        <v>4281</v>
      </c>
      <c r="N382">
        <v>2199.04</v>
      </c>
      <c r="O382" t="s">
        <v>4290</v>
      </c>
      <c r="P382" t="s">
        <v>2671</v>
      </c>
      <c r="Q382" t="s">
        <v>3065</v>
      </c>
      <c r="R382" t="s">
        <v>4281</v>
      </c>
      <c r="S382">
        <v>549.76</v>
      </c>
    </row>
    <row r="383" spans="1:19" x14ac:dyDescent="0.3">
      <c r="A383" t="s">
        <v>328</v>
      </c>
      <c r="B383" s="3">
        <v>45203</v>
      </c>
      <c r="C383" t="s">
        <v>1528</v>
      </c>
      <c r="D383" t="s">
        <v>2409</v>
      </c>
      <c r="E383">
        <v>4</v>
      </c>
      <c r="F383">
        <v>153.09</v>
      </c>
      <c r="G383" t="s">
        <v>2675</v>
      </c>
      <c r="H383" t="s">
        <v>3066</v>
      </c>
      <c r="I383" t="s">
        <v>3073</v>
      </c>
      <c r="J383" t="s">
        <v>3389</v>
      </c>
      <c r="K383">
        <v>4</v>
      </c>
      <c r="L383" t="s">
        <v>4276</v>
      </c>
      <c r="M383" t="s">
        <v>4279</v>
      </c>
      <c r="N383">
        <v>612.36</v>
      </c>
      <c r="O383" t="s">
        <v>4290</v>
      </c>
      <c r="P383" t="s">
        <v>2675</v>
      </c>
      <c r="Q383" t="s">
        <v>3066</v>
      </c>
      <c r="R383" t="s">
        <v>4279</v>
      </c>
      <c r="S383">
        <v>153.09</v>
      </c>
    </row>
    <row r="384" spans="1:19" x14ac:dyDescent="0.3">
      <c r="A384" t="s">
        <v>650</v>
      </c>
      <c r="B384" s="3">
        <v>45204</v>
      </c>
      <c r="C384" t="s">
        <v>1849</v>
      </c>
      <c r="D384" t="s">
        <v>2408</v>
      </c>
      <c r="E384">
        <v>4</v>
      </c>
      <c r="F384">
        <v>371.07</v>
      </c>
      <c r="G384" t="s">
        <v>2564</v>
      </c>
      <c r="H384" t="s">
        <v>3069</v>
      </c>
      <c r="I384" t="s">
        <v>3071</v>
      </c>
      <c r="J384" t="s">
        <v>3711</v>
      </c>
      <c r="K384">
        <v>7</v>
      </c>
      <c r="L384" t="s">
        <v>4277</v>
      </c>
      <c r="M384" t="s">
        <v>4281</v>
      </c>
      <c r="N384">
        <v>1484.28</v>
      </c>
      <c r="O384" t="s">
        <v>4290</v>
      </c>
      <c r="P384" t="s">
        <v>2564</v>
      </c>
      <c r="Q384" t="s">
        <v>3069</v>
      </c>
      <c r="R384" t="s">
        <v>4281</v>
      </c>
      <c r="S384">
        <v>212.04</v>
      </c>
    </row>
    <row r="385" spans="1:19" x14ac:dyDescent="0.3">
      <c r="A385" t="s">
        <v>831</v>
      </c>
      <c r="B385" s="3">
        <v>45204</v>
      </c>
      <c r="C385" t="s">
        <v>2027</v>
      </c>
      <c r="D385" t="s">
        <v>2406</v>
      </c>
      <c r="E385">
        <v>4</v>
      </c>
      <c r="F385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>
        <v>7</v>
      </c>
      <c r="L385" t="s">
        <v>4277</v>
      </c>
      <c r="M385" t="s">
        <v>4280</v>
      </c>
      <c r="N385">
        <v>2392.7600000000002</v>
      </c>
      <c r="O385" t="s">
        <v>4290</v>
      </c>
      <c r="P385" t="s">
        <v>2940</v>
      </c>
      <c r="Q385" t="s">
        <v>3067</v>
      </c>
      <c r="R385" t="s">
        <v>4280</v>
      </c>
      <c r="S385">
        <v>341.82</v>
      </c>
    </row>
    <row r="386" spans="1:19" x14ac:dyDescent="0.3">
      <c r="A386" t="s">
        <v>576</v>
      </c>
      <c r="B386" s="3">
        <v>45205</v>
      </c>
      <c r="C386" t="s">
        <v>1776</v>
      </c>
      <c r="D386" t="s">
        <v>2408</v>
      </c>
      <c r="E386">
        <v>3</v>
      </c>
      <c r="F386">
        <v>663.93</v>
      </c>
      <c r="G386" t="s">
        <v>2500</v>
      </c>
      <c r="H386" t="s">
        <v>3068</v>
      </c>
      <c r="I386" t="s">
        <v>3072</v>
      </c>
      <c r="J386" t="s">
        <v>3637</v>
      </c>
      <c r="K386">
        <v>6</v>
      </c>
      <c r="L386" t="s">
        <v>4276</v>
      </c>
      <c r="M386" t="s">
        <v>4280</v>
      </c>
      <c r="N386">
        <v>1991.79</v>
      </c>
      <c r="O386" t="s">
        <v>4290</v>
      </c>
      <c r="P386" t="s">
        <v>2500</v>
      </c>
      <c r="Q386" t="s">
        <v>3068</v>
      </c>
      <c r="R386" t="s">
        <v>4280</v>
      </c>
      <c r="S386">
        <v>331.96</v>
      </c>
    </row>
    <row r="387" spans="1:19" x14ac:dyDescent="0.3">
      <c r="A387" t="s">
        <v>779</v>
      </c>
      <c r="B387" s="3">
        <v>45205</v>
      </c>
      <c r="C387" t="s">
        <v>1976</v>
      </c>
      <c r="D387" t="s">
        <v>2408</v>
      </c>
      <c r="E387">
        <v>2</v>
      </c>
      <c r="F387">
        <v>534.91</v>
      </c>
      <c r="G387" t="s">
        <v>2888</v>
      </c>
      <c r="H387" t="s">
        <v>3065</v>
      </c>
      <c r="I387" t="s">
        <v>3072</v>
      </c>
      <c r="J387" t="s">
        <v>3840</v>
      </c>
      <c r="K387">
        <v>5</v>
      </c>
      <c r="L387" t="s">
        <v>4275</v>
      </c>
      <c r="M387" t="s">
        <v>4282</v>
      </c>
      <c r="N387">
        <v>1069.82</v>
      </c>
      <c r="O387" t="s">
        <v>4290</v>
      </c>
      <c r="P387" t="s">
        <v>2888</v>
      </c>
      <c r="Q387" t="s">
        <v>3065</v>
      </c>
      <c r="R387" t="s">
        <v>4282</v>
      </c>
      <c r="S387">
        <v>213.96</v>
      </c>
    </row>
    <row r="388" spans="1:19" x14ac:dyDescent="0.3">
      <c r="A388" t="s">
        <v>1096</v>
      </c>
      <c r="B388" s="3">
        <v>45205</v>
      </c>
      <c r="C388" t="s">
        <v>2288</v>
      </c>
      <c r="D388" t="s">
        <v>2406</v>
      </c>
      <c r="E388">
        <v>3</v>
      </c>
      <c r="F388">
        <v>573.22</v>
      </c>
      <c r="G388" t="s">
        <v>3011</v>
      </c>
      <c r="H388" t="s">
        <v>3065</v>
      </c>
      <c r="I388" t="s">
        <v>3074</v>
      </c>
      <c r="J388" t="s">
        <v>4157</v>
      </c>
      <c r="K388">
        <v>5</v>
      </c>
      <c r="L388" t="s">
        <v>4275</v>
      </c>
      <c r="M388" t="s">
        <v>4280</v>
      </c>
      <c r="N388">
        <v>1719.66</v>
      </c>
      <c r="O388" t="s">
        <v>4290</v>
      </c>
      <c r="P388" t="s">
        <v>3011</v>
      </c>
      <c r="Q388" t="s">
        <v>3065</v>
      </c>
      <c r="R388" t="s">
        <v>4280</v>
      </c>
      <c r="S388">
        <v>343.93</v>
      </c>
    </row>
    <row r="389" spans="1:19" x14ac:dyDescent="0.3">
      <c r="A389" t="s">
        <v>63</v>
      </c>
      <c r="B389" s="3">
        <v>45206</v>
      </c>
      <c r="C389" t="s">
        <v>1263</v>
      </c>
      <c r="D389" t="s">
        <v>2407</v>
      </c>
      <c r="E389">
        <v>1</v>
      </c>
      <c r="F389">
        <v>30.44</v>
      </c>
      <c r="G389" t="s">
        <v>2432</v>
      </c>
      <c r="H389" t="s">
        <v>3067</v>
      </c>
      <c r="I389" t="s">
        <v>3070</v>
      </c>
      <c r="J389" t="s">
        <v>3124</v>
      </c>
      <c r="K389">
        <v>1</v>
      </c>
      <c r="L389" t="s">
        <v>4275</v>
      </c>
      <c r="M389" t="s">
        <v>4280</v>
      </c>
      <c r="N389">
        <v>30.44</v>
      </c>
      <c r="O389" t="s">
        <v>4290</v>
      </c>
      <c r="P389" t="s">
        <v>2432</v>
      </c>
      <c r="Q389" t="s">
        <v>3067</v>
      </c>
      <c r="R389" t="s">
        <v>4280</v>
      </c>
      <c r="S389">
        <v>30.44</v>
      </c>
    </row>
    <row r="390" spans="1:19" x14ac:dyDescent="0.3">
      <c r="A390" t="s">
        <v>1202</v>
      </c>
      <c r="B390" s="3">
        <v>45206</v>
      </c>
      <c r="C390" t="s">
        <v>2391</v>
      </c>
      <c r="D390" t="s">
        <v>2407</v>
      </c>
      <c r="E390">
        <v>2</v>
      </c>
      <c r="F390">
        <v>371.29</v>
      </c>
      <c r="G390" t="s">
        <v>3059</v>
      </c>
      <c r="H390" t="s">
        <v>3068</v>
      </c>
      <c r="I390" t="s">
        <v>3070</v>
      </c>
      <c r="J390" t="s">
        <v>4263</v>
      </c>
      <c r="K390">
        <v>5</v>
      </c>
      <c r="L390" t="s">
        <v>4277</v>
      </c>
      <c r="M390" t="s">
        <v>4281</v>
      </c>
      <c r="N390">
        <v>742.58</v>
      </c>
      <c r="O390" t="s">
        <v>4290</v>
      </c>
      <c r="P390" t="s">
        <v>3059</v>
      </c>
      <c r="Q390" t="s">
        <v>3068</v>
      </c>
      <c r="R390" t="s">
        <v>4281</v>
      </c>
      <c r="S390">
        <v>148.52000000000001</v>
      </c>
    </row>
    <row r="391" spans="1:19" x14ac:dyDescent="0.3">
      <c r="A391" t="s">
        <v>427</v>
      </c>
      <c r="B391" s="3">
        <v>45207</v>
      </c>
      <c r="C391" t="s">
        <v>1627</v>
      </c>
      <c r="D391" t="s">
        <v>2405</v>
      </c>
      <c r="E391">
        <v>1</v>
      </c>
      <c r="F391">
        <v>118.8</v>
      </c>
      <c r="G391" t="s">
        <v>2739</v>
      </c>
      <c r="H391" t="s">
        <v>3066</v>
      </c>
      <c r="I391" t="s">
        <v>3073</v>
      </c>
      <c r="J391" t="s">
        <v>3488</v>
      </c>
      <c r="K391">
        <v>6</v>
      </c>
      <c r="L391" t="s">
        <v>4275</v>
      </c>
      <c r="M391" t="s">
        <v>4280</v>
      </c>
      <c r="N391">
        <v>118.8</v>
      </c>
      <c r="O391" t="s">
        <v>4290</v>
      </c>
      <c r="P391" t="s">
        <v>2739</v>
      </c>
      <c r="Q391" t="s">
        <v>3066</v>
      </c>
      <c r="R391" t="s">
        <v>4280</v>
      </c>
      <c r="S391">
        <v>19.8</v>
      </c>
    </row>
    <row r="392" spans="1:19" x14ac:dyDescent="0.3">
      <c r="A392" t="s">
        <v>859</v>
      </c>
      <c r="B392" s="3">
        <v>45207</v>
      </c>
      <c r="C392" t="s">
        <v>2055</v>
      </c>
      <c r="D392" t="s">
        <v>2404</v>
      </c>
      <c r="E392">
        <v>3</v>
      </c>
      <c r="F392">
        <v>107.36</v>
      </c>
      <c r="G392" t="s">
        <v>2953</v>
      </c>
      <c r="H392" t="s">
        <v>3068</v>
      </c>
      <c r="I392" t="s">
        <v>3073</v>
      </c>
      <c r="J392" t="s">
        <v>3920</v>
      </c>
      <c r="K392">
        <v>5</v>
      </c>
      <c r="L392" t="s">
        <v>4276</v>
      </c>
      <c r="M392" t="s">
        <v>4282</v>
      </c>
      <c r="N392">
        <v>322.08</v>
      </c>
      <c r="O392" t="s">
        <v>4290</v>
      </c>
      <c r="P392" t="s">
        <v>2953</v>
      </c>
      <c r="Q392" t="s">
        <v>3068</v>
      </c>
      <c r="R392" t="s">
        <v>4282</v>
      </c>
      <c r="S392">
        <v>64.42</v>
      </c>
    </row>
    <row r="393" spans="1:19" x14ac:dyDescent="0.3">
      <c r="A393" t="s">
        <v>132</v>
      </c>
      <c r="B393" s="3">
        <v>45208</v>
      </c>
      <c r="C393" t="s">
        <v>1332</v>
      </c>
      <c r="D393" t="s">
        <v>2407</v>
      </c>
      <c r="E393">
        <v>5</v>
      </c>
      <c r="F393">
        <v>502.71</v>
      </c>
      <c r="G393" t="s">
        <v>2521</v>
      </c>
      <c r="H393" t="s">
        <v>3068</v>
      </c>
      <c r="I393" t="s">
        <v>3070</v>
      </c>
      <c r="J393" t="s">
        <v>3193</v>
      </c>
      <c r="K393">
        <v>7</v>
      </c>
      <c r="L393" t="s">
        <v>4276</v>
      </c>
      <c r="M393" t="s">
        <v>4282</v>
      </c>
      <c r="N393">
        <v>2513.5500000000002</v>
      </c>
      <c r="O393" t="s">
        <v>4290</v>
      </c>
      <c r="P393" t="s">
        <v>2521</v>
      </c>
      <c r="Q393" t="s">
        <v>3068</v>
      </c>
      <c r="R393" t="s">
        <v>4282</v>
      </c>
      <c r="S393">
        <v>359.08</v>
      </c>
    </row>
    <row r="394" spans="1:19" x14ac:dyDescent="0.3">
      <c r="A394" t="s">
        <v>700</v>
      </c>
      <c r="B394" s="3">
        <v>45208</v>
      </c>
      <c r="C394" t="s">
        <v>1898</v>
      </c>
      <c r="D394" t="s">
        <v>2409</v>
      </c>
      <c r="E394">
        <v>3</v>
      </c>
      <c r="F394">
        <v>53.6</v>
      </c>
      <c r="G394" t="s">
        <v>2874</v>
      </c>
      <c r="H394" t="s">
        <v>3069</v>
      </c>
      <c r="I394" t="s">
        <v>3074</v>
      </c>
      <c r="J394" t="s">
        <v>3761</v>
      </c>
      <c r="K394">
        <v>4</v>
      </c>
      <c r="L394" t="s">
        <v>4277</v>
      </c>
      <c r="M394" t="s">
        <v>4281</v>
      </c>
      <c r="N394">
        <v>160.80000000000001</v>
      </c>
      <c r="O394" t="s">
        <v>4290</v>
      </c>
      <c r="P394" t="s">
        <v>2874</v>
      </c>
      <c r="Q394" t="s">
        <v>3069</v>
      </c>
      <c r="R394" t="s">
        <v>4281</v>
      </c>
      <c r="S394">
        <v>40.200000000000003</v>
      </c>
    </row>
    <row r="395" spans="1:19" x14ac:dyDescent="0.3">
      <c r="A395" t="s">
        <v>1126</v>
      </c>
      <c r="B395" s="3">
        <v>45212</v>
      </c>
      <c r="C395" t="s">
        <v>2317</v>
      </c>
      <c r="D395" t="s">
        <v>2409</v>
      </c>
      <c r="E395">
        <v>1</v>
      </c>
      <c r="F395">
        <v>356.81</v>
      </c>
      <c r="G395" t="s">
        <v>2526</v>
      </c>
      <c r="H395" t="s">
        <v>3066</v>
      </c>
      <c r="I395" t="s">
        <v>3073</v>
      </c>
      <c r="J395" t="s">
        <v>4187</v>
      </c>
      <c r="K395">
        <v>1</v>
      </c>
      <c r="L395" t="s">
        <v>4277</v>
      </c>
      <c r="M395" t="s">
        <v>4278</v>
      </c>
      <c r="N395">
        <v>356.81</v>
      </c>
      <c r="O395" t="s">
        <v>4290</v>
      </c>
      <c r="P395" t="s">
        <v>2526</v>
      </c>
      <c r="Q395" t="s">
        <v>3066</v>
      </c>
      <c r="R395" t="s">
        <v>4278</v>
      </c>
      <c r="S395">
        <v>356.81</v>
      </c>
    </row>
    <row r="396" spans="1:19" x14ac:dyDescent="0.3">
      <c r="A396" t="s">
        <v>994</v>
      </c>
      <c r="B396" s="3">
        <v>45213</v>
      </c>
      <c r="C396" t="s">
        <v>2187</v>
      </c>
      <c r="D396" t="s">
        <v>2406</v>
      </c>
      <c r="E396">
        <v>3</v>
      </c>
      <c r="F396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>
        <v>7</v>
      </c>
      <c r="L396" t="s">
        <v>4277</v>
      </c>
      <c r="M396" t="s">
        <v>4278</v>
      </c>
      <c r="N396">
        <v>208.95</v>
      </c>
      <c r="O396" t="s">
        <v>4290</v>
      </c>
      <c r="P396" t="s">
        <v>2995</v>
      </c>
      <c r="Q396" t="s">
        <v>3069</v>
      </c>
      <c r="R396" t="s">
        <v>4278</v>
      </c>
      <c r="S396">
        <v>29.85</v>
      </c>
    </row>
    <row r="397" spans="1:19" x14ac:dyDescent="0.3">
      <c r="A397" t="s">
        <v>1130</v>
      </c>
      <c r="B397" s="3">
        <v>45213</v>
      </c>
      <c r="C397" t="s">
        <v>2321</v>
      </c>
      <c r="D397" t="s">
        <v>2407</v>
      </c>
      <c r="E397">
        <v>2</v>
      </c>
      <c r="F397">
        <v>531.49</v>
      </c>
      <c r="G397" t="s">
        <v>2613</v>
      </c>
      <c r="H397" t="s">
        <v>3067</v>
      </c>
      <c r="I397" t="s">
        <v>3073</v>
      </c>
      <c r="J397" t="s">
        <v>4191</v>
      </c>
      <c r="K397">
        <v>7</v>
      </c>
      <c r="L397" t="s">
        <v>4277</v>
      </c>
      <c r="M397" t="s">
        <v>4281</v>
      </c>
      <c r="N397">
        <v>1062.98</v>
      </c>
      <c r="O397" t="s">
        <v>4290</v>
      </c>
      <c r="P397" t="s">
        <v>2613</v>
      </c>
      <c r="Q397" t="s">
        <v>3067</v>
      </c>
      <c r="R397" t="s">
        <v>4281</v>
      </c>
      <c r="S397">
        <v>151.85</v>
      </c>
    </row>
    <row r="398" spans="1:19" x14ac:dyDescent="0.3">
      <c r="A398" t="s">
        <v>17</v>
      </c>
      <c r="B398" s="3">
        <v>45214</v>
      </c>
      <c r="C398" t="s">
        <v>1217</v>
      </c>
      <c r="D398" t="s">
        <v>2406</v>
      </c>
      <c r="E398">
        <v>1</v>
      </c>
      <c r="F398">
        <v>273.19</v>
      </c>
      <c r="G398" t="s">
        <v>2413</v>
      </c>
      <c r="H398" t="s">
        <v>3065</v>
      </c>
      <c r="I398" t="s">
        <v>3072</v>
      </c>
      <c r="J398" t="s">
        <v>3078</v>
      </c>
      <c r="K398">
        <v>5</v>
      </c>
      <c r="L398" t="s">
        <v>4275</v>
      </c>
      <c r="M398" t="s">
        <v>4281</v>
      </c>
      <c r="N398">
        <v>273.19</v>
      </c>
      <c r="O398" t="s">
        <v>4290</v>
      </c>
      <c r="P398" t="s">
        <v>2413</v>
      </c>
      <c r="Q398" t="s">
        <v>3065</v>
      </c>
      <c r="R398" t="s">
        <v>4281</v>
      </c>
      <c r="S398">
        <v>54.64</v>
      </c>
    </row>
    <row r="399" spans="1:19" x14ac:dyDescent="0.3">
      <c r="A399" t="s">
        <v>435</v>
      </c>
      <c r="B399" s="3">
        <v>45214</v>
      </c>
      <c r="C399" t="s">
        <v>1635</v>
      </c>
      <c r="D399" t="s">
        <v>2406</v>
      </c>
      <c r="E399">
        <v>2</v>
      </c>
      <c r="F399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>
        <v>5</v>
      </c>
      <c r="L399" t="s">
        <v>4283</v>
      </c>
      <c r="M399" t="s">
        <v>4280</v>
      </c>
      <c r="N399">
        <v>576.41999999999996</v>
      </c>
      <c r="O399" t="s">
        <v>4290</v>
      </c>
      <c r="P399" t="s">
        <v>2745</v>
      </c>
      <c r="Q399" t="s">
        <v>3065</v>
      </c>
      <c r="R399" t="s">
        <v>4280</v>
      </c>
      <c r="S399">
        <v>115.28</v>
      </c>
    </row>
    <row r="400" spans="1:19" x14ac:dyDescent="0.3">
      <c r="A400" t="s">
        <v>652</v>
      </c>
      <c r="B400" s="3">
        <v>45214</v>
      </c>
      <c r="C400" t="s">
        <v>1851</v>
      </c>
      <c r="D400" t="s">
        <v>2405</v>
      </c>
      <c r="E400">
        <v>4</v>
      </c>
      <c r="F400">
        <v>578.27</v>
      </c>
      <c r="G400" t="s">
        <v>2854</v>
      </c>
      <c r="H400" t="s">
        <v>3066</v>
      </c>
      <c r="I400" t="s">
        <v>3073</v>
      </c>
      <c r="J400" t="s">
        <v>3713</v>
      </c>
      <c r="K400">
        <v>9</v>
      </c>
      <c r="L400" t="s">
        <v>4277</v>
      </c>
      <c r="M400" t="s">
        <v>4280</v>
      </c>
      <c r="N400">
        <v>2313.08</v>
      </c>
      <c r="O400" t="s">
        <v>4290</v>
      </c>
      <c r="P400" t="s">
        <v>2854</v>
      </c>
      <c r="Q400" t="s">
        <v>3066</v>
      </c>
      <c r="R400" t="s">
        <v>4280</v>
      </c>
      <c r="S400">
        <v>257.01</v>
      </c>
    </row>
    <row r="401" spans="1:19" x14ac:dyDescent="0.3">
      <c r="A401" t="s">
        <v>731</v>
      </c>
      <c r="B401" s="3">
        <v>45215</v>
      </c>
      <c r="C401" t="s">
        <v>1928</v>
      </c>
      <c r="D401" t="s">
        <v>2406</v>
      </c>
      <c r="E401">
        <v>3</v>
      </c>
      <c r="F401">
        <v>122.11</v>
      </c>
      <c r="G401" t="s">
        <v>2889</v>
      </c>
      <c r="H401" t="s">
        <v>3066</v>
      </c>
      <c r="I401" t="s">
        <v>3073</v>
      </c>
      <c r="J401" t="s">
        <v>3792</v>
      </c>
      <c r="K401">
        <v>4</v>
      </c>
      <c r="L401" t="s">
        <v>4277</v>
      </c>
      <c r="M401" t="s">
        <v>4280</v>
      </c>
      <c r="N401">
        <v>366.33</v>
      </c>
      <c r="O401" t="s">
        <v>4290</v>
      </c>
      <c r="P401" t="s">
        <v>2889</v>
      </c>
      <c r="Q401" t="s">
        <v>3066</v>
      </c>
      <c r="R401" t="s">
        <v>4280</v>
      </c>
      <c r="S401">
        <v>91.58</v>
      </c>
    </row>
    <row r="402" spans="1:19" x14ac:dyDescent="0.3">
      <c r="A402" t="s">
        <v>867</v>
      </c>
      <c r="B402" s="3">
        <v>45215</v>
      </c>
      <c r="C402" t="s">
        <v>2063</v>
      </c>
      <c r="D402" t="s">
        <v>2407</v>
      </c>
      <c r="E402">
        <v>3</v>
      </c>
      <c r="F402">
        <v>490.01</v>
      </c>
      <c r="G402" t="s">
        <v>2663</v>
      </c>
      <c r="H402" t="s">
        <v>3069</v>
      </c>
      <c r="I402" t="s">
        <v>3072</v>
      </c>
      <c r="J402" t="s">
        <v>3928</v>
      </c>
      <c r="K402">
        <v>4</v>
      </c>
      <c r="L402" t="s">
        <v>4275</v>
      </c>
      <c r="M402" t="s">
        <v>4281</v>
      </c>
      <c r="N402">
        <v>1470.03</v>
      </c>
      <c r="O402" t="s">
        <v>4290</v>
      </c>
      <c r="P402" t="s">
        <v>2663</v>
      </c>
      <c r="Q402" t="s">
        <v>3069</v>
      </c>
      <c r="R402" t="s">
        <v>4281</v>
      </c>
      <c r="S402">
        <v>367.51</v>
      </c>
    </row>
    <row r="403" spans="1:19" x14ac:dyDescent="0.3">
      <c r="A403" t="s">
        <v>1139</v>
      </c>
      <c r="B403" s="3">
        <v>45215</v>
      </c>
      <c r="C403" t="s">
        <v>2329</v>
      </c>
      <c r="D403" t="s">
        <v>2409</v>
      </c>
      <c r="E403">
        <v>4</v>
      </c>
      <c r="F403">
        <v>408.36</v>
      </c>
      <c r="G403" t="s">
        <v>2958</v>
      </c>
      <c r="H403" t="s">
        <v>3068</v>
      </c>
      <c r="I403" t="s">
        <v>3071</v>
      </c>
      <c r="J403" t="s">
        <v>4200</v>
      </c>
      <c r="K403">
        <v>4</v>
      </c>
      <c r="L403" t="s">
        <v>4276</v>
      </c>
      <c r="M403" t="s">
        <v>4279</v>
      </c>
      <c r="N403">
        <v>1633.44</v>
      </c>
      <c r="O403" t="s">
        <v>4290</v>
      </c>
      <c r="P403" t="s">
        <v>2958</v>
      </c>
      <c r="Q403" t="s">
        <v>3068</v>
      </c>
      <c r="R403" t="s">
        <v>4279</v>
      </c>
      <c r="S403">
        <v>408.36</v>
      </c>
    </row>
    <row r="404" spans="1:19" x14ac:dyDescent="0.3">
      <c r="A404" t="s">
        <v>1175</v>
      </c>
      <c r="B404" s="3">
        <v>45215</v>
      </c>
      <c r="C404" t="s">
        <v>2364</v>
      </c>
      <c r="D404" t="s">
        <v>2404</v>
      </c>
      <c r="E404">
        <v>1</v>
      </c>
      <c r="F404">
        <v>11.39</v>
      </c>
      <c r="G404" t="s">
        <v>2693</v>
      </c>
      <c r="H404" t="s">
        <v>3069</v>
      </c>
      <c r="I404" t="s">
        <v>3071</v>
      </c>
      <c r="J404" t="s">
        <v>4236</v>
      </c>
      <c r="K404">
        <v>6</v>
      </c>
      <c r="L404" t="s">
        <v>4277</v>
      </c>
      <c r="M404" t="s">
        <v>4280</v>
      </c>
      <c r="N404">
        <v>11.39</v>
      </c>
      <c r="O404" t="s">
        <v>4290</v>
      </c>
      <c r="P404" t="s">
        <v>2693</v>
      </c>
      <c r="Q404" t="s">
        <v>3069</v>
      </c>
      <c r="R404" t="s">
        <v>4280</v>
      </c>
      <c r="S404">
        <v>1.9</v>
      </c>
    </row>
    <row r="405" spans="1:19" x14ac:dyDescent="0.3">
      <c r="A405" t="s">
        <v>1181</v>
      </c>
      <c r="B405" s="3">
        <v>45216</v>
      </c>
      <c r="C405" t="s">
        <v>2370</v>
      </c>
      <c r="D405" t="s">
        <v>2407</v>
      </c>
      <c r="E405">
        <v>2</v>
      </c>
      <c r="F405">
        <v>92.87</v>
      </c>
      <c r="G405" t="s">
        <v>2645</v>
      </c>
      <c r="H405" t="s">
        <v>3067</v>
      </c>
      <c r="I405" t="s">
        <v>3074</v>
      </c>
      <c r="J405" t="s">
        <v>4242</v>
      </c>
      <c r="K405">
        <v>5</v>
      </c>
      <c r="L405" t="s">
        <v>4276</v>
      </c>
      <c r="M405" t="s">
        <v>4281</v>
      </c>
      <c r="N405">
        <v>185.74</v>
      </c>
      <c r="O405" t="s">
        <v>4290</v>
      </c>
      <c r="P405" t="s">
        <v>2645</v>
      </c>
      <c r="Q405" t="s">
        <v>3067</v>
      </c>
      <c r="R405" t="s">
        <v>4281</v>
      </c>
      <c r="S405">
        <v>37.15</v>
      </c>
    </row>
    <row r="406" spans="1:19" x14ac:dyDescent="0.3">
      <c r="A406" t="s">
        <v>460</v>
      </c>
      <c r="B406" s="3">
        <v>45217</v>
      </c>
      <c r="C406" t="s">
        <v>1660</v>
      </c>
      <c r="D406" t="s">
        <v>2408</v>
      </c>
      <c r="E406">
        <v>5</v>
      </c>
      <c r="F406">
        <v>509.58</v>
      </c>
      <c r="G406" t="s">
        <v>2758</v>
      </c>
      <c r="H406" t="s">
        <v>3066</v>
      </c>
      <c r="I406" t="s">
        <v>3073</v>
      </c>
      <c r="J406" t="s">
        <v>3521</v>
      </c>
      <c r="K406">
        <v>6</v>
      </c>
      <c r="L406" t="s">
        <v>4276</v>
      </c>
      <c r="M406" t="s">
        <v>4278</v>
      </c>
      <c r="N406">
        <v>2547.9</v>
      </c>
      <c r="O406" t="s">
        <v>4290</v>
      </c>
      <c r="P406" t="s">
        <v>2758</v>
      </c>
      <c r="Q406" t="s">
        <v>3066</v>
      </c>
      <c r="R406" t="s">
        <v>4278</v>
      </c>
      <c r="S406">
        <v>424.65</v>
      </c>
    </row>
    <row r="407" spans="1:19" x14ac:dyDescent="0.3">
      <c r="A407" t="s">
        <v>293</v>
      </c>
      <c r="B407" s="3">
        <v>45219</v>
      </c>
      <c r="C407" t="s">
        <v>1493</v>
      </c>
      <c r="D407" t="s">
        <v>2406</v>
      </c>
      <c r="E407">
        <v>3</v>
      </c>
      <c r="F407">
        <v>55.01</v>
      </c>
      <c r="G407" t="s">
        <v>2649</v>
      </c>
      <c r="H407" t="s">
        <v>3066</v>
      </c>
      <c r="I407" t="s">
        <v>3074</v>
      </c>
      <c r="J407" t="s">
        <v>3354</v>
      </c>
      <c r="K407">
        <v>7</v>
      </c>
      <c r="L407" t="s">
        <v>4277</v>
      </c>
      <c r="M407" t="s">
        <v>4280</v>
      </c>
      <c r="N407">
        <v>165.03</v>
      </c>
      <c r="O407" t="s">
        <v>4290</v>
      </c>
      <c r="P407" t="s">
        <v>2649</v>
      </c>
      <c r="Q407" t="s">
        <v>3066</v>
      </c>
      <c r="R407" t="s">
        <v>4280</v>
      </c>
      <c r="S407">
        <v>23.58</v>
      </c>
    </row>
    <row r="408" spans="1:19" x14ac:dyDescent="0.3">
      <c r="A408" t="s">
        <v>448</v>
      </c>
      <c r="B408" s="3">
        <v>45221</v>
      </c>
      <c r="C408" t="s">
        <v>1648</v>
      </c>
      <c r="D408" t="s">
        <v>2407</v>
      </c>
      <c r="E408">
        <v>5</v>
      </c>
      <c r="F408">
        <v>327.68</v>
      </c>
      <c r="G408" t="s">
        <v>2475</v>
      </c>
      <c r="H408" t="s">
        <v>3067</v>
      </c>
      <c r="I408" t="s">
        <v>3072</v>
      </c>
      <c r="J408" t="s">
        <v>3509</v>
      </c>
      <c r="K408">
        <v>6</v>
      </c>
      <c r="L408" t="s">
        <v>4283</v>
      </c>
      <c r="M408" t="s">
        <v>4281</v>
      </c>
      <c r="N408">
        <v>1638.4</v>
      </c>
      <c r="O408" t="s">
        <v>4290</v>
      </c>
      <c r="P408" t="s">
        <v>2475</v>
      </c>
      <c r="Q408" t="s">
        <v>3067</v>
      </c>
      <c r="R408" t="s">
        <v>4281</v>
      </c>
      <c r="S408">
        <v>273.07</v>
      </c>
    </row>
    <row r="409" spans="1:19" x14ac:dyDescent="0.3">
      <c r="A409" t="s">
        <v>635</v>
      </c>
      <c r="B409" s="3">
        <v>45221</v>
      </c>
      <c r="C409" t="s">
        <v>1834</v>
      </c>
      <c r="D409" t="s">
        <v>2404</v>
      </c>
      <c r="E409">
        <v>5</v>
      </c>
      <c r="F409">
        <v>476.01</v>
      </c>
      <c r="G409" t="s">
        <v>2482</v>
      </c>
      <c r="H409" t="s">
        <v>3067</v>
      </c>
      <c r="I409" t="s">
        <v>3073</v>
      </c>
      <c r="J409" t="s">
        <v>3696</v>
      </c>
      <c r="K409">
        <v>7</v>
      </c>
      <c r="L409" t="s">
        <v>4277</v>
      </c>
      <c r="M409" t="s">
        <v>4282</v>
      </c>
      <c r="N409">
        <v>2380.0500000000002</v>
      </c>
      <c r="O409" t="s">
        <v>4290</v>
      </c>
      <c r="P409" t="s">
        <v>2482</v>
      </c>
      <c r="Q409" t="s">
        <v>3067</v>
      </c>
      <c r="R409" t="s">
        <v>4282</v>
      </c>
      <c r="S409">
        <v>340.01</v>
      </c>
    </row>
    <row r="410" spans="1:19" x14ac:dyDescent="0.3">
      <c r="A410" t="s">
        <v>19</v>
      </c>
      <c r="B410" s="3">
        <v>45222</v>
      </c>
      <c r="C410" t="s">
        <v>1219</v>
      </c>
      <c r="D410" t="s">
        <v>2404</v>
      </c>
      <c r="E410">
        <v>2</v>
      </c>
      <c r="F410">
        <v>245.86</v>
      </c>
      <c r="G410" t="s">
        <v>2415</v>
      </c>
      <c r="H410" t="s">
        <v>3067</v>
      </c>
      <c r="I410" t="s">
        <v>3070</v>
      </c>
      <c r="J410" t="s">
        <v>3080</v>
      </c>
      <c r="K410">
        <v>4</v>
      </c>
      <c r="L410" t="s">
        <v>4275</v>
      </c>
      <c r="M410" t="s">
        <v>4278</v>
      </c>
      <c r="N410">
        <v>491.72</v>
      </c>
      <c r="O410" t="s">
        <v>4290</v>
      </c>
      <c r="P410" t="s">
        <v>2415</v>
      </c>
      <c r="Q410" t="s">
        <v>3067</v>
      </c>
      <c r="R410" t="s">
        <v>4278</v>
      </c>
      <c r="S410">
        <v>122.93</v>
      </c>
    </row>
    <row r="411" spans="1:19" x14ac:dyDescent="0.3">
      <c r="A411" t="s">
        <v>1035</v>
      </c>
      <c r="B411" s="3">
        <v>45222</v>
      </c>
      <c r="C411" t="s">
        <v>2227</v>
      </c>
      <c r="D411" t="s">
        <v>2404</v>
      </c>
      <c r="E411">
        <v>3</v>
      </c>
      <c r="F411">
        <v>315.27</v>
      </c>
      <c r="G411" t="s">
        <v>2961</v>
      </c>
      <c r="H411" t="s">
        <v>3067</v>
      </c>
      <c r="I411" t="s">
        <v>3071</v>
      </c>
      <c r="J411" t="s">
        <v>4096</v>
      </c>
      <c r="K411">
        <v>4</v>
      </c>
      <c r="L411" t="s">
        <v>4275</v>
      </c>
      <c r="M411" t="s">
        <v>4280</v>
      </c>
      <c r="N411">
        <v>945.81</v>
      </c>
      <c r="O411" t="s">
        <v>4290</v>
      </c>
      <c r="P411" t="s">
        <v>2961</v>
      </c>
      <c r="Q411" t="s">
        <v>3067</v>
      </c>
      <c r="R411" t="s">
        <v>4280</v>
      </c>
      <c r="S411">
        <v>236.45</v>
      </c>
    </row>
    <row r="412" spans="1:19" x14ac:dyDescent="0.3">
      <c r="A412" t="s">
        <v>1069</v>
      </c>
      <c r="B412" s="3">
        <v>45222</v>
      </c>
      <c r="C412" t="s">
        <v>2261</v>
      </c>
      <c r="D412" t="s">
        <v>2403</v>
      </c>
      <c r="E412">
        <v>4</v>
      </c>
      <c r="F412">
        <v>274.82</v>
      </c>
      <c r="G412" t="s">
        <v>2817</v>
      </c>
      <c r="H412" t="s">
        <v>3065</v>
      </c>
      <c r="I412" t="s">
        <v>3073</v>
      </c>
      <c r="J412" t="s">
        <v>4130</v>
      </c>
      <c r="K412">
        <v>9</v>
      </c>
      <c r="L412" t="s">
        <v>4277</v>
      </c>
      <c r="M412" t="s">
        <v>4280</v>
      </c>
      <c r="N412">
        <v>1099.28</v>
      </c>
      <c r="O412" t="s">
        <v>4290</v>
      </c>
      <c r="P412" t="s">
        <v>2817</v>
      </c>
      <c r="Q412" t="s">
        <v>3065</v>
      </c>
      <c r="R412" t="s">
        <v>4280</v>
      </c>
      <c r="S412">
        <v>122.14</v>
      </c>
    </row>
    <row r="413" spans="1:19" x14ac:dyDescent="0.3">
      <c r="A413" t="s">
        <v>431</v>
      </c>
      <c r="B413" s="3">
        <v>45223</v>
      </c>
      <c r="C413" t="s">
        <v>1631</v>
      </c>
      <c r="D413" t="s">
        <v>2408</v>
      </c>
      <c r="E413">
        <v>5</v>
      </c>
      <c r="F413">
        <v>55.41</v>
      </c>
      <c r="G413" t="s">
        <v>2742</v>
      </c>
      <c r="H413" t="s">
        <v>3066</v>
      </c>
      <c r="I413" t="s">
        <v>3071</v>
      </c>
      <c r="J413" t="s">
        <v>3492</v>
      </c>
      <c r="K413">
        <v>5</v>
      </c>
      <c r="L413" t="s">
        <v>4283</v>
      </c>
      <c r="M413" t="s">
        <v>4282</v>
      </c>
      <c r="N413">
        <v>277.05</v>
      </c>
      <c r="O413" t="s">
        <v>4290</v>
      </c>
      <c r="P413" t="s">
        <v>2742</v>
      </c>
      <c r="Q413" t="s">
        <v>3066</v>
      </c>
      <c r="R413" t="s">
        <v>4282</v>
      </c>
      <c r="S413">
        <v>55.41</v>
      </c>
    </row>
    <row r="414" spans="1:19" x14ac:dyDescent="0.3">
      <c r="A414" t="s">
        <v>506</v>
      </c>
      <c r="B414" s="3">
        <v>45224</v>
      </c>
      <c r="C414" t="s">
        <v>1706</v>
      </c>
      <c r="D414" t="s">
        <v>2408</v>
      </c>
      <c r="E414">
        <v>5</v>
      </c>
      <c r="F414">
        <v>606.52</v>
      </c>
      <c r="G414" t="s">
        <v>2483</v>
      </c>
      <c r="H414" t="s">
        <v>3065</v>
      </c>
      <c r="I414" t="s">
        <v>3070</v>
      </c>
      <c r="J414" t="s">
        <v>3567</v>
      </c>
      <c r="K414">
        <v>6</v>
      </c>
      <c r="L414" t="s">
        <v>4275</v>
      </c>
      <c r="M414" t="s">
        <v>4278</v>
      </c>
      <c r="N414">
        <v>3032.6</v>
      </c>
      <c r="O414" t="s">
        <v>4290</v>
      </c>
      <c r="P414" t="s">
        <v>2483</v>
      </c>
      <c r="Q414" t="s">
        <v>3065</v>
      </c>
      <c r="R414" t="s">
        <v>4278</v>
      </c>
      <c r="S414">
        <v>505.43</v>
      </c>
    </row>
    <row r="415" spans="1:19" x14ac:dyDescent="0.3">
      <c r="A415" t="s">
        <v>538</v>
      </c>
      <c r="B415" s="3">
        <v>45224</v>
      </c>
      <c r="C415" t="s">
        <v>1738</v>
      </c>
      <c r="D415" t="s">
        <v>2404</v>
      </c>
      <c r="E415">
        <v>1</v>
      </c>
      <c r="F415">
        <v>153</v>
      </c>
      <c r="G415" t="s">
        <v>2483</v>
      </c>
      <c r="H415" t="s">
        <v>3067</v>
      </c>
      <c r="I415" t="s">
        <v>3072</v>
      </c>
      <c r="J415" t="s">
        <v>3599</v>
      </c>
      <c r="K415">
        <v>4</v>
      </c>
      <c r="L415" t="s">
        <v>4283</v>
      </c>
      <c r="M415" t="s">
        <v>4279</v>
      </c>
      <c r="N415">
        <v>153</v>
      </c>
      <c r="O415" t="s">
        <v>4290</v>
      </c>
      <c r="P415" t="s">
        <v>2483</v>
      </c>
      <c r="Q415" t="s">
        <v>3067</v>
      </c>
      <c r="R415" t="s">
        <v>4279</v>
      </c>
      <c r="S415">
        <v>38.25</v>
      </c>
    </row>
    <row r="416" spans="1:19" x14ac:dyDescent="0.3">
      <c r="A416" t="s">
        <v>900</v>
      </c>
      <c r="B416" s="3">
        <v>45224</v>
      </c>
      <c r="C416" t="s">
        <v>2096</v>
      </c>
      <c r="D416" t="s">
        <v>2404</v>
      </c>
      <c r="E416">
        <v>1</v>
      </c>
      <c r="F416">
        <v>460.13</v>
      </c>
      <c r="G416" t="s">
        <v>2970</v>
      </c>
      <c r="H416" t="s">
        <v>3067</v>
      </c>
      <c r="I416" t="s">
        <v>3072</v>
      </c>
      <c r="J416" t="s">
        <v>3961</v>
      </c>
      <c r="K416">
        <v>1</v>
      </c>
      <c r="L416" t="s">
        <v>4283</v>
      </c>
      <c r="M416" t="s">
        <v>4282</v>
      </c>
      <c r="N416">
        <v>460.13</v>
      </c>
      <c r="O416" t="s">
        <v>4290</v>
      </c>
      <c r="P416" t="s">
        <v>2970</v>
      </c>
      <c r="Q416" t="s">
        <v>3067</v>
      </c>
      <c r="R416" t="s">
        <v>4282</v>
      </c>
      <c r="S416">
        <v>460.13</v>
      </c>
    </row>
    <row r="417" spans="1:19" x14ac:dyDescent="0.3">
      <c r="A417" t="s">
        <v>143</v>
      </c>
      <c r="B417" s="3">
        <v>45226</v>
      </c>
      <c r="C417" t="s">
        <v>1343</v>
      </c>
      <c r="D417" t="s">
        <v>2408</v>
      </c>
      <c r="E417">
        <v>4</v>
      </c>
      <c r="F417">
        <v>263.93</v>
      </c>
      <c r="G417" t="s">
        <v>2531</v>
      </c>
      <c r="H417" t="s">
        <v>3065</v>
      </c>
      <c r="I417" t="s">
        <v>3070</v>
      </c>
      <c r="J417" t="s">
        <v>3204</v>
      </c>
      <c r="K417">
        <v>4</v>
      </c>
      <c r="L417" t="s">
        <v>4276</v>
      </c>
      <c r="M417" t="s">
        <v>4281</v>
      </c>
      <c r="N417">
        <v>1055.72</v>
      </c>
      <c r="O417" t="s">
        <v>4290</v>
      </c>
      <c r="P417" t="s">
        <v>2531</v>
      </c>
      <c r="Q417" t="s">
        <v>3065</v>
      </c>
      <c r="R417" t="s">
        <v>4281</v>
      </c>
      <c r="S417">
        <v>263.93</v>
      </c>
    </row>
    <row r="418" spans="1:19" x14ac:dyDescent="0.3">
      <c r="A418" t="s">
        <v>660</v>
      </c>
      <c r="B418" s="3">
        <v>45226</v>
      </c>
      <c r="C418" t="s">
        <v>1859</v>
      </c>
      <c r="D418" t="s">
        <v>2406</v>
      </c>
      <c r="E418">
        <v>4</v>
      </c>
      <c r="F418">
        <v>498.51</v>
      </c>
      <c r="G418" t="s">
        <v>2857</v>
      </c>
      <c r="H418" t="s">
        <v>3065</v>
      </c>
      <c r="I418" t="s">
        <v>3070</v>
      </c>
      <c r="J418" t="s">
        <v>3721</v>
      </c>
      <c r="K418">
        <v>4</v>
      </c>
      <c r="L418" t="s">
        <v>4275</v>
      </c>
      <c r="M418" t="s">
        <v>4282</v>
      </c>
      <c r="N418">
        <v>1994.04</v>
      </c>
      <c r="O418" t="s">
        <v>4290</v>
      </c>
      <c r="P418" t="s">
        <v>2857</v>
      </c>
      <c r="Q418" t="s">
        <v>3065</v>
      </c>
      <c r="R418" t="s">
        <v>4282</v>
      </c>
      <c r="S418">
        <v>498.51</v>
      </c>
    </row>
    <row r="419" spans="1:19" x14ac:dyDescent="0.3">
      <c r="A419" t="s">
        <v>564</v>
      </c>
      <c r="B419" s="3">
        <v>45228</v>
      </c>
      <c r="C419" t="s">
        <v>1764</v>
      </c>
      <c r="D419" t="s">
        <v>2408</v>
      </c>
      <c r="E419">
        <v>4</v>
      </c>
      <c r="F419">
        <v>228.91</v>
      </c>
      <c r="G419" t="s">
        <v>2542</v>
      </c>
      <c r="H419" t="s">
        <v>3069</v>
      </c>
      <c r="I419" t="s">
        <v>3070</v>
      </c>
      <c r="J419" t="s">
        <v>3625</v>
      </c>
      <c r="K419">
        <v>4</v>
      </c>
      <c r="L419" t="s">
        <v>4276</v>
      </c>
      <c r="M419" t="s">
        <v>4282</v>
      </c>
      <c r="N419">
        <v>915.64</v>
      </c>
      <c r="O419" t="s">
        <v>4290</v>
      </c>
      <c r="P419" t="s">
        <v>2542</v>
      </c>
      <c r="Q419" t="s">
        <v>3069</v>
      </c>
      <c r="R419" t="s">
        <v>4282</v>
      </c>
      <c r="S419">
        <v>228.91</v>
      </c>
    </row>
    <row r="420" spans="1:19" x14ac:dyDescent="0.3">
      <c r="A420" t="s">
        <v>1079</v>
      </c>
      <c r="B420" s="3">
        <v>45229</v>
      </c>
      <c r="C420" t="s">
        <v>2271</v>
      </c>
      <c r="D420" t="s">
        <v>2407</v>
      </c>
      <c r="E420">
        <v>5</v>
      </c>
      <c r="F420">
        <v>666.8</v>
      </c>
      <c r="G420" t="s">
        <v>2746</v>
      </c>
      <c r="H420" t="s">
        <v>3065</v>
      </c>
      <c r="I420" t="s">
        <v>3073</v>
      </c>
      <c r="J420" t="s">
        <v>4140</v>
      </c>
      <c r="K420">
        <v>7</v>
      </c>
      <c r="L420" t="s">
        <v>4275</v>
      </c>
      <c r="M420" t="s">
        <v>4279</v>
      </c>
      <c r="N420">
        <v>3334</v>
      </c>
      <c r="O420" t="s">
        <v>4290</v>
      </c>
      <c r="P420" t="s">
        <v>2746</v>
      </c>
      <c r="Q420" t="s">
        <v>3065</v>
      </c>
      <c r="R420" t="s">
        <v>4279</v>
      </c>
      <c r="S420">
        <v>476.29</v>
      </c>
    </row>
    <row r="421" spans="1:19" x14ac:dyDescent="0.3">
      <c r="A421" t="s">
        <v>173</v>
      </c>
      <c r="B421" s="3">
        <v>45230</v>
      </c>
      <c r="C421" t="s">
        <v>1373</v>
      </c>
      <c r="D421" t="s">
        <v>2407</v>
      </c>
      <c r="E421">
        <v>1</v>
      </c>
      <c r="F421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>
        <v>5</v>
      </c>
      <c r="L421" t="s">
        <v>4277</v>
      </c>
      <c r="M421" t="s">
        <v>4280</v>
      </c>
      <c r="N421">
        <v>299.35000000000002</v>
      </c>
      <c r="O421" t="s">
        <v>4290</v>
      </c>
      <c r="P421" t="s">
        <v>2555</v>
      </c>
      <c r="Q421" t="s">
        <v>3067</v>
      </c>
      <c r="R421" t="s">
        <v>4280</v>
      </c>
      <c r="S421">
        <v>59.87</v>
      </c>
    </row>
    <row r="422" spans="1:19" x14ac:dyDescent="0.3">
      <c r="A422" t="s">
        <v>399</v>
      </c>
      <c r="B422" s="3">
        <v>45230</v>
      </c>
      <c r="C422" t="s">
        <v>1599</v>
      </c>
      <c r="D422" t="s">
        <v>2406</v>
      </c>
      <c r="E422">
        <v>5</v>
      </c>
      <c r="F422">
        <v>191.63</v>
      </c>
      <c r="G422" t="s">
        <v>2470</v>
      </c>
      <c r="H422" t="s">
        <v>3068</v>
      </c>
      <c r="I422" t="s">
        <v>3073</v>
      </c>
      <c r="J422" t="s">
        <v>3460</v>
      </c>
      <c r="K422">
        <v>6</v>
      </c>
      <c r="L422" t="s">
        <v>4276</v>
      </c>
      <c r="M422" t="s">
        <v>4281</v>
      </c>
      <c r="N422">
        <v>958.15</v>
      </c>
      <c r="O422" t="s">
        <v>4290</v>
      </c>
      <c r="P422" t="s">
        <v>2470</v>
      </c>
      <c r="Q422" t="s">
        <v>3068</v>
      </c>
      <c r="R422" t="s">
        <v>4281</v>
      </c>
      <c r="S422">
        <v>159.69</v>
      </c>
    </row>
    <row r="423" spans="1:19" x14ac:dyDescent="0.3">
      <c r="A423" t="s">
        <v>888</v>
      </c>
      <c r="B423" s="3">
        <v>45230</v>
      </c>
      <c r="C423" t="s">
        <v>2084</v>
      </c>
      <c r="D423" t="s">
        <v>2406</v>
      </c>
      <c r="E423">
        <v>2</v>
      </c>
      <c r="F423">
        <v>488.9</v>
      </c>
      <c r="G423" t="s">
        <v>2886</v>
      </c>
      <c r="H423" t="s">
        <v>3069</v>
      </c>
      <c r="I423" t="s">
        <v>3073</v>
      </c>
      <c r="J423" t="s">
        <v>3949</v>
      </c>
      <c r="K423">
        <v>7</v>
      </c>
      <c r="L423" t="s">
        <v>4276</v>
      </c>
      <c r="M423" t="s">
        <v>4281</v>
      </c>
      <c r="N423">
        <v>977.8</v>
      </c>
      <c r="O423" t="s">
        <v>4290</v>
      </c>
      <c r="P423" t="s">
        <v>2886</v>
      </c>
      <c r="Q423" t="s">
        <v>3069</v>
      </c>
      <c r="R423" t="s">
        <v>4281</v>
      </c>
      <c r="S423">
        <v>139.69</v>
      </c>
    </row>
    <row r="424" spans="1:19" x14ac:dyDescent="0.3">
      <c r="A424" t="s">
        <v>1194</v>
      </c>
      <c r="B424" s="3">
        <v>45230</v>
      </c>
      <c r="C424" t="s">
        <v>2383</v>
      </c>
      <c r="D424" t="s">
        <v>2406</v>
      </c>
      <c r="E424">
        <v>4</v>
      </c>
      <c r="F424">
        <v>298.36</v>
      </c>
      <c r="G424" t="s">
        <v>2805</v>
      </c>
      <c r="H424" t="s">
        <v>3065</v>
      </c>
      <c r="I424" t="s">
        <v>3074</v>
      </c>
      <c r="J424" t="s">
        <v>4255</v>
      </c>
      <c r="K424">
        <v>8</v>
      </c>
      <c r="L424" t="s">
        <v>4276</v>
      </c>
      <c r="M424" t="s">
        <v>4282</v>
      </c>
      <c r="N424">
        <v>1193.44</v>
      </c>
      <c r="O424" t="s">
        <v>4290</v>
      </c>
      <c r="P424" t="s">
        <v>2805</v>
      </c>
      <c r="Q424" t="s">
        <v>3065</v>
      </c>
      <c r="R424" t="s">
        <v>4282</v>
      </c>
      <c r="S424">
        <v>149.18</v>
      </c>
    </row>
    <row r="425" spans="1:19" x14ac:dyDescent="0.3">
      <c r="A425" t="s">
        <v>241</v>
      </c>
      <c r="B425" s="3">
        <v>45232</v>
      </c>
      <c r="C425" t="s">
        <v>1441</v>
      </c>
      <c r="D425" t="s">
        <v>2403</v>
      </c>
      <c r="E425">
        <v>2</v>
      </c>
      <c r="F425">
        <v>365.17</v>
      </c>
      <c r="G425" t="s">
        <v>2528</v>
      </c>
      <c r="H425" t="s">
        <v>3066</v>
      </c>
      <c r="I425" t="s">
        <v>3071</v>
      </c>
      <c r="J425" t="s">
        <v>3302</v>
      </c>
      <c r="K425">
        <v>4</v>
      </c>
      <c r="L425" t="s">
        <v>4276</v>
      </c>
      <c r="M425" t="s">
        <v>4281</v>
      </c>
      <c r="N425">
        <v>730.34</v>
      </c>
      <c r="O425" t="s">
        <v>4290</v>
      </c>
      <c r="P425" t="s">
        <v>2528</v>
      </c>
      <c r="Q425" t="s">
        <v>3066</v>
      </c>
      <c r="R425" t="s">
        <v>4281</v>
      </c>
      <c r="S425">
        <v>182.58</v>
      </c>
    </row>
    <row r="426" spans="1:19" x14ac:dyDescent="0.3">
      <c r="A426" t="s">
        <v>802</v>
      </c>
      <c r="B426" s="3">
        <v>45232</v>
      </c>
      <c r="C426" t="s">
        <v>1999</v>
      </c>
      <c r="D426" t="s">
        <v>2406</v>
      </c>
      <c r="E426">
        <v>2</v>
      </c>
      <c r="F426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>
        <v>5</v>
      </c>
      <c r="L426" t="s">
        <v>4276</v>
      </c>
      <c r="M426" t="s">
        <v>4278</v>
      </c>
      <c r="N426">
        <v>1202.8599999999999</v>
      </c>
      <c r="O426" t="s">
        <v>4290</v>
      </c>
      <c r="P426" t="s">
        <v>2923</v>
      </c>
      <c r="Q426" t="s">
        <v>3066</v>
      </c>
      <c r="R426" t="s">
        <v>4278</v>
      </c>
      <c r="S426">
        <v>240.57</v>
      </c>
    </row>
    <row r="427" spans="1:19" x14ac:dyDescent="0.3">
      <c r="A427" t="s">
        <v>289</v>
      </c>
      <c r="B427" s="3">
        <v>45234</v>
      </c>
      <c r="C427" t="s">
        <v>1489</v>
      </c>
      <c r="D427" t="s">
        <v>2406</v>
      </c>
      <c r="E427">
        <v>2</v>
      </c>
      <c r="F42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>
        <v>4</v>
      </c>
      <c r="L427" t="s">
        <v>4275</v>
      </c>
      <c r="M427" t="s">
        <v>4282</v>
      </c>
      <c r="N427">
        <v>130.13999999999999</v>
      </c>
      <c r="O427" t="s">
        <v>4290</v>
      </c>
      <c r="P427" t="s">
        <v>2645</v>
      </c>
      <c r="Q427" t="s">
        <v>3067</v>
      </c>
      <c r="R427" t="s">
        <v>4282</v>
      </c>
      <c r="S427">
        <v>32.54</v>
      </c>
    </row>
    <row r="428" spans="1:19" x14ac:dyDescent="0.3">
      <c r="A428" t="s">
        <v>245</v>
      </c>
      <c r="B428" s="3">
        <v>45235</v>
      </c>
      <c r="C428" t="s">
        <v>1445</v>
      </c>
      <c r="D428" t="s">
        <v>2404</v>
      </c>
      <c r="E428">
        <v>4</v>
      </c>
      <c r="F428">
        <v>41.9</v>
      </c>
      <c r="G428" t="s">
        <v>2609</v>
      </c>
      <c r="H428" t="s">
        <v>3068</v>
      </c>
      <c r="I428" t="s">
        <v>3074</v>
      </c>
      <c r="J428" t="s">
        <v>3306</v>
      </c>
      <c r="K428">
        <v>9</v>
      </c>
      <c r="L428" t="s">
        <v>4276</v>
      </c>
      <c r="M428" t="s">
        <v>4278</v>
      </c>
      <c r="N428">
        <v>167.6</v>
      </c>
      <c r="O428" t="s">
        <v>4290</v>
      </c>
      <c r="P428" t="s">
        <v>2609</v>
      </c>
      <c r="Q428" t="s">
        <v>3068</v>
      </c>
      <c r="R428" t="s">
        <v>4278</v>
      </c>
      <c r="S428">
        <v>18.62</v>
      </c>
    </row>
    <row r="429" spans="1:19" x14ac:dyDescent="0.3">
      <c r="A429" t="s">
        <v>825</v>
      </c>
      <c r="B429" s="3">
        <v>45235</v>
      </c>
      <c r="C429" t="s">
        <v>2021</v>
      </c>
      <c r="D429" t="s">
        <v>2408</v>
      </c>
      <c r="E429">
        <v>2</v>
      </c>
      <c r="F429">
        <v>28.55</v>
      </c>
      <c r="G429" t="s">
        <v>2907</v>
      </c>
      <c r="H429" t="s">
        <v>3068</v>
      </c>
      <c r="I429" t="s">
        <v>3070</v>
      </c>
      <c r="J429" t="s">
        <v>3886</v>
      </c>
      <c r="K429">
        <v>7</v>
      </c>
      <c r="L429" t="s">
        <v>4275</v>
      </c>
      <c r="M429" t="s">
        <v>4280</v>
      </c>
      <c r="N429">
        <v>57.1</v>
      </c>
      <c r="O429" t="s">
        <v>4290</v>
      </c>
      <c r="P429" t="s">
        <v>2907</v>
      </c>
      <c r="Q429" t="s">
        <v>3068</v>
      </c>
      <c r="R429" t="s">
        <v>4280</v>
      </c>
      <c r="S429">
        <v>8.16</v>
      </c>
    </row>
    <row r="430" spans="1:19" x14ac:dyDescent="0.3">
      <c r="A430" t="s">
        <v>352</v>
      </c>
      <c r="B430" s="3">
        <v>45238</v>
      </c>
      <c r="C430" t="s">
        <v>1552</v>
      </c>
      <c r="D430" t="s">
        <v>2404</v>
      </c>
      <c r="E430">
        <v>5</v>
      </c>
      <c r="F430">
        <v>305.49</v>
      </c>
      <c r="G430" t="s">
        <v>2691</v>
      </c>
      <c r="H430" t="s">
        <v>3065</v>
      </c>
      <c r="I430" t="s">
        <v>3070</v>
      </c>
      <c r="J430" t="s">
        <v>3413</v>
      </c>
      <c r="K430">
        <v>10</v>
      </c>
      <c r="L430" t="s">
        <v>4283</v>
      </c>
      <c r="M430" t="s">
        <v>4279</v>
      </c>
      <c r="N430">
        <v>1527.45</v>
      </c>
      <c r="O430" t="s">
        <v>4290</v>
      </c>
      <c r="P430" t="s">
        <v>2691</v>
      </c>
      <c r="Q430" t="s">
        <v>3065</v>
      </c>
      <c r="R430" t="s">
        <v>4279</v>
      </c>
      <c r="S430">
        <v>152.74</v>
      </c>
    </row>
    <row r="431" spans="1:19" x14ac:dyDescent="0.3">
      <c r="A431" t="s">
        <v>909</v>
      </c>
      <c r="B431" s="3">
        <v>45239</v>
      </c>
      <c r="C431" t="s">
        <v>2105</v>
      </c>
      <c r="D431" t="s">
        <v>2406</v>
      </c>
      <c r="E431">
        <v>3</v>
      </c>
      <c r="F431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>
        <v>6</v>
      </c>
      <c r="L431" t="s">
        <v>4277</v>
      </c>
      <c r="M431" t="s">
        <v>4281</v>
      </c>
      <c r="N431">
        <v>463.92</v>
      </c>
      <c r="O431" t="s">
        <v>4290</v>
      </c>
      <c r="P431" t="s">
        <v>2976</v>
      </c>
      <c r="Q431" t="s">
        <v>3065</v>
      </c>
      <c r="R431" t="s">
        <v>4281</v>
      </c>
      <c r="S431">
        <v>77.319999999999993</v>
      </c>
    </row>
    <row r="432" spans="1:19" x14ac:dyDescent="0.3">
      <c r="A432" t="s">
        <v>963</v>
      </c>
      <c r="B432" s="3">
        <v>45239</v>
      </c>
      <c r="C432" t="s">
        <v>2157</v>
      </c>
      <c r="D432" t="s">
        <v>2409</v>
      </c>
      <c r="E432">
        <v>5</v>
      </c>
      <c r="F432">
        <v>110.38</v>
      </c>
      <c r="G432" t="s">
        <v>2732</v>
      </c>
      <c r="H432" t="s">
        <v>3069</v>
      </c>
      <c r="I432" t="s">
        <v>3074</v>
      </c>
      <c r="J432" t="s">
        <v>4024</v>
      </c>
      <c r="K432">
        <v>10</v>
      </c>
      <c r="L432" t="s">
        <v>4283</v>
      </c>
      <c r="M432" t="s">
        <v>4279</v>
      </c>
      <c r="N432">
        <v>551.9</v>
      </c>
      <c r="O432" t="s">
        <v>4290</v>
      </c>
      <c r="P432" t="s">
        <v>2732</v>
      </c>
      <c r="Q432" t="s">
        <v>3069</v>
      </c>
      <c r="R432" t="s">
        <v>4279</v>
      </c>
      <c r="S432">
        <v>55.19</v>
      </c>
    </row>
    <row r="433" spans="1:19" x14ac:dyDescent="0.3">
      <c r="A433" t="s">
        <v>1166</v>
      </c>
      <c r="B433" s="3">
        <v>45239</v>
      </c>
      <c r="C433" t="s">
        <v>2355</v>
      </c>
      <c r="D433" t="s">
        <v>2405</v>
      </c>
      <c r="E433">
        <v>2</v>
      </c>
      <c r="F433">
        <v>344.18</v>
      </c>
      <c r="G433" t="s">
        <v>2501</v>
      </c>
      <c r="H433" t="s">
        <v>3067</v>
      </c>
      <c r="I433" t="s">
        <v>3070</v>
      </c>
      <c r="J433" t="s">
        <v>4227</v>
      </c>
      <c r="K433">
        <v>7</v>
      </c>
      <c r="L433" t="s">
        <v>4283</v>
      </c>
      <c r="M433" t="s">
        <v>4279</v>
      </c>
      <c r="N433">
        <v>688.36</v>
      </c>
      <c r="O433" t="s">
        <v>4290</v>
      </c>
      <c r="P433" t="s">
        <v>2501</v>
      </c>
      <c r="Q433" t="s">
        <v>3067</v>
      </c>
      <c r="R433" t="s">
        <v>4279</v>
      </c>
      <c r="S433">
        <v>98.34</v>
      </c>
    </row>
    <row r="434" spans="1:19" x14ac:dyDescent="0.3">
      <c r="A434" t="s">
        <v>586</v>
      </c>
      <c r="B434" s="3">
        <v>45241</v>
      </c>
      <c r="C434" t="s">
        <v>1786</v>
      </c>
      <c r="D434" t="s">
        <v>2407</v>
      </c>
      <c r="E434">
        <v>1</v>
      </c>
      <c r="F434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>
        <v>4</v>
      </c>
      <c r="L434" t="s">
        <v>4277</v>
      </c>
      <c r="M434" t="s">
        <v>4281</v>
      </c>
      <c r="N434">
        <v>70.319999999999993</v>
      </c>
      <c r="O434" t="s">
        <v>4290</v>
      </c>
      <c r="P434" t="s">
        <v>2722</v>
      </c>
      <c r="Q434" t="s">
        <v>3069</v>
      </c>
      <c r="R434" t="s">
        <v>4281</v>
      </c>
      <c r="S434">
        <v>17.579999999999998</v>
      </c>
    </row>
    <row r="435" spans="1:19" x14ac:dyDescent="0.3">
      <c r="A435" t="s">
        <v>905</v>
      </c>
      <c r="B435" s="3">
        <v>45241</v>
      </c>
      <c r="C435" t="s">
        <v>2101</v>
      </c>
      <c r="D435" t="s">
        <v>2403</v>
      </c>
      <c r="E435">
        <v>3</v>
      </c>
      <c r="F435">
        <v>654.54</v>
      </c>
      <c r="G435" t="s">
        <v>2974</v>
      </c>
      <c r="H435" t="s">
        <v>3069</v>
      </c>
      <c r="I435" t="s">
        <v>3072</v>
      </c>
      <c r="J435" t="s">
        <v>3966</v>
      </c>
      <c r="K435">
        <v>7</v>
      </c>
      <c r="L435" t="s">
        <v>4275</v>
      </c>
      <c r="M435" t="s">
        <v>4279</v>
      </c>
      <c r="N435">
        <v>1963.62</v>
      </c>
      <c r="O435" t="s">
        <v>4290</v>
      </c>
      <c r="P435" t="s">
        <v>2974</v>
      </c>
      <c r="Q435" t="s">
        <v>3069</v>
      </c>
      <c r="R435" t="s">
        <v>4279</v>
      </c>
      <c r="S435">
        <v>280.52</v>
      </c>
    </row>
    <row r="436" spans="1:19" x14ac:dyDescent="0.3">
      <c r="A436" t="s">
        <v>1049</v>
      </c>
      <c r="B436" s="3">
        <v>45242</v>
      </c>
      <c r="C436" t="s">
        <v>2241</v>
      </c>
      <c r="D436" t="s">
        <v>2408</v>
      </c>
      <c r="E436">
        <v>4</v>
      </c>
      <c r="F436">
        <v>506.11</v>
      </c>
      <c r="G436" t="s">
        <v>3009</v>
      </c>
      <c r="H436" t="s">
        <v>3069</v>
      </c>
      <c r="I436" t="s">
        <v>3071</v>
      </c>
      <c r="J436" t="s">
        <v>4110</v>
      </c>
      <c r="K436">
        <v>5</v>
      </c>
      <c r="L436" t="s">
        <v>4283</v>
      </c>
      <c r="M436" t="s">
        <v>4279</v>
      </c>
      <c r="N436">
        <v>2024.44</v>
      </c>
      <c r="O436" t="s">
        <v>4290</v>
      </c>
      <c r="P436" t="s">
        <v>3009</v>
      </c>
      <c r="Q436" t="s">
        <v>3069</v>
      </c>
      <c r="R436" t="s">
        <v>4279</v>
      </c>
      <c r="S436">
        <v>404.89</v>
      </c>
    </row>
    <row r="437" spans="1:19" x14ac:dyDescent="0.3">
      <c r="A437" t="s">
        <v>713</v>
      </c>
      <c r="B437" s="3">
        <v>45243</v>
      </c>
      <c r="C437" t="s">
        <v>1911</v>
      </c>
      <c r="D437" t="s">
        <v>2408</v>
      </c>
      <c r="E437">
        <v>3</v>
      </c>
      <c r="F437">
        <v>614.15</v>
      </c>
      <c r="G437" t="s">
        <v>2880</v>
      </c>
      <c r="H437" t="s">
        <v>3068</v>
      </c>
      <c r="I437" t="s">
        <v>3071</v>
      </c>
      <c r="J437" t="s">
        <v>3774</v>
      </c>
      <c r="K437">
        <v>3</v>
      </c>
      <c r="L437" t="s">
        <v>4283</v>
      </c>
      <c r="M437" t="s">
        <v>4281</v>
      </c>
      <c r="N437">
        <v>1842.45</v>
      </c>
      <c r="O437" t="s">
        <v>4290</v>
      </c>
      <c r="P437" t="s">
        <v>2880</v>
      </c>
      <c r="Q437" t="s">
        <v>3068</v>
      </c>
      <c r="R437" t="s">
        <v>4281</v>
      </c>
      <c r="S437">
        <v>614.15</v>
      </c>
    </row>
    <row r="438" spans="1:19" x14ac:dyDescent="0.3">
      <c r="A438" t="s">
        <v>556</v>
      </c>
      <c r="B438" s="3">
        <v>45244</v>
      </c>
      <c r="C438" t="s">
        <v>1756</v>
      </c>
      <c r="D438" t="s">
        <v>2405</v>
      </c>
      <c r="E438">
        <v>1</v>
      </c>
      <c r="F438">
        <v>17.98</v>
      </c>
      <c r="G438" t="s">
        <v>2415</v>
      </c>
      <c r="H438" t="s">
        <v>3069</v>
      </c>
      <c r="I438" t="s">
        <v>3071</v>
      </c>
      <c r="J438" t="s">
        <v>3617</v>
      </c>
      <c r="K438">
        <v>6</v>
      </c>
      <c r="L438" t="s">
        <v>4276</v>
      </c>
      <c r="M438" t="s">
        <v>4280</v>
      </c>
      <c r="N438">
        <v>17.98</v>
      </c>
      <c r="O438" t="s">
        <v>4290</v>
      </c>
      <c r="P438" t="s">
        <v>2415</v>
      </c>
      <c r="Q438" t="s">
        <v>3069</v>
      </c>
      <c r="R438" t="s">
        <v>4280</v>
      </c>
      <c r="S438">
        <v>3</v>
      </c>
    </row>
    <row r="439" spans="1:19" x14ac:dyDescent="0.3">
      <c r="A439" t="s">
        <v>594</v>
      </c>
      <c r="B439" s="3">
        <v>45244</v>
      </c>
      <c r="C439" t="s">
        <v>1794</v>
      </c>
      <c r="D439" t="s">
        <v>2403</v>
      </c>
      <c r="E439">
        <v>2</v>
      </c>
      <c r="F439">
        <v>255.99</v>
      </c>
      <c r="G439" t="s">
        <v>2826</v>
      </c>
      <c r="H439" t="s">
        <v>3067</v>
      </c>
      <c r="I439" t="s">
        <v>3073</v>
      </c>
      <c r="J439" t="s">
        <v>3655</v>
      </c>
      <c r="K439">
        <v>4</v>
      </c>
      <c r="L439" t="s">
        <v>4275</v>
      </c>
      <c r="M439" t="s">
        <v>4278</v>
      </c>
      <c r="N439">
        <v>511.98</v>
      </c>
      <c r="O439" t="s">
        <v>4290</v>
      </c>
      <c r="P439" t="s">
        <v>2826</v>
      </c>
      <c r="Q439" t="s">
        <v>3067</v>
      </c>
      <c r="R439" t="s">
        <v>4278</v>
      </c>
      <c r="S439">
        <v>128</v>
      </c>
    </row>
    <row r="440" spans="1:19" x14ac:dyDescent="0.3">
      <c r="A440" t="s">
        <v>488</v>
      </c>
      <c r="B440" s="3">
        <v>45245</v>
      </c>
      <c r="C440" t="s">
        <v>1688</v>
      </c>
      <c r="D440" t="s">
        <v>2407</v>
      </c>
      <c r="E440">
        <v>3</v>
      </c>
      <c r="F440">
        <v>229.34</v>
      </c>
      <c r="G440" t="s">
        <v>2692</v>
      </c>
      <c r="H440" t="s">
        <v>3067</v>
      </c>
      <c r="I440" t="s">
        <v>3070</v>
      </c>
      <c r="J440" t="s">
        <v>3549</v>
      </c>
      <c r="K440">
        <v>6</v>
      </c>
      <c r="L440" t="s">
        <v>4275</v>
      </c>
      <c r="M440" t="s">
        <v>4279</v>
      </c>
      <c r="N440">
        <v>688.02</v>
      </c>
      <c r="O440" t="s">
        <v>4290</v>
      </c>
      <c r="P440" t="s">
        <v>2692</v>
      </c>
      <c r="Q440" t="s">
        <v>3067</v>
      </c>
      <c r="R440" t="s">
        <v>4279</v>
      </c>
      <c r="S440">
        <v>114.67</v>
      </c>
    </row>
    <row r="441" spans="1:19" x14ac:dyDescent="0.3">
      <c r="A441" t="s">
        <v>658</v>
      </c>
      <c r="B441" s="3">
        <v>45245</v>
      </c>
      <c r="C441" t="s">
        <v>1857</v>
      </c>
      <c r="D441" t="s">
        <v>2406</v>
      </c>
      <c r="E441">
        <v>2</v>
      </c>
      <c r="F441">
        <v>366.23</v>
      </c>
      <c r="G441" t="s">
        <v>2856</v>
      </c>
      <c r="H441" t="s">
        <v>3069</v>
      </c>
      <c r="I441" t="s">
        <v>3070</v>
      </c>
      <c r="J441" t="s">
        <v>3719</v>
      </c>
      <c r="K441">
        <v>2</v>
      </c>
      <c r="L441" t="s">
        <v>4277</v>
      </c>
      <c r="M441" t="s">
        <v>4280</v>
      </c>
      <c r="N441">
        <v>732.46</v>
      </c>
      <c r="O441" t="s">
        <v>4290</v>
      </c>
      <c r="P441" t="s">
        <v>2856</v>
      </c>
      <c r="Q441" t="s">
        <v>3069</v>
      </c>
      <c r="R441" t="s">
        <v>4280</v>
      </c>
      <c r="S441">
        <v>366.23</v>
      </c>
    </row>
    <row r="442" spans="1:19" x14ac:dyDescent="0.3">
      <c r="A442" t="s">
        <v>1054</v>
      </c>
      <c r="B442" s="3">
        <v>45245</v>
      </c>
      <c r="C442" t="s">
        <v>2246</v>
      </c>
      <c r="D442" t="s">
        <v>2405</v>
      </c>
      <c r="E442">
        <v>1</v>
      </c>
      <c r="F442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>
        <v>5</v>
      </c>
      <c r="L442" t="s">
        <v>4276</v>
      </c>
      <c r="M442" t="s">
        <v>4282</v>
      </c>
      <c r="N442">
        <v>536.07000000000005</v>
      </c>
      <c r="O442" t="s">
        <v>4290</v>
      </c>
      <c r="P442" t="s">
        <v>2817</v>
      </c>
      <c r="Q442" t="s">
        <v>3065</v>
      </c>
      <c r="R442" t="s">
        <v>4282</v>
      </c>
      <c r="S442">
        <v>107.21</v>
      </c>
    </row>
    <row r="443" spans="1:19" x14ac:dyDescent="0.3">
      <c r="A443" t="s">
        <v>155</v>
      </c>
      <c r="B443" s="3">
        <v>45248</v>
      </c>
      <c r="C443" t="s">
        <v>1355</v>
      </c>
      <c r="D443" t="s">
        <v>2407</v>
      </c>
      <c r="E443">
        <v>3</v>
      </c>
      <c r="F443">
        <v>684.14</v>
      </c>
      <c r="G443" t="s">
        <v>2541</v>
      </c>
      <c r="H443" t="s">
        <v>3069</v>
      </c>
      <c r="I443" t="s">
        <v>3071</v>
      </c>
      <c r="J443" t="s">
        <v>3216</v>
      </c>
      <c r="K443">
        <v>3</v>
      </c>
      <c r="L443" t="s">
        <v>4277</v>
      </c>
      <c r="M443" t="s">
        <v>4278</v>
      </c>
      <c r="N443">
        <v>2052.42</v>
      </c>
      <c r="O443" t="s">
        <v>4290</v>
      </c>
      <c r="P443" t="s">
        <v>2541</v>
      </c>
      <c r="Q443" t="s">
        <v>3069</v>
      </c>
      <c r="R443" t="s">
        <v>4278</v>
      </c>
      <c r="S443">
        <v>684.14</v>
      </c>
    </row>
    <row r="444" spans="1:19" x14ac:dyDescent="0.3">
      <c r="A444" t="s">
        <v>1009</v>
      </c>
      <c r="B444" s="3">
        <v>45248</v>
      </c>
      <c r="C444" t="s">
        <v>2202</v>
      </c>
      <c r="D444" t="s">
        <v>2403</v>
      </c>
      <c r="E444">
        <v>2</v>
      </c>
      <c r="F444">
        <v>113.29</v>
      </c>
      <c r="G444" t="s">
        <v>2801</v>
      </c>
      <c r="H444" t="s">
        <v>3069</v>
      </c>
      <c r="I444" t="s">
        <v>3074</v>
      </c>
      <c r="J444" t="s">
        <v>4070</v>
      </c>
      <c r="K444">
        <v>5</v>
      </c>
      <c r="L444" t="s">
        <v>4275</v>
      </c>
      <c r="M444" t="s">
        <v>4281</v>
      </c>
      <c r="N444">
        <v>226.58</v>
      </c>
      <c r="O444" t="s">
        <v>4290</v>
      </c>
      <c r="P444" t="s">
        <v>2801</v>
      </c>
      <c r="Q444" t="s">
        <v>3069</v>
      </c>
      <c r="R444" t="s">
        <v>4281</v>
      </c>
      <c r="S444">
        <v>45.32</v>
      </c>
    </row>
    <row r="445" spans="1:19" x14ac:dyDescent="0.3">
      <c r="A445" t="s">
        <v>1200</v>
      </c>
      <c r="B445" s="3">
        <v>45248</v>
      </c>
      <c r="C445" t="s">
        <v>2389</v>
      </c>
      <c r="D445" t="s">
        <v>2403</v>
      </c>
      <c r="E445">
        <v>1</v>
      </c>
      <c r="F445">
        <v>163.32</v>
      </c>
      <c r="G445" t="s">
        <v>3058</v>
      </c>
      <c r="H445" t="s">
        <v>3069</v>
      </c>
      <c r="I445" t="s">
        <v>3070</v>
      </c>
      <c r="J445" t="s">
        <v>4261</v>
      </c>
      <c r="K445">
        <v>6</v>
      </c>
      <c r="L445" t="s">
        <v>4277</v>
      </c>
      <c r="M445" t="s">
        <v>4281</v>
      </c>
      <c r="N445">
        <v>163.32</v>
      </c>
      <c r="O445" t="s">
        <v>4290</v>
      </c>
      <c r="P445" t="s">
        <v>3058</v>
      </c>
      <c r="Q445" t="s">
        <v>3069</v>
      </c>
      <c r="R445" t="s">
        <v>4281</v>
      </c>
      <c r="S445">
        <v>27.22</v>
      </c>
    </row>
    <row r="446" spans="1:19" x14ac:dyDescent="0.3">
      <c r="A446" t="s">
        <v>1004</v>
      </c>
      <c r="B446" s="3">
        <v>45249</v>
      </c>
      <c r="C446" t="s">
        <v>2197</v>
      </c>
      <c r="D446" t="s">
        <v>2404</v>
      </c>
      <c r="E446">
        <v>2</v>
      </c>
      <c r="F446">
        <v>418.26</v>
      </c>
      <c r="G446" t="s">
        <v>2999</v>
      </c>
      <c r="H446" t="s">
        <v>3065</v>
      </c>
      <c r="I446" t="s">
        <v>3074</v>
      </c>
      <c r="J446" t="s">
        <v>4065</v>
      </c>
      <c r="K446">
        <v>2</v>
      </c>
      <c r="L446" t="s">
        <v>4275</v>
      </c>
      <c r="M446" t="s">
        <v>4282</v>
      </c>
      <c r="N446">
        <v>836.52</v>
      </c>
      <c r="O446" t="s">
        <v>4290</v>
      </c>
      <c r="P446" t="s">
        <v>2999</v>
      </c>
      <c r="Q446" t="s">
        <v>3065</v>
      </c>
      <c r="R446" t="s">
        <v>4282</v>
      </c>
      <c r="S446">
        <v>418.26</v>
      </c>
    </row>
    <row r="447" spans="1:19" x14ac:dyDescent="0.3">
      <c r="A447" t="s">
        <v>1208</v>
      </c>
      <c r="B447" s="3">
        <v>45249</v>
      </c>
      <c r="C447" t="s">
        <v>2397</v>
      </c>
      <c r="D447" t="s">
        <v>2407</v>
      </c>
      <c r="E447">
        <v>3</v>
      </c>
      <c r="F447">
        <v>189.44</v>
      </c>
      <c r="G447" t="s">
        <v>2582</v>
      </c>
      <c r="H447" t="s">
        <v>3069</v>
      </c>
      <c r="I447" t="s">
        <v>3074</v>
      </c>
      <c r="J447" t="s">
        <v>4269</v>
      </c>
      <c r="K447">
        <v>4</v>
      </c>
      <c r="L447" t="s">
        <v>4276</v>
      </c>
      <c r="M447" t="s">
        <v>4280</v>
      </c>
      <c r="N447">
        <v>568.31999999999994</v>
      </c>
      <c r="O447" t="s">
        <v>4290</v>
      </c>
      <c r="P447" t="s">
        <v>2582</v>
      </c>
      <c r="Q447" t="s">
        <v>3069</v>
      </c>
      <c r="R447" t="s">
        <v>4280</v>
      </c>
      <c r="S447">
        <v>142.08000000000001</v>
      </c>
    </row>
    <row r="448" spans="1:19" x14ac:dyDescent="0.3">
      <c r="A448" t="s">
        <v>23</v>
      </c>
      <c r="B448" s="3">
        <v>45251</v>
      </c>
      <c r="C448" t="s">
        <v>1223</v>
      </c>
      <c r="D448" t="s">
        <v>2409</v>
      </c>
      <c r="E448">
        <v>4</v>
      </c>
      <c r="F448">
        <v>509.38</v>
      </c>
      <c r="G448" t="s">
        <v>2419</v>
      </c>
      <c r="H448" t="s">
        <v>3067</v>
      </c>
      <c r="I448" t="s">
        <v>3070</v>
      </c>
      <c r="J448" t="s">
        <v>3084</v>
      </c>
      <c r="K448">
        <v>6</v>
      </c>
      <c r="L448" t="s">
        <v>4275</v>
      </c>
      <c r="M448" t="s">
        <v>4282</v>
      </c>
      <c r="N448">
        <v>2037.52</v>
      </c>
      <c r="O448" t="s">
        <v>4290</v>
      </c>
      <c r="P448" t="s">
        <v>2419</v>
      </c>
      <c r="Q448" t="s">
        <v>3067</v>
      </c>
      <c r="R448" t="s">
        <v>4282</v>
      </c>
      <c r="S448">
        <v>339.59</v>
      </c>
    </row>
    <row r="449" spans="1:19" x14ac:dyDescent="0.3">
      <c r="A449" t="s">
        <v>42</v>
      </c>
      <c r="B449" s="3">
        <v>45251</v>
      </c>
      <c r="C449" t="s">
        <v>1242</v>
      </c>
      <c r="D449" t="s">
        <v>2404</v>
      </c>
      <c r="E449">
        <v>4</v>
      </c>
      <c r="F449">
        <v>160.07</v>
      </c>
      <c r="G449" t="s">
        <v>2438</v>
      </c>
      <c r="H449" t="s">
        <v>3066</v>
      </c>
      <c r="I449" t="s">
        <v>3074</v>
      </c>
      <c r="J449" t="s">
        <v>3103</v>
      </c>
      <c r="K449">
        <v>5</v>
      </c>
      <c r="L449" t="s">
        <v>4283</v>
      </c>
      <c r="M449" t="s">
        <v>4280</v>
      </c>
      <c r="N449">
        <v>640.28</v>
      </c>
      <c r="O449" t="s">
        <v>4290</v>
      </c>
      <c r="P449" t="s">
        <v>2438</v>
      </c>
      <c r="Q449" t="s">
        <v>3066</v>
      </c>
      <c r="R449" t="s">
        <v>4280</v>
      </c>
      <c r="S449">
        <v>128.06</v>
      </c>
    </row>
    <row r="450" spans="1:19" x14ac:dyDescent="0.3">
      <c r="A450" t="s">
        <v>919</v>
      </c>
      <c r="B450" s="3">
        <v>45253</v>
      </c>
      <c r="C450" t="s">
        <v>2115</v>
      </c>
      <c r="D450" t="s">
        <v>2408</v>
      </c>
      <c r="E450">
        <v>1</v>
      </c>
      <c r="F450">
        <v>442.39</v>
      </c>
      <c r="G450" t="s">
        <v>2677</v>
      </c>
      <c r="H450" t="s">
        <v>3068</v>
      </c>
      <c r="I450" t="s">
        <v>3074</v>
      </c>
      <c r="J450" t="s">
        <v>3980</v>
      </c>
      <c r="K450">
        <v>6</v>
      </c>
      <c r="L450" t="s">
        <v>4276</v>
      </c>
      <c r="M450" t="s">
        <v>4281</v>
      </c>
      <c r="N450">
        <v>442.39</v>
      </c>
      <c r="O450" t="s">
        <v>4290</v>
      </c>
      <c r="P450" t="s">
        <v>2677</v>
      </c>
      <c r="Q450" t="s">
        <v>3068</v>
      </c>
      <c r="R450" t="s">
        <v>4281</v>
      </c>
      <c r="S450">
        <v>73.73</v>
      </c>
    </row>
    <row r="451" spans="1:19" x14ac:dyDescent="0.3">
      <c r="A451" t="s">
        <v>301</v>
      </c>
      <c r="B451" s="3">
        <v>45254</v>
      </c>
      <c r="C451" t="s">
        <v>1501</v>
      </c>
      <c r="D451" t="s">
        <v>2406</v>
      </c>
      <c r="E451">
        <v>4</v>
      </c>
      <c r="F451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>
        <v>5</v>
      </c>
      <c r="L451" t="s">
        <v>4283</v>
      </c>
      <c r="M451" t="s">
        <v>4281</v>
      </c>
      <c r="N451">
        <v>2620.7199999999998</v>
      </c>
      <c r="O451" t="s">
        <v>4290</v>
      </c>
      <c r="P451" t="s">
        <v>2655</v>
      </c>
      <c r="Q451" t="s">
        <v>3066</v>
      </c>
      <c r="R451" t="s">
        <v>4281</v>
      </c>
      <c r="S451">
        <v>524.14</v>
      </c>
    </row>
    <row r="452" spans="1:19" x14ac:dyDescent="0.3">
      <c r="A452" t="s">
        <v>378</v>
      </c>
      <c r="B452" s="3">
        <v>45254</v>
      </c>
      <c r="C452" t="s">
        <v>1578</v>
      </c>
      <c r="D452" t="s">
        <v>2404</v>
      </c>
      <c r="E452">
        <v>5</v>
      </c>
      <c r="F452">
        <v>628.74</v>
      </c>
      <c r="G452" t="s">
        <v>2650</v>
      </c>
      <c r="H452" t="s">
        <v>3069</v>
      </c>
      <c r="I452" t="s">
        <v>3071</v>
      </c>
      <c r="J452" t="s">
        <v>3439</v>
      </c>
      <c r="K452">
        <v>9</v>
      </c>
      <c r="L452" t="s">
        <v>4276</v>
      </c>
      <c r="M452" t="s">
        <v>4281</v>
      </c>
      <c r="N452">
        <v>3143.7</v>
      </c>
      <c r="O452" t="s">
        <v>4290</v>
      </c>
      <c r="P452" t="s">
        <v>2650</v>
      </c>
      <c r="Q452" t="s">
        <v>3069</v>
      </c>
      <c r="R452" t="s">
        <v>4281</v>
      </c>
      <c r="S452">
        <v>349.3</v>
      </c>
    </row>
    <row r="453" spans="1:19" x14ac:dyDescent="0.3">
      <c r="A453" t="s">
        <v>949</v>
      </c>
      <c r="B453" s="3">
        <v>45254</v>
      </c>
      <c r="C453" t="s">
        <v>2145</v>
      </c>
      <c r="D453" t="s">
        <v>2404</v>
      </c>
      <c r="E453">
        <v>3</v>
      </c>
      <c r="F453">
        <v>692.71</v>
      </c>
      <c r="G453" t="s">
        <v>2692</v>
      </c>
      <c r="H453" t="s">
        <v>3067</v>
      </c>
      <c r="I453" t="s">
        <v>3073</v>
      </c>
      <c r="J453" t="s">
        <v>4010</v>
      </c>
      <c r="K453">
        <v>3</v>
      </c>
      <c r="L453" t="s">
        <v>4276</v>
      </c>
      <c r="M453" t="s">
        <v>4278</v>
      </c>
      <c r="N453">
        <v>2078.13</v>
      </c>
      <c r="O453" t="s">
        <v>4290</v>
      </c>
      <c r="P453" t="s">
        <v>2692</v>
      </c>
      <c r="Q453" t="s">
        <v>3067</v>
      </c>
      <c r="R453" t="s">
        <v>4278</v>
      </c>
      <c r="S453">
        <v>692.71</v>
      </c>
    </row>
    <row r="454" spans="1:19" x14ac:dyDescent="0.3">
      <c r="A454" t="s">
        <v>115</v>
      </c>
      <c r="B454" s="3">
        <v>45255</v>
      </c>
      <c r="C454" t="s">
        <v>1315</v>
      </c>
      <c r="D454" t="s">
        <v>2407</v>
      </c>
      <c r="E454">
        <v>1</v>
      </c>
      <c r="F454">
        <v>381.02</v>
      </c>
      <c r="G454" t="s">
        <v>2504</v>
      </c>
      <c r="H454" t="s">
        <v>3069</v>
      </c>
      <c r="I454" t="s">
        <v>3070</v>
      </c>
      <c r="J454" t="s">
        <v>3176</v>
      </c>
      <c r="K454">
        <v>6</v>
      </c>
      <c r="L454" t="s">
        <v>4283</v>
      </c>
      <c r="M454" t="s">
        <v>4282</v>
      </c>
      <c r="N454">
        <v>381.02</v>
      </c>
      <c r="O454" t="s">
        <v>4290</v>
      </c>
      <c r="P454" t="s">
        <v>2504</v>
      </c>
      <c r="Q454" t="s">
        <v>3069</v>
      </c>
      <c r="R454" t="s">
        <v>4282</v>
      </c>
      <c r="S454">
        <v>63.5</v>
      </c>
    </row>
    <row r="455" spans="1:19" x14ac:dyDescent="0.3">
      <c r="A455" t="s">
        <v>283</v>
      </c>
      <c r="B455" s="3">
        <v>45255</v>
      </c>
      <c r="C455" t="s">
        <v>1483</v>
      </c>
      <c r="D455" t="s">
        <v>2405</v>
      </c>
      <c r="E455">
        <v>4</v>
      </c>
      <c r="F455">
        <v>663.67</v>
      </c>
      <c r="G455" t="s">
        <v>2477</v>
      </c>
      <c r="H455" t="s">
        <v>3067</v>
      </c>
      <c r="I455" t="s">
        <v>3074</v>
      </c>
      <c r="J455" t="s">
        <v>3344</v>
      </c>
      <c r="K455">
        <v>7</v>
      </c>
      <c r="L455" t="s">
        <v>4276</v>
      </c>
      <c r="M455" t="s">
        <v>4282</v>
      </c>
      <c r="N455">
        <v>2654.68</v>
      </c>
      <c r="O455" t="s">
        <v>4290</v>
      </c>
      <c r="P455" t="s">
        <v>2477</v>
      </c>
      <c r="Q455" t="s">
        <v>3067</v>
      </c>
      <c r="R455" t="s">
        <v>4282</v>
      </c>
      <c r="S455">
        <v>379.24</v>
      </c>
    </row>
    <row r="456" spans="1:19" x14ac:dyDescent="0.3">
      <c r="A456" t="s">
        <v>319</v>
      </c>
      <c r="B456" s="3">
        <v>45255</v>
      </c>
      <c r="C456" t="s">
        <v>1519</v>
      </c>
      <c r="D456" t="s">
        <v>2408</v>
      </c>
      <c r="E456">
        <v>4</v>
      </c>
      <c r="F456">
        <v>126.89</v>
      </c>
      <c r="G456" t="s">
        <v>2668</v>
      </c>
      <c r="H456" t="s">
        <v>3069</v>
      </c>
      <c r="I456" t="s">
        <v>3074</v>
      </c>
      <c r="J456" t="s">
        <v>3380</v>
      </c>
      <c r="K456">
        <v>9</v>
      </c>
      <c r="L456" t="s">
        <v>4276</v>
      </c>
      <c r="M456" t="s">
        <v>4278</v>
      </c>
      <c r="N456">
        <v>507.56</v>
      </c>
      <c r="O456" t="s">
        <v>4290</v>
      </c>
      <c r="P456" t="s">
        <v>2668</v>
      </c>
      <c r="Q456" t="s">
        <v>3069</v>
      </c>
      <c r="R456" t="s">
        <v>4278</v>
      </c>
      <c r="S456">
        <v>56.4</v>
      </c>
    </row>
    <row r="457" spans="1:19" x14ac:dyDescent="0.3">
      <c r="A457" t="s">
        <v>483</v>
      </c>
      <c r="B457" s="3">
        <v>45256</v>
      </c>
      <c r="C457" t="s">
        <v>1683</v>
      </c>
      <c r="D457" t="s">
        <v>2406</v>
      </c>
      <c r="E457">
        <v>5</v>
      </c>
      <c r="F457">
        <v>676.98</v>
      </c>
      <c r="G457" t="s">
        <v>2546</v>
      </c>
      <c r="H457" t="s">
        <v>3069</v>
      </c>
      <c r="I457" t="s">
        <v>3071</v>
      </c>
      <c r="J457" t="s">
        <v>3544</v>
      </c>
      <c r="K457">
        <v>5</v>
      </c>
      <c r="L457" t="s">
        <v>4283</v>
      </c>
      <c r="M457" t="s">
        <v>4281</v>
      </c>
      <c r="N457">
        <v>3384.9</v>
      </c>
      <c r="O457" t="s">
        <v>4290</v>
      </c>
      <c r="P457" t="s">
        <v>2546</v>
      </c>
      <c r="Q457" t="s">
        <v>3069</v>
      </c>
      <c r="R457" t="s">
        <v>4281</v>
      </c>
      <c r="S457">
        <v>676.98</v>
      </c>
    </row>
    <row r="458" spans="1:19" x14ac:dyDescent="0.3">
      <c r="A458" t="s">
        <v>995</v>
      </c>
      <c r="B458" s="3">
        <v>45256</v>
      </c>
      <c r="C458" t="s">
        <v>2188</v>
      </c>
      <c r="D458" t="s">
        <v>2404</v>
      </c>
      <c r="E458">
        <v>4</v>
      </c>
      <c r="F458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>
        <v>8</v>
      </c>
      <c r="L458" t="s">
        <v>4275</v>
      </c>
      <c r="M458" t="s">
        <v>4280</v>
      </c>
      <c r="N458">
        <v>547.32000000000005</v>
      </c>
      <c r="O458" t="s">
        <v>4290</v>
      </c>
      <c r="P458" t="s">
        <v>2996</v>
      </c>
      <c r="Q458" t="s">
        <v>3065</v>
      </c>
      <c r="R458" t="s">
        <v>4280</v>
      </c>
      <c r="S458">
        <v>68.42</v>
      </c>
    </row>
    <row r="459" spans="1:19" x14ac:dyDescent="0.3">
      <c r="A459" t="s">
        <v>129</v>
      </c>
      <c r="B459" s="3">
        <v>45257</v>
      </c>
      <c r="C459" t="s">
        <v>1329</v>
      </c>
      <c r="D459" t="s">
        <v>2404</v>
      </c>
      <c r="E459">
        <v>5</v>
      </c>
      <c r="F459">
        <v>374.99</v>
      </c>
      <c r="G459" t="s">
        <v>2518</v>
      </c>
      <c r="H459" t="s">
        <v>3066</v>
      </c>
      <c r="I459" t="s">
        <v>3070</v>
      </c>
      <c r="J459" t="s">
        <v>3190</v>
      </c>
      <c r="K459">
        <v>9</v>
      </c>
      <c r="L459" t="s">
        <v>4275</v>
      </c>
      <c r="M459" t="s">
        <v>4281</v>
      </c>
      <c r="N459">
        <v>1874.95</v>
      </c>
      <c r="O459" t="s">
        <v>4290</v>
      </c>
      <c r="P459" t="s">
        <v>2518</v>
      </c>
      <c r="Q459" t="s">
        <v>3066</v>
      </c>
      <c r="R459" t="s">
        <v>4281</v>
      </c>
      <c r="S459">
        <v>208.33</v>
      </c>
    </row>
    <row r="460" spans="1:19" x14ac:dyDescent="0.3">
      <c r="A460" t="s">
        <v>1011</v>
      </c>
      <c r="B460" s="3">
        <v>45257</v>
      </c>
      <c r="C460" t="s">
        <v>2204</v>
      </c>
      <c r="D460" t="s">
        <v>2408</v>
      </c>
      <c r="E460">
        <v>3</v>
      </c>
      <c r="F460">
        <v>444.75</v>
      </c>
      <c r="G460" t="s">
        <v>2795</v>
      </c>
      <c r="H460" t="s">
        <v>3069</v>
      </c>
      <c r="I460" t="s">
        <v>3073</v>
      </c>
      <c r="J460" t="s">
        <v>4072</v>
      </c>
      <c r="K460">
        <v>6</v>
      </c>
      <c r="L460" t="s">
        <v>4275</v>
      </c>
      <c r="M460" t="s">
        <v>4281</v>
      </c>
      <c r="N460">
        <v>1334.25</v>
      </c>
      <c r="O460" t="s">
        <v>4290</v>
      </c>
      <c r="P460" t="s">
        <v>2795</v>
      </c>
      <c r="Q460" t="s">
        <v>3069</v>
      </c>
      <c r="R460" t="s">
        <v>4281</v>
      </c>
      <c r="S460">
        <v>222.38</v>
      </c>
    </row>
    <row r="461" spans="1:19" x14ac:dyDescent="0.3">
      <c r="A461" t="s">
        <v>1188</v>
      </c>
      <c r="B461" s="3">
        <v>45257</v>
      </c>
      <c r="C461" t="s">
        <v>2377</v>
      </c>
      <c r="D461" t="s">
        <v>2407</v>
      </c>
      <c r="E461">
        <v>3</v>
      </c>
      <c r="F461">
        <v>222.34</v>
      </c>
      <c r="G461" t="s">
        <v>3055</v>
      </c>
      <c r="H461" t="s">
        <v>3067</v>
      </c>
      <c r="I461" t="s">
        <v>3072</v>
      </c>
      <c r="J461" t="s">
        <v>4249</v>
      </c>
      <c r="K461">
        <v>5</v>
      </c>
      <c r="L461" t="s">
        <v>4277</v>
      </c>
      <c r="M461" t="s">
        <v>4280</v>
      </c>
      <c r="N461">
        <v>667.02</v>
      </c>
      <c r="O461" t="s">
        <v>4290</v>
      </c>
      <c r="P461" t="s">
        <v>3055</v>
      </c>
      <c r="Q461" t="s">
        <v>3067</v>
      </c>
      <c r="R461" t="s">
        <v>4280</v>
      </c>
      <c r="S461">
        <v>133.4</v>
      </c>
    </row>
    <row r="462" spans="1:19" x14ac:dyDescent="0.3">
      <c r="A462" t="s">
        <v>1068</v>
      </c>
      <c r="B462" s="3">
        <v>45259</v>
      </c>
      <c r="C462" t="s">
        <v>2260</v>
      </c>
      <c r="D462" t="s">
        <v>2407</v>
      </c>
      <c r="E462">
        <v>1</v>
      </c>
      <c r="F462">
        <v>660.66</v>
      </c>
      <c r="G462" t="s">
        <v>2490</v>
      </c>
      <c r="H462" t="s">
        <v>3065</v>
      </c>
      <c r="I462" t="s">
        <v>3073</v>
      </c>
      <c r="J462" t="s">
        <v>4129</v>
      </c>
      <c r="K462">
        <v>3</v>
      </c>
      <c r="L462" t="s">
        <v>4277</v>
      </c>
      <c r="M462" t="s">
        <v>4278</v>
      </c>
      <c r="N462">
        <v>660.66</v>
      </c>
      <c r="O462" t="s">
        <v>4290</v>
      </c>
      <c r="P462" t="s">
        <v>2490</v>
      </c>
      <c r="Q462" t="s">
        <v>3065</v>
      </c>
      <c r="R462" t="s">
        <v>4278</v>
      </c>
      <c r="S462">
        <v>220.22</v>
      </c>
    </row>
    <row r="463" spans="1:19" x14ac:dyDescent="0.3">
      <c r="A463" t="s">
        <v>135</v>
      </c>
      <c r="B463" s="3">
        <v>45260</v>
      </c>
      <c r="C463" t="s">
        <v>1335</v>
      </c>
      <c r="D463" t="s">
        <v>2409</v>
      </c>
      <c r="E463">
        <v>1</v>
      </c>
      <c r="F463">
        <v>410.78</v>
      </c>
      <c r="G463" t="s">
        <v>2523</v>
      </c>
      <c r="H463" t="s">
        <v>3069</v>
      </c>
      <c r="I463" t="s">
        <v>3071</v>
      </c>
      <c r="J463" t="s">
        <v>3196</v>
      </c>
      <c r="K463">
        <v>1</v>
      </c>
      <c r="L463" t="s">
        <v>4276</v>
      </c>
      <c r="M463" t="s">
        <v>4278</v>
      </c>
      <c r="N463">
        <v>410.78</v>
      </c>
      <c r="O463" t="s">
        <v>4290</v>
      </c>
      <c r="P463" t="s">
        <v>2523</v>
      </c>
      <c r="Q463" t="s">
        <v>3069</v>
      </c>
      <c r="R463" t="s">
        <v>4278</v>
      </c>
      <c r="S463">
        <v>410.78</v>
      </c>
    </row>
    <row r="464" spans="1:19" x14ac:dyDescent="0.3">
      <c r="A464" t="s">
        <v>363</v>
      </c>
      <c r="B464" s="3">
        <v>45260</v>
      </c>
      <c r="C464" t="s">
        <v>1563</v>
      </c>
      <c r="D464" t="s">
        <v>2406</v>
      </c>
      <c r="E464">
        <v>1</v>
      </c>
      <c r="F464">
        <v>465.33</v>
      </c>
      <c r="G464" t="s">
        <v>2702</v>
      </c>
      <c r="H464" t="s">
        <v>3068</v>
      </c>
      <c r="I464" t="s">
        <v>3073</v>
      </c>
      <c r="J464" t="s">
        <v>3424</v>
      </c>
      <c r="K464">
        <v>2</v>
      </c>
      <c r="L464" t="s">
        <v>4276</v>
      </c>
      <c r="M464" t="s">
        <v>4282</v>
      </c>
      <c r="N464">
        <v>465.33</v>
      </c>
      <c r="O464" t="s">
        <v>4290</v>
      </c>
      <c r="P464" t="s">
        <v>2702</v>
      </c>
      <c r="Q464" t="s">
        <v>3068</v>
      </c>
      <c r="R464" t="s">
        <v>4282</v>
      </c>
      <c r="S464">
        <v>232.66</v>
      </c>
    </row>
    <row r="465" spans="1:19" x14ac:dyDescent="0.3">
      <c r="A465" t="s">
        <v>1102</v>
      </c>
      <c r="B465" s="3">
        <v>45260</v>
      </c>
      <c r="C465" t="s">
        <v>2294</v>
      </c>
      <c r="D465" t="s">
        <v>2409</v>
      </c>
      <c r="E465">
        <v>3</v>
      </c>
      <c r="F465">
        <v>491.43</v>
      </c>
      <c r="G465" t="s">
        <v>3025</v>
      </c>
      <c r="H465" t="s">
        <v>3068</v>
      </c>
      <c r="I465" t="s">
        <v>3070</v>
      </c>
      <c r="J465" t="s">
        <v>4163</v>
      </c>
      <c r="K465">
        <v>6</v>
      </c>
      <c r="L465" t="s">
        <v>4277</v>
      </c>
      <c r="M465" t="s">
        <v>4278</v>
      </c>
      <c r="N465">
        <v>1474.29</v>
      </c>
      <c r="O465" t="s">
        <v>4290</v>
      </c>
      <c r="P465" t="s">
        <v>3025</v>
      </c>
      <c r="Q465" t="s">
        <v>3068</v>
      </c>
      <c r="R465" t="s">
        <v>4278</v>
      </c>
      <c r="S465">
        <v>245.72</v>
      </c>
    </row>
    <row r="466" spans="1:19" x14ac:dyDescent="0.3">
      <c r="A466" t="s">
        <v>165</v>
      </c>
      <c r="B466" s="3">
        <v>45261</v>
      </c>
      <c r="C466" t="s">
        <v>1365</v>
      </c>
      <c r="D466" t="s">
        <v>2407</v>
      </c>
      <c r="E466">
        <v>5</v>
      </c>
      <c r="F466">
        <v>444.76</v>
      </c>
      <c r="G466" t="s">
        <v>2550</v>
      </c>
      <c r="H466" t="s">
        <v>3065</v>
      </c>
      <c r="I466" t="s">
        <v>3072</v>
      </c>
      <c r="J466" t="s">
        <v>3226</v>
      </c>
      <c r="K466">
        <v>7</v>
      </c>
      <c r="L466" t="s">
        <v>4283</v>
      </c>
      <c r="M466" t="s">
        <v>4280</v>
      </c>
      <c r="N466">
        <v>2223.8000000000002</v>
      </c>
      <c r="O466" t="s">
        <v>4290</v>
      </c>
      <c r="P466" t="s">
        <v>2550</v>
      </c>
      <c r="Q466" t="s">
        <v>3065</v>
      </c>
      <c r="R466" t="s">
        <v>4280</v>
      </c>
      <c r="S466">
        <v>317.69</v>
      </c>
    </row>
    <row r="467" spans="1:19" x14ac:dyDescent="0.3">
      <c r="A467" t="s">
        <v>410</v>
      </c>
      <c r="B467" s="3">
        <v>45261</v>
      </c>
      <c r="C467" t="s">
        <v>1610</v>
      </c>
      <c r="D467" t="s">
        <v>2405</v>
      </c>
      <c r="E467">
        <v>5</v>
      </c>
      <c r="F467">
        <v>287.13</v>
      </c>
      <c r="G467" t="s">
        <v>2730</v>
      </c>
      <c r="H467" t="s">
        <v>3066</v>
      </c>
      <c r="I467" t="s">
        <v>3070</v>
      </c>
      <c r="J467" t="s">
        <v>3471</v>
      </c>
      <c r="K467">
        <v>10</v>
      </c>
      <c r="L467" t="s">
        <v>4275</v>
      </c>
      <c r="M467" t="s">
        <v>4280</v>
      </c>
      <c r="N467">
        <v>1435.65</v>
      </c>
      <c r="O467" t="s">
        <v>4290</v>
      </c>
      <c r="P467" t="s">
        <v>2730</v>
      </c>
      <c r="Q467" t="s">
        <v>3066</v>
      </c>
      <c r="R467" t="s">
        <v>4280</v>
      </c>
      <c r="S467">
        <v>143.56</v>
      </c>
    </row>
    <row r="468" spans="1:19" x14ac:dyDescent="0.3">
      <c r="A468" t="s">
        <v>793</v>
      </c>
      <c r="B468" s="3">
        <v>45261</v>
      </c>
      <c r="C468" t="s">
        <v>1990</v>
      </c>
      <c r="D468" t="s">
        <v>2404</v>
      </c>
      <c r="E468">
        <v>3</v>
      </c>
      <c r="F468">
        <v>588.74</v>
      </c>
      <c r="G468" t="s">
        <v>2919</v>
      </c>
      <c r="H468" t="s">
        <v>3065</v>
      </c>
      <c r="I468" t="s">
        <v>3074</v>
      </c>
      <c r="J468" t="s">
        <v>3854</v>
      </c>
      <c r="K468">
        <v>8</v>
      </c>
      <c r="L468" t="s">
        <v>4276</v>
      </c>
      <c r="M468" t="s">
        <v>4280</v>
      </c>
      <c r="N468">
        <v>1766.22</v>
      </c>
      <c r="O468" t="s">
        <v>4290</v>
      </c>
      <c r="P468" t="s">
        <v>2919</v>
      </c>
      <c r="Q468" t="s">
        <v>3065</v>
      </c>
      <c r="R468" t="s">
        <v>4280</v>
      </c>
      <c r="S468">
        <v>220.78</v>
      </c>
    </row>
    <row r="469" spans="1:19" x14ac:dyDescent="0.3">
      <c r="A469" t="s">
        <v>333</v>
      </c>
      <c r="B469" s="3">
        <v>45262</v>
      </c>
      <c r="C469" t="s">
        <v>1533</v>
      </c>
      <c r="D469" t="s">
        <v>2408</v>
      </c>
      <c r="E469">
        <v>2</v>
      </c>
      <c r="F469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>
        <v>6</v>
      </c>
      <c r="L469" t="s">
        <v>4283</v>
      </c>
      <c r="M469" t="s">
        <v>4278</v>
      </c>
      <c r="N469">
        <v>1126.1199999999999</v>
      </c>
      <c r="O469" t="s">
        <v>4290</v>
      </c>
      <c r="P469" t="s">
        <v>2679</v>
      </c>
      <c r="Q469" t="s">
        <v>3069</v>
      </c>
      <c r="R469" t="s">
        <v>4278</v>
      </c>
      <c r="S469">
        <v>187.69</v>
      </c>
    </row>
    <row r="470" spans="1:19" x14ac:dyDescent="0.3">
      <c r="A470" t="s">
        <v>876</v>
      </c>
      <c r="B470" s="3">
        <v>45262</v>
      </c>
      <c r="C470" t="s">
        <v>2072</v>
      </c>
      <c r="D470" t="s">
        <v>2409</v>
      </c>
      <c r="E470">
        <v>3</v>
      </c>
      <c r="F470">
        <v>120.82</v>
      </c>
      <c r="G470" t="s">
        <v>2882</v>
      </c>
      <c r="H470" t="s">
        <v>3067</v>
      </c>
      <c r="I470" t="s">
        <v>3070</v>
      </c>
      <c r="J470" t="s">
        <v>3937</v>
      </c>
      <c r="K470">
        <v>5</v>
      </c>
      <c r="L470" t="s">
        <v>4275</v>
      </c>
      <c r="M470" t="s">
        <v>4279</v>
      </c>
      <c r="N470">
        <v>362.46</v>
      </c>
      <c r="O470" t="s">
        <v>4290</v>
      </c>
      <c r="P470" t="s">
        <v>2882</v>
      </c>
      <c r="Q470" t="s">
        <v>3067</v>
      </c>
      <c r="R470" t="s">
        <v>4279</v>
      </c>
      <c r="S470">
        <v>72.489999999999995</v>
      </c>
    </row>
    <row r="471" spans="1:19" x14ac:dyDescent="0.3">
      <c r="A471" t="s">
        <v>539</v>
      </c>
      <c r="B471" s="3">
        <v>45263</v>
      </c>
      <c r="C471" t="s">
        <v>1739</v>
      </c>
      <c r="D471" t="s">
        <v>2403</v>
      </c>
      <c r="E471">
        <v>1</v>
      </c>
      <c r="F471">
        <v>668.48</v>
      </c>
      <c r="G471" t="s">
        <v>2762</v>
      </c>
      <c r="H471" t="s">
        <v>3065</v>
      </c>
      <c r="I471" t="s">
        <v>3070</v>
      </c>
      <c r="J471" t="s">
        <v>3600</v>
      </c>
      <c r="K471">
        <v>1</v>
      </c>
      <c r="L471" t="s">
        <v>4275</v>
      </c>
      <c r="M471" t="s">
        <v>4280</v>
      </c>
      <c r="N471">
        <v>668.48</v>
      </c>
      <c r="O471" t="s">
        <v>4290</v>
      </c>
      <c r="P471" t="s">
        <v>2762</v>
      </c>
      <c r="Q471" t="s">
        <v>3065</v>
      </c>
      <c r="R471" t="s">
        <v>4280</v>
      </c>
      <c r="S471">
        <v>668.48</v>
      </c>
    </row>
    <row r="472" spans="1:19" x14ac:dyDescent="0.3">
      <c r="A472" t="s">
        <v>747</v>
      </c>
      <c r="B472" s="3">
        <v>45264</v>
      </c>
      <c r="C472" t="s">
        <v>1944</v>
      </c>
      <c r="D472" t="s">
        <v>2405</v>
      </c>
      <c r="E472">
        <v>4</v>
      </c>
      <c r="F472">
        <v>494.84</v>
      </c>
      <c r="G472" t="s">
        <v>2869</v>
      </c>
      <c r="H472" t="s">
        <v>3069</v>
      </c>
      <c r="I472" t="s">
        <v>3072</v>
      </c>
      <c r="J472" t="s">
        <v>3808</v>
      </c>
      <c r="K472">
        <v>8</v>
      </c>
      <c r="L472" t="s">
        <v>4275</v>
      </c>
      <c r="M472" t="s">
        <v>4280</v>
      </c>
      <c r="N472">
        <v>1979.36</v>
      </c>
      <c r="O472" t="s">
        <v>4290</v>
      </c>
      <c r="P472" t="s">
        <v>2869</v>
      </c>
      <c r="Q472" t="s">
        <v>3069</v>
      </c>
      <c r="R472" t="s">
        <v>4280</v>
      </c>
      <c r="S472">
        <v>247.42</v>
      </c>
    </row>
    <row r="473" spans="1:19" x14ac:dyDescent="0.3">
      <c r="A473" t="s">
        <v>55</v>
      </c>
      <c r="B473" s="3">
        <v>45265</v>
      </c>
      <c r="C473" t="s">
        <v>1255</v>
      </c>
      <c r="D473" t="s">
        <v>2403</v>
      </c>
      <c r="E473">
        <v>3</v>
      </c>
      <c r="F473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>
        <v>4</v>
      </c>
      <c r="L473" t="s">
        <v>4276</v>
      </c>
      <c r="M473" t="s">
        <v>4278</v>
      </c>
      <c r="N473">
        <v>1834.35</v>
      </c>
      <c r="O473" t="s">
        <v>4290</v>
      </c>
      <c r="P473" t="s">
        <v>2451</v>
      </c>
      <c r="Q473" t="s">
        <v>3068</v>
      </c>
      <c r="R473" t="s">
        <v>4278</v>
      </c>
      <c r="S473">
        <v>458.59</v>
      </c>
    </row>
    <row r="474" spans="1:19" x14ac:dyDescent="0.3">
      <c r="A474" t="s">
        <v>200</v>
      </c>
      <c r="B474" s="3">
        <v>45267</v>
      </c>
      <c r="C474" t="s">
        <v>1400</v>
      </c>
      <c r="D474" t="s">
        <v>2404</v>
      </c>
      <c r="E474">
        <v>2</v>
      </c>
      <c r="F474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>
        <v>7</v>
      </c>
      <c r="L474" t="s">
        <v>4276</v>
      </c>
      <c r="M474" t="s">
        <v>4281</v>
      </c>
      <c r="N474">
        <v>267.10000000000002</v>
      </c>
      <c r="O474" t="s">
        <v>4290</v>
      </c>
      <c r="P474" t="s">
        <v>2578</v>
      </c>
      <c r="Q474" t="s">
        <v>3069</v>
      </c>
      <c r="R474" t="s">
        <v>4281</v>
      </c>
      <c r="S474">
        <v>38.159999999999997</v>
      </c>
    </row>
    <row r="475" spans="1:19" x14ac:dyDescent="0.3">
      <c r="A475" t="s">
        <v>359</v>
      </c>
      <c r="B475" s="3">
        <v>45267</v>
      </c>
      <c r="C475" t="s">
        <v>1559</v>
      </c>
      <c r="D475" t="s">
        <v>2405</v>
      </c>
      <c r="E475">
        <v>5</v>
      </c>
      <c r="F475">
        <v>501.26</v>
      </c>
      <c r="G475" t="s">
        <v>2698</v>
      </c>
      <c r="H475" t="s">
        <v>3068</v>
      </c>
      <c r="I475" t="s">
        <v>3070</v>
      </c>
      <c r="J475" t="s">
        <v>3420</v>
      </c>
      <c r="K475">
        <v>10</v>
      </c>
      <c r="L475" t="s">
        <v>4276</v>
      </c>
      <c r="M475" t="s">
        <v>4279</v>
      </c>
      <c r="N475">
        <v>2506.3000000000002</v>
      </c>
      <c r="O475" t="s">
        <v>4290</v>
      </c>
      <c r="P475" t="s">
        <v>2698</v>
      </c>
      <c r="Q475" t="s">
        <v>3068</v>
      </c>
      <c r="R475" t="s">
        <v>4279</v>
      </c>
      <c r="S475">
        <v>250.63</v>
      </c>
    </row>
    <row r="476" spans="1:19" x14ac:dyDescent="0.3">
      <c r="A476" t="s">
        <v>1015</v>
      </c>
      <c r="B476" s="3">
        <v>45268</v>
      </c>
      <c r="C476" t="s">
        <v>2208</v>
      </c>
      <c r="D476" t="s">
        <v>2407</v>
      </c>
      <c r="E476">
        <v>2</v>
      </c>
      <c r="F476">
        <v>253.68</v>
      </c>
      <c r="G476" t="s">
        <v>2518</v>
      </c>
      <c r="H476" t="s">
        <v>3068</v>
      </c>
      <c r="I476" t="s">
        <v>3070</v>
      </c>
      <c r="J476" t="s">
        <v>4076</v>
      </c>
      <c r="K476">
        <v>6</v>
      </c>
      <c r="L476" t="s">
        <v>4283</v>
      </c>
      <c r="M476" t="s">
        <v>4279</v>
      </c>
      <c r="N476">
        <v>507.36</v>
      </c>
      <c r="O476" t="s">
        <v>4290</v>
      </c>
      <c r="P476" t="s">
        <v>2518</v>
      </c>
      <c r="Q476" t="s">
        <v>3068</v>
      </c>
      <c r="R476" t="s">
        <v>4279</v>
      </c>
      <c r="S476">
        <v>84.56</v>
      </c>
    </row>
    <row r="477" spans="1:19" x14ac:dyDescent="0.3">
      <c r="A477" t="s">
        <v>737</v>
      </c>
      <c r="B477" s="3">
        <v>45269</v>
      </c>
      <c r="C477" t="s">
        <v>1934</v>
      </c>
      <c r="D477" t="s">
        <v>2409</v>
      </c>
      <c r="E477">
        <v>3</v>
      </c>
      <c r="F477">
        <v>54.95</v>
      </c>
      <c r="G477" t="s">
        <v>2471</v>
      </c>
      <c r="H477" t="s">
        <v>3069</v>
      </c>
      <c r="I477" t="s">
        <v>3072</v>
      </c>
      <c r="J477" t="s">
        <v>3798</v>
      </c>
      <c r="K477">
        <v>8</v>
      </c>
      <c r="L477" t="s">
        <v>4275</v>
      </c>
      <c r="M477" t="s">
        <v>4279</v>
      </c>
      <c r="N477">
        <v>164.85</v>
      </c>
      <c r="O477" t="s">
        <v>4290</v>
      </c>
      <c r="P477" t="s">
        <v>2471</v>
      </c>
      <c r="Q477" t="s">
        <v>3069</v>
      </c>
      <c r="R477" t="s">
        <v>4279</v>
      </c>
      <c r="S477">
        <v>20.61</v>
      </c>
    </row>
    <row r="478" spans="1:19" x14ac:dyDescent="0.3">
      <c r="A478" t="s">
        <v>420</v>
      </c>
      <c r="B478" s="3">
        <v>45270</v>
      </c>
      <c r="C478" t="s">
        <v>1620</v>
      </c>
      <c r="D478" t="s">
        <v>2405</v>
      </c>
      <c r="E478">
        <v>4</v>
      </c>
      <c r="F478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>
        <v>9</v>
      </c>
      <c r="L478" t="s">
        <v>4277</v>
      </c>
      <c r="M478" t="s">
        <v>4282</v>
      </c>
      <c r="N478">
        <v>264.39999999999998</v>
      </c>
      <c r="O478" t="s">
        <v>4290</v>
      </c>
      <c r="P478" t="s">
        <v>2577</v>
      </c>
      <c r="Q478" t="s">
        <v>3069</v>
      </c>
      <c r="R478" t="s">
        <v>4282</v>
      </c>
      <c r="S478">
        <v>29.38</v>
      </c>
    </row>
    <row r="479" spans="1:19" x14ac:dyDescent="0.3">
      <c r="A479" t="s">
        <v>82</v>
      </c>
      <c r="B479" s="3">
        <v>45271</v>
      </c>
      <c r="C479" t="s">
        <v>1282</v>
      </c>
      <c r="D479" t="s">
        <v>2406</v>
      </c>
      <c r="E479">
        <v>3</v>
      </c>
      <c r="F479">
        <v>490.92</v>
      </c>
      <c r="G479" t="s">
        <v>2435</v>
      </c>
      <c r="H479" t="s">
        <v>3067</v>
      </c>
      <c r="I479" t="s">
        <v>3074</v>
      </c>
      <c r="J479" t="s">
        <v>3143</v>
      </c>
      <c r="K479">
        <v>5</v>
      </c>
      <c r="L479" t="s">
        <v>4276</v>
      </c>
      <c r="M479" t="s">
        <v>4280</v>
      </c>
      <c r="N479">
        <v>1472.76</v>
      </c>
      <c r="O479" t="s">
        <v>4290</v>
      </c>
      <c r="P479" t="s">
        <v>2435</v>
      </c>
      <c r="Q479" t="s">
        <v>3067</v>
      </c>
      <c r="R479" t="s">
        <v>4280</v>
      </c>
      <c r="S479">
        <v>294.55</v>
      </c>
    </row>
    <row r="480" spans="1:19" x14ac:dyDescent="0.3">
      <c r="A480" t="s">
        <v>322</v>
      </c>
      <c r="B480" s="3">
        <v>45271</v>
      </c>
      <c r="C480" t="s">
        <v>1522</v>
      </c>
      <c r="D480" t="s">
        <v>2407</v>
      </c>
      <c r="E480">
        <v>3</v>
      </c>
      <c r="F480">
        <v>448.9</v>
      </c>
      <c r="G480" t="s">
        <v>2566</v>
      </c>
      <c r="H480" t="s">
        <v>3065</v>
      </c>
      <c r="I480" t="s">
        <v>3072</v>
      </c>
      <c r="J480" t="s">
        <v>3383</v>
      </c>
      <c r="K480">
        <v>7</v>
      </c>
      <c r="L480" t="s">
        <v>4275</v>
      </c>
      <c r="M480" t="s">
        <v>4278</v>
      </c>
      <c r="N480">
        <v>1346.7</v>
      </c>
      <c r="O480" t="s">
        <v>4290</v>
      </c>
      <c r="P480" t="s">
        <v>2566</v>
      </c>
      <c r="Q480" t="s">
        <v>3065</v>
      </c>
      <c r="R480" t="s">
        <v>4278</v>
      </c>
      <c r="S480">
        <v>192.39</v>
      </c>
    </row>
    <row r="481" spans="1:19" x14ac:dyDescent="0.3">
      <c r="A481" t="s">
        <v>974</v>
      </c>
      <c r="B481" s="3">
        <v>45271</v>
      </c>
      <c r="C481" t="s">
        <v>2167</v>
      </c>
      <c r="D481" t="s">
        <v>2408</v>
      </c>
      <c r="E481">
        <v>3</v>
      </c>
      <c r="F481">
        <v>379.07</v>
      </c>
      <c r="G481" t="s">
        <v>2714</v>
      </c>
      <c r="H481" t="s">
        <v>3068</v>
      </c>
      <c r="I481" t="s">
        <v>3074</v>
      </c>
      <c r="J481" t="s">
        <v>4035</v>
      </c>
      <c r="K481">
        <v>3</v>
      </c>
      <c r="L481" t="s">
        <v>4277</v>
      </c>
      <c r="M481" t="s">
        <v>4282</v>
      </c>
      <c r="N481">
        <v>1137.21</v>
      </c>
      <c r="O481" t="s">
        <v>4290</v>
      </c>
      <c r="P481" t="s">
        <v>2714</v>
      </c>
      <c r="Q481" t="s">
        <v>3068</v>
      </c>
      <c r="R481" t="s">
        <v>4282</v>
      </c>
      <c r="S481">
        <v>379.07</v>
      </c>
    </row>
    <row r="482" spans="1:19" x14ac:dyDescent="0.3">
      <c r="A482" t="s">
        <v>577</v>
      </c>
      <c r="B482" s="3">
        <v>45272</v>
      </c>
      <c r="C482" t="s">
        <v>1777</v>
      </c>
      <c r="D482" t="s">
        <v>2408</v>
      </c>
      <c r="E482">
        <v>1</v>
      </c>
      <c r="F482">
        <v>132.68</v>
      </c>
      <c r="G482" t="s">
        <v>2822</v>
      </c>
      <c r="H482" t="s">
        <v>3065</v>
      </c>
      <c r="I482" t="s">
        <v>3072</v>
      </c>
      <c r="J482" t="s">
        <v>3638</v>
      </c>
      <c r="K482">
        <v>1</v>
      </c>
      <c r="L482" t="s">
        <v>4275</v>
      </c>
      <c r="M482" t="s">
        <v>4279</v>
      </c>
      <c r="N482">
        <v>132.68</v>
      </c>
      <c r="O482" t="s">
        <v>4290</v>
      </c>
      <c r="P482" t="s">
        <v>2822</v>
      </c>
      <c r="Q482" t="s">
        <v>3065</v>
      </c>
      <c r="R482" t="s">
        <v>4279</v>
      </c>
      <c r="S482">
        <v>132.68</v>
      </c>
    </row>
    <row r="483" spans="1:19" x14ac:dyDescent="0.3">
      <c r="A483" t="s">
        <v>865</v>
      </c>
      <c r="B483" s="3">
        <v>45272</v>
      </c>
      <c r="C483" t="s">
        <v>2061</v>
      </c>
      <c r="D483" t="s">
        <v>2408</v>
      </c>
      <c r="E483">
        <v>1</v>
      </c>
      <c r="F483">
        <v>365.57</v>
      </c>
      <c r="G483" t="s">
        <v>2482</v>
      </c>
      <c r="H483" t="s">
        <v>3066</v>
      </c>
      <c r="I483" t="s">
        <v>3071</v>
      </c>
      <c r="J483" t="s">
        <v>3926</v>
      </c>
      <c r="K483">
        <v>5</v>
      </c>
      <c r="L483" t="s">
        <v>4275</v>
      </c>
      <c r="M483" t="s">
        <v>4280</v>
      </c>
      <c r="N483">
        <v>365.57</v>
      </c>
      <c r="O483" t="s">
        <v>4290</v>
      </c>
      <c r="P483" t="s">
        <v>2482</v>
      </c>
      <c r="Q483" t="s">
        <v>3066</v>
      </c>
      <c r="R483" t="s">
        <v>4280</v>
      </c>
      <c r="S483">
        <v>73.11</v>
      </c>
    </row>
    <row r="484" spans="1:19" x14ac:dyDescent="0.3">
      <c r="A484" t="s">
        <v>164</v>
      </c>
      <c r="B484" s="3">
        <v>45273</v>
      </c>
      <c r="C484" t="s">
        <v>1364</v>
      </c>
      <c r="D484" t="s">
        <v>2404</v>
      </c>
      <c r="E484">
        <v>2</v>
      </c>
      <c r="F484">
        <v>105.57</v>
      </c>
      <c r="G484" t="s">
        <v>2549</v>
      </c>
      <c r="H484" t="s">
        <v>3065</v>
      </c>
      <c r="I484" t="s">
        <v>3072</v>
      </c>
      <c r="J484" t="s">
        <v>3225</v>
      </c>
      <c r="K484">
        <v>5</v>
      </c>
      <c r="L484" t="s">
        <v>4277</v>
      </c>
      <c r="M484" t="s">
        <v>4282</v>
      </c>
      <c r="N484">
        <v>211.14</v>
      </c>
      <c r="O484" t="s">
        <v>4290</v>
      </c>
      <c r="P484" t="s">
        <v>2549</v>
      </c>
      <c r="Q484" t="s">
        <v>3065</v>
      </c>
      <c r="R484" t="s">
        <v>4282</v>
      </c>
      <c r="S484">
        <v>42.23</v>
      </c>
    </row>
    <row r="485" spans="1:19" x14ac:dyDescent="0.3">
      <c r="A485" t="s">
        <v>455</v>
      </c>
      <c r="B485" s="3">
        <v>45273</v>
      </c>
      <c r="C485" t="s">
        <v>1655</v>
      </c>
      <c r="D485" t="s">
        <v>2407</v>
      </c>
      <c r="E485">
        <v>2</v>
      </c>
      <c r="F485">
        <v>328.54</v>
      </c>
      <c r="G485" t="s">
        <v>2754</v>
      </c>
      <c r="H485" t="s">
        <v>3068</v>
      </c>
      <c r="I485" t="s">
        <v>3072</v>
      </c>
      <c r="J485" t="s">
        <v>3516</v>
      </c>
      <c r="K485">
        <v>6</v>
      </c>
      <c r="L485" t="s">
        <v>4276</v>
      </c>
      <c r="M485" t="s">
        <v>4280</v>
      </c>
      <c r="N485">
        <v>657.08</v>
      </c>
      <c r="O485" t="s">
        <v>4290</v>
      </c>
      <c r="P485" t="s">
        <v>2754</v>
      </c>
      <c r="Q485" t="s">
        <v>3068</v>
      </c>
      <c r="R485" t="s">
        <v>4280</v>
      </c>
      <c r="S485">
        <v>109.51</v>
      </c>
    </row>
    <row r="486" spans="1:19" x14ac:dyDescent="0.3">
      <c r="A486" t="s">
        <v>649</v>
      </c>
      <c r="B486" s="3">
        <v>45273</v>
      </c>
      <c r="C486" t="s">
        <v>1848</v>
      </c>
      <c r="D486" t="s">
        <v>2406</v>
      </c>
      <c r="E486">
        <v>3</v>
      </c>
      <c r="F486">
        <v>63.68</v>
      </c>
      <c r="G486" t="s">
        <v>2458</v>
      </c>
      <c r="H486" t="s">
        <v>3069</v>
      </c>
      <c r="I486" t="s">
        <v>3072</v>
      </c>
      <c r="J486" t="s">
        <v>3710</v>
      </c>
      <c r="K486">
        <v>6</v>
      </c>
      <c r="L486" t="s">
        <v>4283</v>
      </c>
      <c r="M486" t="s">
        <v>4281</v>
      </c>
      <c r="N486">
        <v>191.04</v>
      </c>
      <c r="O486" t="s">
        <v>4290</v>
      </c>
      <c r="P486" t="s">
        <v>2458</v>
      </c>
      <c r="Q486" t="s">
        <v>3069</v>
      </c>
      <c r="R486" t="s">
        <v>4281</v>
      </c>
      <c r="S486">
        <v>31.84</v>
      </c>
    </row>
    <row r="487" spans="1:19" x14ac:dyDescent="0.3">
      <c r="A487" t="s">
        <v>1051</v>
      </c>
      <c r="B487" s="3">
        <v>45273</v>
      </c>
      <c r="C487" t="s">
        <v>2243</v>
      </c>
      <c r="D487" t="s">
        <v>2407</v>
      </c>
      <c r="E487">
        <v>1</v>
      </c>
      <c r="F487">
        <v>249.81</v>
      </c>
      <c r="G487" t="s">
        <v>2875</v>
      </c>
      <c r="H487" t="s">
        <v>3069</v>
      </c>
      <c r="I487" t="s">
        <v>3074</v>
      </c>
      <c r="J487" t="s">
        <v>4112</v>
      </c>
      <c r="K487">
        <v>1</v>
      </c>
      <c r="L487" t="s">
        <v>4275</v>
      </c>
      <c r="M487" t="s">
        <v>4282</v>
      </c>
      <c r="N487">
        <v>249.81</v>
      </c>
      <c r="O487" t="s">
        <v>4290</v>
      </c>
      <c r="P487" t="s">
        <v>2875</v>
      </c>
      <c r="Q487" t="s">
        <v>3069</v>
      </c>
      <c r="R487" t="s">
        <v>4282</v>
      </c>
      <c r="S487">
        <v>249.81</v>
      </c>
    </row>
    <row r="488" spans="1:19" x14ac:dyDescent="0.3">
      <c r="A488" t="s">
        <v>57</v>
      </c>
      <c r="B488" s="3">
        <v>45274</v>
      </c>
      <c r="C488" t="s">
        <v>1257</v>
      </c>
      <c r="D488" t="s">
        <v>2406</v>
      </c>
      <c r="E488">
        <v>3</v>
      </c>
      <c r="F488">
        <v>499.21</v>
      </c>
      <c r="G488" t="s">
        <v>2452</v>
      </c>
      <c r="H488" t="s">
        <v>3066</v>
      </c>
      <c r="I488" t="s">
        <v>3071</v>
      </c>
      <c r="J488" t="s">
        <v>3118</v>
      </c>
      <c r="K488">
        <v>8</v>
      </c>
      <c r="L488" t="s">
        <v>4283</v>
      </c>
      <c r="M488" t="s">
        <v>4278</v>
      </c>
      <c r="N488">
        <v>1497.63</v>
      </c>
      <c r="O488" t="s">
        <v>4290</v>
      </c>
      <c r="P488" t="s">
        <v>2452</v>
      </c>
      <c r="Q488" t="s">
        <v>3066</v>
      </c>
      <c r="R488" t="s">
        <v>4278</v>
      </c>
      <c r="S488">
        <v>187.2</v>
      </c>
    </row>
    <row r="489" spans="1:19" x14ac:dyDescent="0.3">
      <c r="A489" t="s">
        <v>244</v>
      </c>
      <c r="B489" s="3">
        <v>45276</v>
      </c>
      <c r="C489" t="s">
        <v>1444</v>
      </c>
      <c r="D489" t="s">
        <v>2409</v>
      </c>
      <c r="E489">
        <v>4</v>
      </c>
      <c r="F489">
        <v>61.91</v>
      </c>
      <c r="G489" t="s">
        <v>2608</v>
      </c>
      <c r="H489" t="s">
        <v>3068</v>
      </c>
      <c r="I489" t="s">
        <v>3073</v>
      </c>
      <c r="J489" t="s">
        <v>3305</v>
      </c>
      <c r="K489">
        <v>6</v>
      </c>
      <c r="L489" t="s">
        <v>4277</v>
      </c>
      <c r="M489" t="s">
        <v>4280</v>
      </c>
      <c r="N489">
        <v>247.64</v>
      </c>
      <c r="O489" t="s">
        <v>4290</v>
      </c>
      <c r="P489" t="s">
        <v>2608</v>
      </c>
      <c r="Q489" t="s">
        <v>3068</v>
      </c>
      <c r="R489" t="s">
        <v>4280</v>
      </c>
      <c r="S489">
        <v>41.27</v>
      </c>
    </row>
    <row r="490" spans="1:19" x14ac:dyDescent="0.3">
      <c r="A490" t="s">
        <v>403</v>
      </c>
      <c r="B490" s="3">
        <v>45277</v>
      </c>
      <c r="C490" t="s">
        <v>1603</v>
      </c>
      <c r="D490" t="s">
        <v>2409</v>
      </c>
      <c r="E490">
        <v>4</v>
      </c>
      <c r="F490">
        <v>697.5</v>
      </c>
      <c r="G490" t="s">
        <v>2727</v>
      </c>
      <c r="H490" t="s">
        <v>3069</v>
      </c>
      <c r="I490" t="s">
        <v>3070</v>
      </c>
      <c r="J490" t="s">
        <v>3464</v>
      </c>
      <c r="K490">
        <v>7</v>
      </c>
      <c r="L490" t="s">
        <v>4276</v>
      </c>
      <c r="M490" t="s">
        <v>4279</v>
      </c>
      <c r="N490">
        <v>2790</v>
      </c>
      <c r="O490" t="s">
        <v>4290</v>
      </c>
      <c r="P490" t="s">
        <v>2727</v>
      </c>
      <c r="Q490" t="s">
        <v>3069</v>
      </c>
      <c r="R490" t="s">
        <v>4279</v>
      </c>
      <c r="S490">
        <v>398.57</v>
      </c>
    </row>
    <row r="491" spans="1:19" x14ac:dyDescent="0.3">
      <c r="A491" t="s">
        <v>845</v>
      </c>
      <c r="B491" s="3">
        <v>45278</v>
      </c>
      <c r="C491" t="s">
        <v>2041</v>
      </c>
      <c r="D491" t="s">
        <v>2407</v>
      </c>
      <c r="E491">
        <v>2</v>
      </c>
      <c r="F491">
        <v>88.73</v>
      </c>
      <c r="G491" t="s">
        <v>2851</v>
      </c>
      <c r="H491" t="s">
        <v>3066</v>
      </c>
      <c r="I491" t="s">
        <v>3074</v>
      </c>
      <c r="J491" t="s">
        <v>3906</v>
      </c>
      <c r="K491">
        <v>5</v>
      </c>
      <c r="L491" t="s">
        <v>4283</v>
      </c>
      <c r="M491" t="s">
        <v>4282</v>
      </c>
      <c r="N491">
        <v>177.46</v>
      </c>
      <c r="O491" t="s">
        <v>4290</v>
      </c>
      <c r="P491" t="s">
        <v>2851</v>
      </c>
      <c r="Q491" t="s">
        <v>3066</v>
      </c>
      <c r="R491" t="s">
        <v>4282</v>
      </c>
      <c r="S491">
        <v>35.49</v>
      </c>
    </row>
    <row r="492" spans="1:19" x14ac:dyDescent="0.3">
      <c r="A492" t="s">
        <v>1152</v>
      </c>
      <c r="B492" s="3">
        <v>45278</v>
      </c>
      <c r="C492" t="s">
        <v>2342</v>
      </c>
      <c r="D492" t="s">
        <v>2409</v>
      </c>
      <c r="E492">
        <v>4</v>
      </c>
      <c r="F492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>
        <v>4</v>
      </c>
      <c r="L492" t="s">
        <v>4283</v>
      </c>
      <c r="M492" t="s">
        <v>4278</v>
      </c>
      <c r="N492">
        <v>1177.6400000000001</v>
      </c>
      <c r="O492" t="s">
        <v>4290</v>
      </c>
      <c r="P492" t="s">
        <v>2865</v>
      </c>
      <c r="Q492" t="s">
        <v>3065</v>
      </c>
      <c r="R492" t="s">
        <v>4278</v>
      </c>
      <c r="S492">
        <v>294.41000000000003</v>
      </c>
    </row>
    <row r="493" spans="1:19" x14ac:dyDescent="0.3">
      <c r="A493" t="s">
        <v>312</v>
      </c>
      <c r="B493" s="3">
        <v>45279</v>
      </c>
      <c r="C493" t="s">
        <v>1512</v>
      </c>
      <c r="D493" t="s">
        <v>2407</v>
      </c>
      <c r="E493">
        <v>4</v>
      </c>
      <c r="F493">
        <v>301.17</v>
      </c>
      <c r="G493" t="s">
        <v>2450</v>
      </c>
      <c r="H493" t="s">
        <v>3066</v>
      </c>
      <c r="I493" t="s">
        <v>3071</v>
      </c>
      <c r="J493" t="s">
        <v>3373</v>
      </c>
      <c r="K493">
        <v>6</v>
      </c>
      <c r="L493" t="s">
        <v>4283</v>
      </c>
      <c r="M493" t="s">
        <v>4280</v>
      </c>
      <c r="N493">
        <v>1204.68</v>
      </c>
      <c r="O493" t="s">
        <v>4290</v>
      </c>
      <c r="P493" t="s">
        <v>2450</v>
      </c>
      <c r="Q493" t="s">
        <v>3066</v>
      </c>
      <c r="R493" t="s">
        <v>4280</v>
      </c>
      <c r="S493">
        <v>200.78</v>
      </c>
    </row>
    <row r="494" spans="1:19" x14ac:dyDescent="0.3">
      <c r="A494" t="s">
        <v>559</v>
      </c>
      <c r="B494" s="3">
        <v>45279</v>
      </c>
      <c r="C494" t="s">
        <v>1759</v>
      </c>
      <c r="D494" t="s">
        <v>2403</v>
      </c>
      <c r="E494">
        <v>2</v>
      </c>
      <c r="F494">
        <v>98.47</v>
      </c>
      <c r="G494" t="s">
        <v>2813</v>
      </c>
      <c r="H494" t="s">
        <v>3069</v>
      </c>
      <c r="I494" t="s">
        <v>3072</v>
      </c>
      <c r="J494" t="s">
        <v>3620</v>
      </c>
      <c r="K494">
        <v>3</v>
      </c>
      <c r="L494" t="s">
        <v>4283</v>
      </c>
      <c r="M494" t="s">
        <v>4278</v>
      </c>
      <c r="N494">
        <v>196.94</v>
      </c>
      <c r="O494" t="s">
        <v>4290</v>
      </c>
      <c r="P494" t="s">
        <v>2813</v>
      </c>
      <c r="Q494" t="s">
        <v>3069</v>
      </c>
      <c r="R494" t="s">
        <v>4278</v>
      </c>
      <c r="S494">
        <v>65.650000000000006</v>
      </c>
    </row>
    <row r="495" spans="1:19" x14ac:dyDescent="0.3">
      <c r="A495" t="s">
        <v>1080</v>
      </c>
      <c r="B495" s="3">
        <v>45280</v>
      </c>
      <c r="C495" t="s">
        <v>2272</v>
      </c>
      <c r="D495" t="s">
        <v>2409</v>
      </c>
      <c r="E495">
        <v>1</v>
      </c>
      <c r="F495">
        <v>355.09</v>
      </c>
      <c r="G495" t="s">
        <v>2878</v>
      </c>
      <c r="H495" t="s">
        <v>3065</v>
      </c>
      <c r="I495" t="s">
        <v>3071</v>
      </c>
      <c r="J495" t="s">
        <v>4141</v>
      </c>
      <c r="K495">
        <v>5</v>
      </c>
      <c r="L495" t="s">
        <v>4275</v>
      </c>
      <c r="M495" t="s">
        <v>4278</v>
      </c>
      <c r="N495">
        <v>355.09</v>
      </c>
      <c r="O495" t="s">
        <v>4290</v>
      </c>
      <c r="P495" t="s">
        <v>2878</v>
      </c>
      <c r="Q495" t="s">
        <v>3065</v>
      </c>
      <c r="R495" t="s">
        <v>4278</v>
      </c>
      <c r="S495">
        <v>71.02</v>
      </c>
    </row>
    <row r="496" spans="1:19" x14ac:dyDescent="0.3">
      <c r="A496" t="s">
        <v>152</v>
      </c>
      <c r="B496" s="3">
        <v>45281</v>
      </c>
      <c r="C496" t="s">
        <v>1352</v>
      </c>
      <c r="D496" t="s">
        <v>2405</v>
      </c>
      <c r="E496">
        <v>1</v>
      </c>
      <c r="F496">
        <v>298.06</v>
      </c>
      <c r="G496" t="s">
        <v>2539</v>
      </c>
      <c r="H496" t="s">
        <v>3065</v>
      </c>
      <c r="I496" t="s">
        <v>3074</v>
      </c>
      <c r="J496" t="s">
        <v>3213</v>
      </c>
      <c r="K496">
        <v>3</v>
      </c>
      <c r="L496" t="s">
        <v>4277</v>
      </c>
      <c r="M496" t="s">
        <v>4282</v>
      </c>
      <c r="N496">
        <v>298.06</v>
      </c>
      <c r="O496" t="s">
        <v>4290</v>
      </c>
      <c r="P496" t="s">
        <v>2539</v>
      </c>
      <c r="Q496" t="s">
        <v>3065</v>
      </c>
      <c r="R496" t="s">
        <v>4282</v>
      </c>
      <c r="S496">
        <v>99.35</v>
      </c>
    </row>
    <row r="497" spans="1:19" x14ac:dyDescent="0.3">
      <c r="A497" t="s">
        <v>279</v>
      </c>
      <c r="B497" s="3">
        <v>45282</v>
      </c>
      <c r="C497" t="s">
        <v>1479</v>
      </c>
      <c r="D497" t="s">
        <v>2407</v>
      </c>
      <c r="E497">
        <v>1</v>
      </c>
      <c r="F497">
        <v>572.13</v>
      </c>
      <c r="G497" t="s">
        <v>2636</v>
      </c>
      <c r="H497" t="s">
        <v>3065</v>
      </c>
      <c r="I497" t="s">
        <v>3071</v>
      </c>
      <c r="J497" t="s">
        <v>3340</v>
      </c>
      <c r="K497">
        <v>4</v>
      </c>
      <c r="L497" t="s">
        <v>4275</v>
      </c>
      <c r="M497" t="s">
        <v>4282</v>
      </c>
      <c r="N497">
        <v>572.13</v>
      </c>
      <c r="O497" t="s">
        <v>4290</v>
      </c>
      <c r="P497" t="s">
        <v>2636</v>
      </c>
      <c r="Q497" t="s">
        <v>3065</v>
      </c>
      <c r="R497" t="s">
        <v>4282</v>
      </c>
      <c r="S497">
        <v>143.03</v>
      </c>
    </row>
    <row r="498" spans="1:19" x14ac:dyDescent="0.3">
      <c r="A498" t="s">
        <v>663</v>
      </c>
      <c r="B498" s="3">
        <v>45283</v>
      </c>
      <c r="C498" t="s">
        <v>1862</v>
      </c>
      <c r="D498" t="s">
        <v>2403</v>
      </c>
      <c r="E498">
        <v>2</v>
      </c>
      <c r="F498">
        <v>642.98</v>
      </c>
      <c r="G498" t="s">
        <v>2632</v>
      </c>
      <c r="H498" t="s">
        <v>3065</v>
      </c>
      <c r="I498" t="s">
        <v>3072</v>
      </c>
      <c r="J498" t="s">
        <v>3724</v>
      </c>
      <c r="K498">
        <v>7</v>
      </c>
      <c r="L498" t="s">
        <v>4276</v>
      </c>
      <c r="M498" t="s">
        <v>4280</v>
      </c>
      <c r="N498">
        <v>1285.96</v>
      </c>
      <c r="O498" t="s">
        <v>4290</v>
      </c>
      <c r="P498" t="s">
        <v>2632</v>
      </c>
      <c r="Q498" t="s">
        <v>3065</v>
      </c>
      <c r="R498" t="s">
        <v>4280</v>
      </c>
      <c r="S498">
        <v>183.71</v>
      </c>
    </row>
    <row r="499" spans="1:19" x14ac:dyDescent="0.3">
      <c r="A499" t="s">
        <v>1100</v>
      </c>
      <c r="B499" s="3">
        <v>45283</v>
      </c>
      <c r="C499" t="s">
        <v>2292</v>
      </c>
      <c r="D499" t="s">
        <v>2405</v>
      </c>
      <c r="E499">
        <v>2</v>
      </c>
      <c r="F499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>
        <v>5</v>
      </c>
      <c r="L499" t="s">
        <v>4277</v>
      </c>
      <c r="M499" t="s">
        <v>4278</v>
      </c>
      <c r="N499">
        <v>1026.8399999999999</v>
      </c>
      <c r="O499" t="s">
        <v>4290</v>
      </c>
      <c r="P499" t="s">
        <v>3023</v>
      </c>
      <c r="Q499" t="s">
        <v>3066</v>
      </c>
      <c r="R499" t="s">
        <v>4278</v>
      </c>
      <c r="S499">
        <v>205.37</v>
      </c>
    </row>
    <row r="500" spans="1:19" x14ac:dyDescent="0.3">
      <c r="A500" t="s">
        <v>671</v>
      </c>
      <c r="B500" s="3">
        <v>45284</v>
      </c>
      <c r="C500" t="s">
        <v>1870</v>
      </c>
      <c r="D500" t="s">
        <v>2405</v>
      </c>
      <c r="E500">
        <v>4</v>
      </c>
      <c r="F500">
        <v>87.79</v>
      </c>
      <c r="G500" t="s">
        <v>2685</v>
      </c>
      <c r="H500" t="s">
        <v>3069</v>
      </c>
      <c r="I500" t="s">
        <v>3071</v>
      </c>
      <c r="J500" t="s">
        <v>3732</v>
      </c>
      <c r="K500">
        <v>6</v>
      </c>
      <c r="L500" t="s">
        <v>4276</v>
      </c>
      <c r="M500" t="s">
        <v>4278</v>
      </c>
      <c r="N500">
        <v>351.16</v>
      </c>
      <c r="O500" t="s">
        <v>4290</v>
      </c>
      <c r="P500" t="s">
        <v>2685</v>
      </c>
      <c r="Q500" t="s">
        <v>3069</v>
      </c>
      <c r="R500" t="s">
        <v>4278</v>
      </c>
      <c r="S500">
        <v>58.53</v>
      </c>
    </row>
    <row r="501" spans="1:19" x14ac:dyDescent="0.3">
      <c r="A501" t="s">
        <v>1013</v>
      </c>
      <c r="B501" s="3">
        <v>45284</v>
      </c>
      <c r="C501" t="s">
        <v>2206</v>
      </c>
      <c r="D501" t="s">
        <v>2407</v>
      </c>
      <c r="E501">
        <v>1</v>
      </c>
      <c r="F501">
        <v>483.38</v>
      </c>
      <c r="G501" t="s">
        <v>2741</v>
      </c>
      <c r="H501" t="s">
        <v>3069</v>
      </c>
      <c r="I501" t="s">
        <v>3074</v>
      </c>
      <c r="J501" t="s">
        <v>4074</v>
      </c>
      <c r="K501">
        <v>6</v>
      </c>
      <c r="L501" t="s">
        <v>4276</v>
      </c>
      <c r="M501" t="s">
        <v>4282</v>
      </c>
      <c r="N501">
        <v>483.38</v>
      </c>
      <c r="O501" t="s">
        <v>4290</v>
      </c>
      <c r="P501" t="s">
        <v>2741</v>
      </c>
      <c r="Q501" t="s">
        <v>3069</v>
      </c>
      <c r="R501" t="s">
        <v>4282</v>
      </c>
      <c r="S501">
        <v>80.56</v>
      </c>
    </row>
    <row r="502" spans="1:19" x14ac:dyDescent="0.3">
      <c r="A502" t="s">
        <v>268</v>
      </c>
      <c r="B502" s="3">
        <v>45286</v>
      </c>
      <c r="C502" t="s">
        <v>1468</v>
      </c>
      <c r="D502" t="s">
        <v>2403</v>
      </c>
      <c r="E502">
        <v>3</v>
      </c>
      <c r="F502">
        <v>263.19</v>
      </c>
      <c r="G502" t="s">
        <v>2615</v>
      </c>
      <c r="H502" t="s">
        <v>3066</v>
      </c>
      <c r="I502" t="s">
        <v>3073</v>
      </c>
      <c r="J502" t="s">
        <v>3329</v>
      </c>
      <c r="K502">
        <v>5</v>
      </c>
      <c r="L502" t="s">
        <v>4283</v>
      </c>
      <c r="M502" t="s">
        <v>4278</v>
      </c>
      <c r="N502">
        <v>789.56999999999994</v>
      </c>
      <c r="O502" t="s">
        <v>4290</v>
      </c>
      <c r="P502" t="s">
        <v>2615</v>
      </c>
      <c r="Q502" t="s">
        <v>3066</v>
      </c>
      <c r="R502" t="s">
        <v>4278</v>
      </c>
      <c r="S502">
        <v>157.91</v>
      </c>
    </row>
    <row r="503" spans="1:19" x14ac:dyDescent="0.3">
      <c r="A503" t="s">
        <v>163</v>
      </c>
      <c r="B503" s="3">
        <v>45287</v>
      </c>
      <c r="C503" t="s">
        <v>1363</v>
      </c>
      <c r="D503" t="s">
        <v>2408</v>
      </c>
      <c r="E503">
        <v>1</v>
      </c>
      <c r="F503">
        <v>217.56</v>
      </c>
      <c r="G503" t="s">
        <v>2548</v>
      </c>
      <c r="H503" t="s">
        <v>3065</v>
      </c>
      <c r="I503" t="s">
        <v>3073</v>
      </c>
      <c r="J503" t="s">
        <v>3224</v>
      </c>
      <c r="K503">
        <v>3</v>
      </c>
      <c r="L503" t="s">
        <v>4283</v>
      </c>
      <c r="M503" t="s">
        <v>4281</v>
      </c>
      <c r="N503">
        <v>217.56</v>
      </c>
      <c r="O503" t="s">
        <v>4290</v>
      </c>
      <c r="P503" t="s">
        <v>2548</v>
      </c>
      <c r="Q503" t="s">
        <v>3065</v>
      </c>
      <c r="R503" t="s">
        <v>4281</v>
      </c>
      <c r="S503">
        <v>72.52</v>
      </c>
    </row>
    <row r="504" spans="1:19" x14ac:dyDescent="0.3">
      <c r="A504" t="s">
        <v>957</v>
      </c>
      <c r="B504" s="3">
        <v>45287</v>
      </c>
      <c r="C504" t="s">
        <v>2152</v>
      </c>
      <c r="D504" t="s">
        <v>2403</v>
      </c>
      <c r="E504">
        <v>3</v>
      </c>
      <c r="F504">
        <v>193.49</v>
      </c>
      <c r="G504" t="s">
        <v>2985</v>
      </c>
      <c r="H504" t="s">
        <v>3068</v>
      </c>
      <c r="I504" t="s">
        <v>3072</v>
      </c>
      <c r="J504" t="s">
        <v>4018</v>
      </c>
      <c r="K504">
        <v>6</v>
      </c>
      <c r="L504" t="s">
        <v>4276</v>
      </c>
      <c r="M504" t="s">
        <v>4281</v>
      </c>
      <c r="N504">
        <v>580.47</v>
      </c>
      <c r="O504" t="s">
        <v>4290</v>
      </c>
      <c r="P504" t="s">
        <v>2985</v>
      </c>
      <c r="Q504" t="s">
        <v>3068</v>
      </c>
      <c r="R504" t="s">
        <v>4281</v>
      </c>
      <c r="S504">
        <v>96.74</v>
      </c>
    </row>
    <row r="505" spans="1:19" x14ac:dyDescent="0.3">
      <c r="A505" t="s">
        <v>178</v>
      </c>
      <c r="B505" s="3">
        <v>45288</v>
      </c>
      <c r="C505" t="s">
        <v>1378</v>
      </c>
      <c r="D505" t="s">
        <v>2409</v>
      </c>
      <c r="E505">
        <v>5</v>
      </c>
      <c r="F505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>
        <v>5</v>
      </c>
      <c r="L505" t="s">
        <v>4275</v>
      </c>
      <c r="M505" t="s">
        <v>4282</v>
      </c>
      <c r="N505">
        <v>2682.9</v>
      </c>
      <c r="O505" t="s">
        <v>4290</v>
      </c>
      <c r="P505" t="s">
        <v>2558</v>
      </c>
      <c r="Q505" t="s">
        <v>3068</v>
      </c>
      <c r="R505" t="s">
        <v>4282</v>
      </c>
      <c r="S505">
        <v>536.58000000000004</v>
      </c>
    </row>
    <row r="506" spans="1:19" x14ac:dyDescent="0.3">
      <c r="A506" t="s">
        <v>402</v>
      </c>
      <c r="B506" s="3">
        <v>45288</v>
      </c>
      <c r="C506" t="s">
        <v>1602</v>
      </c>
      <c r="D506" t="s">
        <v>2407</v>
      </c>
      <c r="E506">
        <v>3</v>
      </c>
      <c r="F506">
        <v>633.97</v>
      </c>
      <c r="G506" t="s">
        <v>2504</v>
      </c>
      <c r="H506" t="s">
        <v>3069</v>
      </c>
      <c r="I506" t="s">
        <v>3074</v>
      </c>
      <c r="J506" t="s">
        <v>3463</v>
      </c>
      <c r="K506">
        <v>7</v>
      </c>
      <c r="L506" t="s">
        <v>4277</v>
      </c>
      <c r="M506" t="s">
        <v>4281</v>
      </c>
      <c r="N506">
        <v>1901.91</v>
      </c>
      <c r="O506" t="s">
        <v>4290</v>
      </c>
      <c r="P506" t="s">
        <v>2504</v>
      </c>
      <c r="Q506" t="s">
        <v>3069</v>
      </c>
      <c r="R506" t="s">
        <v>4281</v>
      </c>
      <c r="S506">
        <v>271.7</v>
      </c>
    </row>
    <row r="507" spans="1:19" x14ac:dyDescent="0.3">
      <c r="A507" t="s">
        <v>1149</v>
      </c>
      <c r="B507" s="3">
        <v>45288</v>
      </c>
      <c r="C507" t="s">
        <v>2339</v>
      </c>
      <c r="D507" t="s">
        <v>2407</v>
      </c>
      <c r="E507">
        <v>2</v>
      </c>
      <c r="F507">
        <v>73.41</v>
      </c>
      <c r="G507" t="s">
        <v>2613</v>
      </c>
      <c r="H507" t="s">
        <v>3066</v>
      </c>
      <c r="I507" t="s">
        <v>3070</v>
      </c>
      <c r="J507" t="s">
        <v>4210</v>
      </c>
      <c r="K507">
        <v>2</v>
      </c>
      <c r="L507" t="s">
        <v>4275</v>
      </c>
      <c r="M507" t="s">
        <v>4282</v>
      </c>
      <c r="N507">
        <v>146.82</v>
      </c>
      <c r="O507" t="s">
        <v>4290</v>
      </c>
      <c r="P507" t="s">
        <v>2613</v>
      </c>
      <c r="Q507" t="s">
        <v>3066</v>
      </c>
      <c r="R507" t="s">
        <v>4282</v>
      </c>
      <c r="S507">
        <v>73.41</v>
      </c>
    </row>
    <row r="508" spans="1:19" x14ac:dyDescent="0.3">
      <c r="A508" t="s">
        <v>24</v>
      </c>
      <c r="B508" s="3">
        <v>45289</v>
      </c>
      <c r="C508" t="s">
        <v>1224</v>
      </c>
      <c r="D508" t="s">
        <v>2405</v>
      </c>
      <c r="E508">
        <v>5</v>
      </c>
      <c r="F508">
        <v>625.97</v>
      </c>
      <c r="G508" t="s">
        <v>2420</v>
      </c>
      <c r="H508" t="s">
        <v>3067</v>
      </c>
      <c r="I508" t="s">
        <v>3072</v>
      </c>
      <c r="J508" t="s">
        <v>3085</v>
      </c>
      <c r="K508">
        <v>9</v>
      </c>
      <c r="L508" t="s">
        <v>4277</v>
      </c>
      <c r="M508" t="s">
        <v>4278</v>
      </c>
      <c r="N508">
        <v>3129.85</v>
      </c>
      <c r="O508" t="s">
        <v>4290</v>
      </c>
      <c r="P508" t="s">
        <v>2420</v>
      </c>
      <c r="Q508" t="s">
        <v>3067</v>
      </c>
      <c r="R508" t="s">
        <v>4278</v>
      </c>
      <c r="S508">
        <v>347.76</v>
      </c>
    </row>
    <row r="509" spans="1:19" x14ac:dyDescent="0.3">
      <c r="A509" t="s">
        <v>350</v>
      </c>
      <c r="B509" s="3">
        <v>45289</v>
      </c>
      <c r="C509" t="s">
        <v>1550</v>
      </c>
      <c r="D509" t="s">
        <v>2408</v>
      </c>
      <c r="E509">
        <v>1</v>
      </c>
      <c r="F509">
        <v>18.2</v>
      </c>
      <c r="G509" t="s">
        <v>2689</v>
      </c>
      <c r="H509" t="s">
        <v>3065</v>
      </c>
      <c r="I509" t="s">
        <v>3074</v>
      </c>
      <c r="J509" t="s">
        <v>3411</v>
      </c>
      <c r="K509">
        <v>4</v>
      </c>
      <c r="L509" t="s">
        <v>4275</v>
      </c>
      <c r="M509" t="s">
        <v>4278</v>
      </c>
      <c r="N509">
        <v>18.2</v>
      </c>
      <c r="O509" t="s">
        <v>4290</v>
      </c>
      <c r="P509" t="s">
        <v>2689</v>
      </c>
      <c r="Q509" t="s">
        <v>3065</v>
      </c>
      <c r="R509" t="s">
        <v>4278</v>
      </c>
      <c r="S509">
        <v>4.55</v>
      </c>
    </row>
    <row r="510" spans="1:19" x14ac:dyDescent="0.3">
      <c r="A510" t="s">
        <v>1030</v>
      </c>
      <c r="B510" s="3">
        <v>45289</v>
      </c>
      <c r="C510" t="s">
        <v>2222</v>
      </c>
      <c r="D510" t="s">
        <v>2405</v>
      </c>
      <c r="E510">
        <v>5</v>
      </c>
      <c r="F510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>
        <v>7</v>
      </c>
      <c r="L510" t="s">
        <v>4277</v>
      </c>
      <c r="M510" t="s">
        <v>4280</v>
      </c>
      <c r="N510">
        <v>1343.9</v>
      </c>
      <c r="O510" t="s">
        <v>4290</v>
      </c>
      <c r="P510" t="s">
        <v>3002</v>
      </c>
      <c r="Q510" t="s">
        <v>3065</v>
      </c>
      <c r="R510" t="s">
        <v>4280</v>
      </c>
      <c r="S510">
        <v>191.99</v>
      </c>
    </row>
    <row r="511" spans="1:19" x14ac:dyDescent="0.3">
      <c r="A511" t="s">
        <v>79</v>
      </c>
      <c r="B511" s="3">
        <v>45290</v>
      </c>
      <c r="C511" t="s">
        <v>1279</v>
      </c>
      <c r="D511" t="s">
        <v>2403</v>
      </c>
      <c r="E511">
        <v>5</v>
      </c>
      <c r="F511">
        <v>81.7</v>
      </c>
      <c r="G511" t="s">
        <v>2471</v>
      </c>
      <c r="H511" t="s">
        <v>3067</v>
      </c>
      <c r="I511" t="s">
        <v>3073</v>
      </c>
      <c r="J511" t="s">
        <v>3140</v>
      </c>
      <c r="K511">
        <v>6</v>
      </c>
      <c r="L511" t="s">
        <v>4283</v>
      </c>
      <c r="M511" t="s">
        <v>4278</v>
      </c>
      <c r="N511">
        <v>408.5</v>
      </c>
      <c r="O511" t="s">
        <v>4290</v>
      </c>
      <c r="P511" t="s">
        <v>2471</v>
      </c>
      <c r="Q511" t="s">
        <v>3067</v>
      </c>
      <c r="R511" t="s">
        <v>4278</v>
      </c>
      <c r="S511">
        <v>68.08</v>
      </c>
    </row>
    <row r="512" spans="1:19" x14ac:dyDescent="0.3">
      <c r="A512" t="s">
        <v>818</v>
      </c>
      <c r="B512" s="3">
        <v>45292</v>
      </c>
      <c r="C512" t="s">
        <v>2014</v>
      </c>
      <c r="D512" t="s">
        <v>2406</v>
      </c>
      <c r="E512">
        <v>3</v>
      </c>
      <c r="F512">
        <v>236.5</v>
      </c>
      <c r="G512" t="s">
        <v>2933</v>
      </c>
      <c r="H512" t="s">
        <v>3066</v>
      </c>
      <c r="I512" t="s">
        <v>3073</v>
      </c>
      <c r="J512" t="s">
        <v>3879</v>
      </c>
      <c r="K512">
        <v>8</v>
      </c>
      <c r="L512" t="s">
        <v>4276</v>
      </c>
      <c r="M512" t="s">
        <v>4280</v>
      </c>
      <c r="N512">
        <v>709.5</v>
      </c>
      <c r="O512" t="s">
        <v>4290</v>
      </c>
      <c r="P512" t="s">
        <v>2933</v>
      </c>
      <c r="Q512" t="s">
        <v>3066</v>
      </c>
      <c r="R512" t="s">
        <v>4280</v>
      </c>
      <c r="S512">
        <v>88.69</v>
      </c>
    </row>
    <row r="513" spans="1:19" x14ac:dyDescent="0.3">
      <c r="A513" t="s">
        <v>945</v>
      </c>
      <c r="B513" s="3">
        <v>45292</v>
      </c>
      <c r="C513" t="s">
        <v>2141</v>
      </c>
      <c r="D513" t="s">
        <v>2407</v>
      </c>
      <c r="E513">
        <v>2</v>
      </c>
      <c r="F513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>
        <v>4</v>
      </c>
      <c r="L513" t="s">
        <v>4275</v>
      </c>
      <c r="M513" t="s">
        <v>4282</v>
      </c>
      <c r="N513">
        <v>80.459999999999994</v>
      </c>
      <c r="O513" t="s">
        <v>4290</v>
      </c>
      <c r="P513" t="s">
        <v>2460</v>
      </c>
      <c r="Q513" t="s">
        <v>3067</v>
      </c>
      <c r="R513" t="s">
        <v>4282</v>
      </c>
      <c r="S513">
        <v>20.12</v>
      </c>
    </row>
    <row r="514" spans="1:19" x14ac:dyDescent="0.3">
      <c r="A514" t="s">
        <v>751</v>
      </c>
      <c r="B514" s="3">
        <v>45294</v>
      </c>
      <c r="C514" t="s">
        <v>1948</v>
      </c>
      <c r="D514" t="s">
        <v>2404</v>
      </c>
      <c r="E514">
        <v>4</v>
      </c>
      <c r="F514">
        <v>532.87</v>
      </c>
      <c r="G514" t="s">
        <v>2897</v>
      </c>
      <c r="H514" t="s">
        <v>3069</v>
      </c>
      <c r="I514" t="s">
        <v>3074</v>
      </c>
      <c r="J514" t="s">
        <v>3812</v>
      </c>
      <c r="K514">
        <v>9</v>
      </c>
      <c r="L514" t="s">
        <v>4276</v>
      </c>
      <c r="M514" t="s">
        <v>4278</v>
      </c>
      <c r="N514">
        <v>2131.48</v>
      </c>
      <c r="O514" t="s">
        <v>4290</v>
      </c>
      <c r="P514" t="s">
        <v>2897</v>
      </c>
      <c r="Q514" t="s">
        <v>3069</v>
      </c>
      <c r="R514" t="s">
        <v>4278</v>
      </c>
      <c r="S514">
        <v>236.83</v>
      </c>
    </row>
    <row r="515" spans="1:19" x14ac:dyDescent="0.3">
      <c r="A515" t="s">
        <v>96</v>
      </c>
      <c r="B515" s="3">
        <v>45296</v>
      </c>
      <c r="C515" t="s">
        <v>1296</v>
      </c>
      <c r="D515" t="s">
        <v>2405</v>
      </c>
      <c r="E515">
        <v>4</v>
      </c>
      <c r="F515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>
        <v>9</v>
      </c>
      <c r="L515" t="s">
        <v>4275</v>
      </c>
      <c r="M515" t="s">
        <v>4282</v>
      </c>
      <c r="N515">
        <v>2260.8000000000002</v>
      </c>
      <c r="O515" t="s">
        <v>4290</v>
      </c>
      <c r="P515" t="s">
        <v>2486</v>
      </c>
      <c r="Q515" t="s">
        <v>3065</v>
      </c>
      <c r="R515" t="s">
        <v>4282</v>
      </c>
      <c r="S515">
        <v>251.2</v>
      </c>
    </row>
    <row r="516" spans="1:19" x14ac:dyDescent="0.3">
      <c r="A516" t="s">
        <v>562</v>
      </c>
      <c r="B516" s="3">
        <v>45296</v>
      </c>
      <c r="C516" t="s">
        <v>1762</v>
      </c>
      <c r="D516" t="s">
        <v>2407</v>
      </c>
      <c r="E516">
        <v>3</v>
      </c>
      <c r="F516">
        <v>426.12</v>
      </c>
      <c r="G516" t="s">
        <v>2500</v>
      </c>
      <c r="H516" t="s">
        <v>3066</v>
      </c>
      <c r="I516" t="s">
        <v>3073</v>
      </c>
      <c r="J516" t="s">
        <v>3623</v>
      </c>
      <c r="K516">
        <v>5</v>
      </c>
      <c r="L516" t="s">
        <v>4277</v>
      </c>
      <c r="M516" t="s">
        <v>4278</v>
      </c>
      <c r="N516">
        <v>1278.3599999999999</v>
      </c>
      <c r="O516" t="s">
        <v>4290</v>
      </c>
      <c r="P516" t="s">
        <v>2500</v>
      </c>
      <c r="Q516" t="s">
        <v>3066</v>
      </c>
      <c r="R516" t="s">
        <v>4278</v>
      </c>
      <c r="S516">
        <v>255.67</v>
      </c>
    </row>
    <row r="517" spans="1:19" x14ac:dyDescent="0.3">
      <c r="A517" t="s">
        <v>413</v>
      </c>
      <c r="B517" s="3">
        <v>45298</v>
      </c>
      <c r="C517" t="s">
        <v>1613</v>
      </c>
      <c r="D517" t="s">
        <v>2405</v>
      </c>
      <c r="E517">
        <v>5</v>
      </c>
      <c r="F517">
        <v>423.93</v>
      </c>
      <c r="G517" t="s">
        <v>2732</v>
      </c>
      <c r="H517" t="s">
        <v>3065</v>
      </c>
      <c r="I517" t="s">
        <v>3072</v>
      </c>
      <c r="J517" t="s">
        <v>3474</v>
      </c>
      <c r="K517">
        <v>5</v>
      </c>
      <c r="L517" t="s">
        <v>4276</v>
      </c>
      <c r="M517" t="s">
        <v>4281</v>
      </c>
      <c r="N517">
        <v>2119.65</v>
      </c>
      <c r="O517" t="s">
        <v>4290</v>
      </c>
      <c r="P517" t="s">
        <v>2732</v>
      </c>
      <c r="Q517" t="s">
        <v>3065</v>
      </c>
      <c r="R517" t="s">
        <v>4281</v>
      </c>
      <c r="S517">
        <v>423.93</v>
      </c>
    </row>
    <row r="518" spans="1:19" x14ac:dyDescent="0.3">
      <c r="A518" t="s">
        <v>1119</v>
      </c>
      <c r="B518" s="3">
        <v>45299</v>
      </c>
      <c r="C518" t="s">
        <v>2310</v>
      </c>
      <c r="D518" t="s">
        <v>2405</v>
      </c>
      <c r="E518">
        <v>3</v>
      </c>
      <c r="F518">
        <v>475.69</v>
      </c>
      <c r="G518" t="s">
        <v>2644</v>
      </c>
      <c r="H518" t="s">
        <v>3068</v>
      </c>
      <c r="I518" t="s">
        <v>3071</v>
      </c>
      <c r="J518" t="s">
        <v>4180</v>
      </c>
      <c r="K518">
        <v>3</v>
      </c>
      <c r="L518" t="s">
        <v>4276</v>
      </c>
      <c r="M518" t="s">
        <v>4282</v>
      </c>
      <c r="N518">
        <v>1427.07</v>
      </c>
      <c r="O518" t="s">
        <v>4290</v>
      </c>
      <c r="P518" t="s">
        <v>2644</v>
      </c>
      <c r="Q518" t="s">
        <v>3068</v>
      </c>
      <c r="R518" t="s">
        <v>4282</v>
      </c>
      <c r="S518">
        <v>475.69</v>
      </c>
    </row>
    <row r="519" spans="1:19" x14ac:dyDescent="0.3">
      <c r="A519" t="s">
        <v>1178</v>
      </c>
      <c r="B519" s="3">
        <v>45299</v>
      </c>
      <c r="C519" t="s">
        <v>2367</v>
      </c>
      <c r="D519" t="s">
        <v>2405</v>
      </c>
      <c r="E519">
        <v>5</v>
      </c>
      <c r="F519">
        <v>315.57</v>
      </c>
      <c r="G519" t="s">
        <v>2826</v>
      </c>
      <c r="H519" t="s">
        <v>3065</v>
      </c>
      <c r="I519" t="s">
        <v>3073</v>
      </c>
      <c r="J519" t="s">
        <v>4239</v>
      </c>
      <c r="K519">
        <v>6</v>
      </c>
      <c r="L519" t="s">
        <v>4277</v>
      </c>
      <c r="M519" t="s">
        <v>4280</v>
      </c>
      <c r="N519">
        <v>1577.85</v>
      </c>
      <c r="O519" t="s">
        <v>4290</v>
      </c>
      <c r="P519" t="s">
        <v>2826</v>
      </c>
      <c r="Q519" t="s">
        <v>3065</v>
      </c>
      <c r="R519" t="s">
        <v>4280</v>
      </c>
      <c r="S519">
        <v>262.98</v>
      </c>
    </row>
    <row r="520" spans="1:19" x14ac:dyDescent="0.3">
      <c r="A520" t="s">
        <v>688</v>
      </c>
      <c r="B520" s="3">
        <v>45300</v>
      </c>
      <c r="C520" t="s">
        <v>1886</v>
      </c>
      <c r="D520" t="s">
        <v>2408</v>
      </c>
      <c r="E520">
        <v>4</v>
      </c>
      <c r="F520">
        <v>358.75</v>
      </c>
      <c r="G520" t="s">
        <v>2868</v>
      </c>
      <c r="H520" t="s">
        <v>3068</v>
      </c>
      <c r="I520" t="s">
        <v>3073</v>
      </c>
      <c r="J520" t="s">
        <v>3749</v>
      </c>
      <c r="K520">
        <v>9</v>
      </c>
      <c r="L520" t="s">
        <v>4275</v>
      </c>
      <c r="M520" t="s">
        <v>4281</v>
      </c>
      <c r="N520">
        <v>1435</v>
      </c>
      <c r="O520" t="s">
        <v>4290</v>
      </c>
      <c r="P520" t="s">
        <v>2868</v>
      </c>
      <c r="Q520" t="s">
        <v>3068</v>
      </c>
      <c r="R520" t="s">
        <v>4281</v>
      </c>
      <c r="S520">
        <v>159.44</v>
      </c>
    </row>
    <row r="521" spans="1:19" x14ac:dyDescent="0.3">
      <c r="A521" t="s">
        <v>726</v>
      </c>
      <c r="B521" s="3">
        <v>45300</v>
      </c>
      <c r="C521" t="s">
        <v>1771</v>
      </c>
      <c r="D521" t="s">
        <v>2405</v>
      </c>
      <c r="E521">
        <v>2</v>
      </c>
      <c r="F521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>
        <v>7</v>
      </c>
      <c r="L521" t="s">
        <v>4276</v>
      </c>
      <c r="M521" t="s">
        <v>4280</v>
      </c>
      <c r="N521">
        <v>136.80000000000001</v>
      </c>
      <c r="O521" t="s">
        <v>4290</v>
      </c>
      <c r="P521" t="s">
        <v>2887</v>
      </c>
      <c r="Q521" t="s">
        <v>3068</v>
      </c>
      <c r="R521" t="s">
        <v>4280</v>
      </c>
      <c r="S521">
        <v>19.54</v>
      </c>
    </row>
    <row r="522" spans="1:19" x14ac:dyDescent="0.3">
      <c r="A522" t="s">
        <v>795</v>
      </c>
      <c r="B522" s="3">
        <v>45301</v>
      </c>
      <c r="C522" t="s">
        <v>1992</v>
      </c>
      <c r="D522" t="s">
        <v>2404</v>
      </c>
      <c r="E522">
        <v>5</v>
      </c>
      <c r="F522">
        <v>524.26</v>
      </c>
      <c r="G522" t="s">
        <v>2415</v>
      </c>
      <c r="H522" t="s">
        <v>3068</v>
      </c>
      <c r="I522" t="s">
        <v>3073</v>
      </c>
      <c r="J522" t="s">
        <v>3856</v>
      </c>
      <c r="K522">
        <v>5</v>
      </c>
      <c r="L522" t="s">
        <v>4276</v>
      </c>
      <c r="M522" t="s">
        <v>4279</v>
      </c>
      <c r="N522">
        <v>2621.3000000000002</v>
      </c>
      <c r="O522" t="s">
        <v>4290</v>
      </c>
      <c r="P522" t="s">
        <v>2415</v>
      </c>
      <c r="Q522" t="s">
        <v>3068</v>
      </c>
      <c r="R522" t="s">
        <v>4279</v>
      </c>
      <c r="S522">
        <v>524.26</v>
      </c>
    </row>
    <row r="523" spans="1:19" x14ac:dyDescent="0.3">
      <c r="A523" t="s">
        <v>950</v>
      </c>
      <c r="B523" s="3">
        <v>45303</v>
      </c>
      <c r="C523" t="s">
        <v>2146</v>
      </c>
      <c r="D523" t="s">
        <v>2406</v>
      </c>
      <c r="E523">
        <v>4</v>
      </c>
      <c r="F523">
        <v>56.66</v>
      </c>
      <c r="G523" t="s">
        <v>2554</v>
      </c>
      <c r="H523" t="s">
        <v>3066</v>
      </c>
      <c r="I523" t="s">
        <v>3073</v>
      </c>
      <c r="J523" t="s">
        <v>4011</v>
      </c>
      <c r="K523">
        <v>4</v>
      </c>
      <c r="L523" t="s">
        <v>4275</v>
      </c>
      <c r="M523" t="s">
        <v>4278</v>
      </c>
      <c r="N523">
        <v>226.64</v>
      </c>
      <c r="O523" t="s">
        <v>4290</v>
      </c>
      <c r="P523" t="s">
        <v>2554</v>
      </c>
      <c r="Q523" t="s">
        <v>3066</v>
      </c>
      <c r="R523" t="s">
        <v>4278</v>
      </c>
      <c r="S523">
        <v>56.66</v>
      </c>
    </row>
    <row r="524" spans="1:19" x14ac:dyDescent="0.3">
      <c r="A524" t="s">
        <v>805</v>
      </c>
      <c r="B524" s="3">
        <v>45304</v>
      </c>
      <c r="C524" t="s">
        <v>2002</v>
      </c>
      <c r="D524" t="s">
        <v>2406</v>
      </c>
      <c r="E524">
        <v>4</v>
      </c>
      <c r="F524">
        <v>409.28</v>
      </c>
      <c r="G524" t="s">
        <v>2434</v>
      </c>
      <c r="H524" t="s">
        <v>3069</v>
      </c>
      <c r="I524" t="s">
        <v>3074</v>
      </c>
      <c r="J524" t="s">
        <v>3866</v>
      </c>
      <c r="K524">
        <v>8</v>
      </c>
      <c r="L524" t="s">
        <v>4283</v>
      </c>
      <c r="M524" t="s">
        <v>4280</v>
      </c>
      <c r="N524">
        <v>1637.12</v>
      </c>
      <c r="O524" t="s">
        <v>4290</v>
      </c>
      <c r="P524" t="s">
        <v>2434</v>
      </c>
      <c r="Q524" t="s">
        <v>3069</v>
      </c>
      <c r="R524" t="s">
        <v>4280</v>
      </c>
      <c r="S524">
        <v>204.64</v>
      </c>
    </row>
    <row r="525" spans="1:19" x14ac:dyDescent="0.3">
      <c r="A525" t="s">
        <v>854</v>
      </c>
      <c r="B525" s="3">
        <v>45305</v>
      </c>
      <c r="C525" t="s">
        <v>2050</v>
      </c>
      <c r="D525" t="s">
        <v>2406</v>
      </c>
      <c r="E525">
        <v>3</v>
      </c>
      <c r="F525">
        <v>411.95</v>
      </c>
      <c r="G525" t="s">
        <v>2774</v>
      </c>
      <c r="H525" t="s">
        <v>3067</v>
      </c>
      <c r="I525" t="s">
        <v>3073</v>
      </c>
      <c r="J525" t="s">
        <v>3915</v>
      </c>
      <c r="K525">
        <v>7</v>
      </c>
      <c r="L525" t="s">
        <v>4276</v>
      </c>
      <c r="M525" t="s">
        <v>4279</v>
      </c>
      <c r="N525">
        <v>1235.8499999999999</v>
      </c>
      <c r="O525" t="s">
        <v>4290</v>
      </c>
      <c r="P525" t="s">
        <v>2774</v>
      </c>
      <c r="Q525" t="s">
        <v>3067</v>
      </c>
      <c r="R525" t="s">
        <v>4279</v>
      </c>
      <c r="S525">
        <v>176.55</v>
      </c>
    </row>
    <row r="526" spans="1:19" x14ac:dyDescent="0.3">
      <c r="A526" t="s">
        <v>464</v>
      </c>
      <c r="B526" s="3">
        <v>45306</v>
      </c>
      <c r="C526" t="s">
        <v>1664</v>
      </c>
      <c r="D526" t="s">
        <v>2403</v>
      </c>
      <c r="E526">
        <v>5</v>
      </c>
      <c r="F526">
        <v>615.1</v>
      </c>
      <c r="G526" t="s">
        <v>2762</v>
      </c>
      <c r="H526" t="s">
        <v>3068</v>
      </c>
      <c r="I526" t="s">
        <v>3072</v>
      </c>
      <c r="J526" t="s">
        <v>3525</v>
      </c>
      <c r="K526">
        <v>10</v>
      </c>
      <c r="L526" t="s">
        <v>4277</v>
      </c>
      <c r="M526" t="s">
        <v>4278</v>
      </c>
      <c r="N526">
        <v>3075.5</v>
      </c>
      <c r="O526" t="s">
        <v>4290</v>
      </c>
      <c r="P526" t="s">
        <v>2762</v>
      </c>
      <c r="Q526" t="s">
        <v>3068</v>
      </c>
      <c r="R526" t="s">
        <v>4278</v>
      </c>
      <c r="S526">
        <v>307.55</v>
      </c>
    </row>
    <row r="527" spans="1:19" x14ac:dyDescent="0.3">
      <c r="A527" t="s">
        <v>490</v>
      </c>
      <c r="B527" s="3">
        <v>45306</v>
      </c>
      <c r="C527" t="s">
        <v>1690</v>
      </c>
      <c r="D527" t="s">
        <v>2404</v>
      </c>
      <c r="E527">
        <v>2</v>
      </c>
      <c r="F527">
        <v>513.59</v>
      </c>
      <c r="G527" t="s">
        <v>2779</v>
      </c>
      <c r="H527" t="s">
        <v>3066</v>
      </c>
      <c r="I527" t="s">
        <v>3072</v>
      </c>
      <c r="J527" t="s">
        <v>3551</v>
      </c>
      <c r="K527">
        <v>4</v>
      </c>
      <c r="L527" t="s">
        <v>4276</v>
      </c>
      <c r="M527" t="s">
        <v>4279</v>
      </c>
      <c r="N527">
        <v>1027.18</v>
      </c>
      <c r="O527" t="s">
        <v>4290</v>
      </c>
      <c r="P527" t="s">
        <v>2779</v>
      </c>
      <c r="Q527" t="s">
        <v>3066</v>
      </c>
      <c r="R527" t="s">
        <v>4279</v>
      </c>
      <c r="S527">
        <v>256.8</v>
      </c>
    </row>
    <row r="528" spans="1:19" x14ac:dyDescent="0.3">
      <c r="A528" t="s">
        <v>638</v>
      </c>
      <c r="B528" s="3">
        <v>45307</v>
      </c>
      <c r="C528" t="s">
        <v>1837</v>
      </c>
      <c r="D528" t="s">
        <v>2405</v>
      </c>
      <c r="E528">
        <v>5</v>
      </c>
      <c r="F528">
        <v>341.96</v>
      </c>
      <c r="G528" t="s">
        <v>2710</v>
      </c>
      <c r="H528" t="s">
        <v>3065</v>
      </c>
      <c r="I528" t="s">
        <v>3073</v>
      </c>
      <c r="J528" t="s">
        <v>3699</v>
      </c>
      <c r="K528">
        <v>6</v>
      </c>
      <c r="L528" t="s">
        <v>4283</v>
      </c>
      <c r="M528" t="s">
        <v>4280</v>
      </c>
      <c r="N528">
        <v>1709.8</v>
      </c>
      <c r="O528" t="s">
        <v>4290</v>
      </c>
      <c r="P528" t="s">
        <v>2710</v>
      </c>
      <c r="Q528" t="s">
        <v>3065</v>
      </c>
      <c r="R528" t="s">
        <v>4280</v>
      </c>
      <c r="S528">
        <v>284.97000000000003</v>
      </c>
    </row>
    <row r="529" spans="1:19" x14ac:dyDescent="0.3">
      <c r="A529" t="s">
        <v>951</v>
      </c>
      <c r="B529" s="3">
        <v>45307</v>
      </c>
      <c r="C529" t="s">
        <v>2147</v>
      </c>
      <c r="D529" t="s">
        <v>2406</v>
      </c>
      <c r="E529">
        <v>2</v>
      </c>
      <c r="F529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>
        <v>5</v>
      </c>
      <c r="L529" t="s">
        <v>4277</v>
      </c>
      <c r="M529" t="s">
        <v>4280</v>
      </c>
      <c r="N529">
        <v>597.05999999999995</v>
      </c>
      <c r="O529" t="s">
        <v>4290</v>
      </c>
      <c r="P529" t="s">
        <v>2735</v>
      </c>
      <c r="Q529" t="s">
        <v>3065</v>
      </c>
      <c r="R529" t="s">
        <v>4280</v>
      </c>
      <c r="S529">
        <v>119.41</v>
      </c>
    </row>
    <row r="530" spans="1:19" x14ac:dyDescent="0.3">
      <c r="A530" t="s">
        <v>127</v>
      </c>
      <c r="B530" s="3">
        <v>45308</v>
      </c>
      <c r="C530" t="s">
        <v>1327</v>
      </c>
      <c r="D530" t="s">
        <v>2408</v>
      </c>
      <c r="E530">
        <v>5</v>
      </c>
      <c r="F530">
        <v>190.08</v>
      </c>
      <c r="G530" t="s">
        <v>2516</v>
      </c>
      <c r="H530" t="s">
        <v>3069</v>
      </c>
      <c r="I530" t="s">
        <v>3070</v>
      </c>
      <c r="J530" t="s">
        <v>3188</v>
      </c>
      <c r="K530">
        <v>9</v>
      </c>
      <c r="L530" t="s">
        <v>4276</v>
      </c>
      <c r="M530" t="s">
        <v>4278</v>
      </c>
      <c r="N530">
        <v>950.40000000000009</v>
      </c>
      <c r="O530" t="s">
        <v>4290</v>
      </c>
      <c r="P530" t="s">
        <v>2516</v>
      </c>
      <c r="Q530" t="s">
        <v>3069</v>
      </c>
      <c r="R530" t="s">
        <v>4278</v>
      </c>
      <c r="S530">
        <v>105.6</v>
      </c>
    </row>
    <row r="531" spans="1:19" x14ac:dyDescent="0.3">
      <c r="A531" t="s">
        <v>424</v>
      </c>
      <c r="B531" s="3">
        <v>45309</v>
      </c>
      <c r="C531" t="s">
        <v>1624</v>
      </c>
      <c r="D531" t="s">
        <v>2405</v>
      </c>
      <c r="E531">
        <v>2</v>
      </c>
      <c r="F531">
        <v>518.23</v>
      </c>
      <c r="G531" t="s">
        <v>2737</v>
      </c>
      <c r="H531" t="s">
        <v>3065</v>
      </c>
      <c r="I531" t="s">
        <v>3070</v>
      </c>
      <c r="J531" t="s">
        <v>3485</v>
      </c>
      <c r="K531">
        <v>5</v>
      </c>
      <c r="L531" t="s">
        <v>4283</v>
      </c>
      <c r="M531" t="s">
        <v>4280</v>
      </c>
      <c r="N531">
        <v>1036.46</v>
      </c>
      <c r="O531" t="s">
        <v>4290</v>
      </c>
      <c r="P531" t="s">
        <v>2737</v>
      </c>
      <c r="Q531" t="s">
        <v>3065</v>
      </c>
      <c r="R531" t="s">
        <v>4280</v>
      </c>
      <c r="S531">
        <v>207.29</v>
      </c>
    </row>
    <row r="532" spans="1:19" x14ac:dyDescent="0.3">
      <c r="A532" t="s">
        <v>670</v>
      </c>
      <c r="B532" s="3">
        <v>45309</v>
      </c>
      <c r="C532" t="s">
        <v>1869</v>
      </c>
      <c r="D532" t="s">
        <v>2403</v>
      </c>
      <c r="E532">
        <v>2</v>
      </c>
      <c r="F532">
        <v>189.06</v>
      </c>
      <c r="G532" t="s">
        <v>2862</v>
      </c>
      <c r="H532" t="s">
        <v>3068</v>
      </c>
      <c r="I532" t="s">
        <v>3070</v>
      </c>
      <c r="J532" t="s">
        <v>3731</v>
      </c>
      <c r="K532">
        <v>7</v>
      </c>
      <c r="L532" t="s">
        <v>4275</v>
      </c>
      <c r="M532" t="s">
        <v>4281</v>
      </c>
      <c r="N532">
        <v>378.12</v>
      </c>
      <c r="O532" t="s">
        <v>4290</v>
      </c>
      <c r="P532" t="s">
        <v>2862</v>
      </c>
      <c r="Q532" t="s">
        <v>3068</v>
      </c>
      <c r="R532" t="s">
        <v>4281</v>
      </c>
      <c r="S532">
        <v>54.02</v>
      </c>
    </row>
    <row r="533" spans="1:19" x14ac:dyDescent="0.3">
      <c r="A533" t="s">
        <v>313</v>
      </c>
      <c r="B533" s="3">
        <v>45311</v>
      </c>
      <c r="C533" t="s">
        <v>1513</v>
      </c>
      <c r="D533" t="s">
        <v>2403</v>
      </c>
      <c r="E533">
        <v>1</v>
      </c>
      <c r="F533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>
        <v>2</v>
      </c>
      <c r="L533" t="s">
        <v>4276</v>
      </c>
      <c r="M533" t="s">
        <v>4278</v>
      </c>
      <c r="N533">
        <v>278.66000000000003</v>
      </c>
      <c r="O533" t="s">
        <v>4290</v>
      </c>
      <c r="P533" t="s">
        <v>2662</v>
      </c>
      <c r="Q533" t="s">
        <v>3068</v>
      </c>
      <c r="R533" t="s">
        <v>4278</v>
      </c>
      <c r="S533">
        <v>139.33000000000001</v>
      </c>
    </row>
    <row r="534" spans="1:19" x14ac:dyDescent="0.3">
      <c r="A534" t="s">
        <v>733</v>
      </c>
      <c r="B534" s="3">
        <v>45312</v>
      </c>
      <c r="C534" t="s">
        <v>1930</v>
      </c>
      <c r="D534" t="s">
        <v>2408</v>
      </c>
      <c r="E534">
        <v>2</v>
      </c>
      <c r="F534">
        <v>681.06</v>
      </c>
      <c r="G534" t="s">
        <v>2891</v>
      </c>
      <c r="H534" t="s">
        <v>3065</v>
      </c>
      <c r="I534" t="s">
        <v>3070</v>
      </c>
      <c r="J534" t="s">
        <v>3794</v>
      </c>
      <c r="K534">
        <v>3</v>
      </c>
      <c r="L534" t="s">
        <v>4276</v>
      </c>
      <c r="M534" t="s">
        <v>4281</v>
      </c>
      <c r="N534">
        <v>1362.12</v>
      </c>
      <c r="O534" t="s">
        <v>4290</v>
      </c>
      <c r="P534" t="s">
        <v>2891</v>
      </c>
      <c r="Q534" t="s">
        <v>3065</v>
      </c>
      <c r="R534" t="s">
        <v>4281</v>
      </c>
      <c r="S534">
        <v>454.04</v>
      </c>
    </row>
    <row r="535" spans="1:19" x14ac:dyDescent="0.3">
      <c r="A535" t="s">
        <v>926</v>
      </c>
      <c r="B535" s="3">
        <v>45313</v>
      </c>
      <c r="C535" t="s">
        <v>2122</v>
      </c>
      <c r="D535" t="s">
        <v>2409</v>
      </c>
      <c r="E535">
        <v>2</v>
      </c>
      <c r="F535">
        <v>139.69</v>
      </c>
      <c r="G535" t="s">
        <v>2492</v>
      </c>
      <c r="H535" t="s">
        <v>3066</v>
      </c>
      <c r="I535" t="s">
        <v>3072</v>
      </c>
      <c r="J535" t="s">
        <v>3987</v>
      </c>
      <c r="K535">
        <v>7</v>
      </c>
      <c r="L535" t="s">
        <v>4276</v>
      </c>
      <c r="M535" t="s">
        <v>4280</v>
      </c>
      <c r="N535">
        <v>279.38</v>
      </c>
      <c r="O535" t="s">
        <v>4290</v>
      </c>
      <c r="P535" t="s">
        <v>2492</v>
      </c>
      <c r="Q535" t="s">
        <v>3066</v>
      </c>
      <c r="R535" t="s">
        <v>4280</v>
      </c>
      <c r="S535">
        <v>39.909999999999997</v>
      </c>
    </row>
    <row r="536" spans="1:19" x14ac:dyDescent="0.3">
      <c r="A536" t="s">
        <v>748</v>
      </c>
      <c r="B536" s="3">
        <v>45314</v>
      </c>
      <c r="C536" t="s">
        <v>1945</v>
      </c>
      <c r="D536" t="s">
        <v>2407</v>
      </c>
      <c r="E536">
        <v>4</v>
      </c>
      <c r="F536">
        <v>224.61</v>
      </c>
      <c r="G536" t="s">
        <v>2655</v>
      </c>
      <c r="H536" t="s">
        <v>3067</v>
      </c>
      <c r="I536" t="s">
        <v>3072</v>
      </c>
      <c r="J536" t="s">
        <v>3809</v>
      </c>
      <c r="K536">
        <v>6</v>
      </c>
      <c r="L536" t="s">
        <v>4277</v>
      </c>
      <c r="M536" t="s">
        <v>4281</v>
      </c>
      <c r="N536">
        <v>898.44</v>
      </c>
      <c r="O536" t="s">
        <v>4290</v>
      </c>
      <c r="P536" t="s">
        <v>2655</v>
      </c>
      <c r="Q536" t="s">
        <v>3067</v>
      </c>
      <c r="R536" t="s">
        <v>4281</v>
      </c>
      <c r="S536">
        <v>149.74</v>
      </c>
    </row>
    <row r="537" spans="1:19" x14ac:dyDescent="0.3">
      <c r="A537" t="s">
        <v>874</v>
      </c>
      <c r="B537" s="3">
        <v>45314</v>
      </c>
      <c r="C537" t="s">
        <v>2070</v>
      </c>
      <c r="D537" t="s">
        <v>2407</v>
      </c>
      <c r="E537">
        <v>1</v>
      </c>
      <c r="F537">
        <v>422.54</v>
      </c>
      <c r="G537" t="s">
        <v>2699</v>
      </c>
      <c r="H537" t="s">
        <v>3069</v>
      </c>
      <c r="I537" t="s">
        <v>3073</v>
      </c>
      <c r="J537" t="s">
        <v>3935</v>
      </c>
      <c r="K537">
        <v>1</v>
      </c>
      <c r="L537" t="s">
        <v>4275</v>
      </c>
      <c r="M537" t="s">
        <v>4282</v>
      </c>
      <c r="N537">
        <v>422.54</v>
      </c>
      <c r="O537" t="s">
        <v>4290</v>
      </c>
      <c r="P537" t="s">
        <v>2699</v>
      </c>
      <c r="Q537" t="s">
        <v>3069</v>
      </c>
      <c r="R537" t="s">
        <v>4282</v>
      </c>
      <c r="S537">
        <v>422.54</v>
      </c>
    </row>
    <row r="538" spans="1:19" x14ac:dyDescent="0.3">
      <c r="A538" t="s">
        <v>588</v>
      </c>
      <c r="B538" s="3">
        <v>45315</v>
      </c>
      <c r="C538" t="s">
        <v>1788</v>
      </c>
      <c r="D538" t="s">
        <v>2406</v>
      </c>
      <c r="E538">
        <v>5</v>
      </c>
      <c r="F538">
        <v>384.69</v>
      </c>
      <c r="G538" t="s">
        <v>2413</v>
      </c>
      <c r="H538" t="s">
        <v>3067</v>
      </c>
      <c r="I538" t="s">
        <v>3074</v>
      </c>
      <c r="J538" t="s">
        <v>3649</v>
      </c>
      <c r="K538">
        <v>6</v>
      </c>
      <c r="L538" t="s">
        <v>4276</v>
      </c>
      <c r="M538" t="s">
        <v>4280</v>
      </c>
      <c r="N538">
        <v>1923.45</v>
      </c>
      <c r="O538" t="s">
        <v>4290</v>
      </c>
      <c r="P538" t="s">
        <v>2413</v>
      </c>
      <c r="Q538" t="s">
        <v>3067</v>
      </c>
      <c r="R538" t="s">
        <v>4280</v>
      </c>
      <c r="S538">
        <v>320.58</v>
      </c>
    </row>
    <row r="539" spans="1:19" x14ac:dyDescent="0.3">
      <c r="A539" t="s">
        <v>826</v>
      </c>
      <c r="B539" s="3">
        <v>45317</v>
      </c>
      <c r="C539" t="s">
        <v>2022</v>
      </c>
      <c r="D539" t="s">
        <v>2404</v>
      </c>
      <c r="E539">
        <v>2</v>
      </c>
      <c r="F539">
        <v>255.26</v>
      </c>
      <c r="G539" t="s">
        <v>2638</v>
      </c>
      <c r="H539" t="s">
        <v>3067</v>
      </c>
      <c r="I539" t="s">
        <v>3071</v>
      </c>
      <c r="J539" t="s">
        <v>3887</v>
      </c>
      <c r="K539">
        <v>6</v>
      </c>
      <c r="L539" t="s">
        <v>4276</v>
      </c>
      <c r="M539" t="s">
        <v>4282</v>
      </c>
      <c r="N539">
        <v>510.52</v>
      </c>
      <c r="O539" t="s">
        <v>4290</v>
      </c>
      <c r="P539" t="s">
        <v>2638</v>
      </c>
      <c r="Q539" t="s">
        <v>3067</v>
      </c>
      <c r="R539" t="s">
        <v>4282</v>
      </c>
      <c r="S539">
        <v>85.09</v>
      </c>
    </row>
    <row r="540" spans="1:19" x14ac:dyDescent="0.3">
      <c r="A540" t="s">
        <v>1029</v>
      </c>
      <c r="B540" s="3">
        <v>45317</v>
      </c>
      <c r="C540" t="s">
        <v>2221</v>
      </c>
      <c r="D540" t="s">
        <v>2407</v>
      </c>
      <c r="E540">
        <v>2</v>
      </c>
      <c r="F540">
        <v>349.4</v>
      </c>
      <c r="G540" t="s">
        <v>2838</v>
      </c>
      <c r="H540" t="s">
        <v>3066</v>
      </c>
      <c r="I540" t="s">
        <v>3070</v>
      </c>
      <c r="J540" t="s">
        <v>4090</v>
      </c>
      <c r="K540">
        <v>2</v>
      </c>
      <c r="L540" t="s">
        <v>4275</v>
      </c>
      <c r="M540" t="s">
        <v>4278</v>
      </c>
      <c r="N540">
        <v>698.8</v>
      </c>
      <c r="O540" t="s">
        <v>4290</v>
      </c>
      <c r="P540" t="s">
        <v>2838</v>
      </c>
      <c r="Q540" t="s">
        <v>3066</v>
      </c>
      <c r="R540" t="s">
        <v>4278</v>
      </c>
      <c r="S540">
        <v>349.4</v>
      </c>
    </row>
    <row r="541" spans="1:19" x14ac:dyDescent="0.3">
      <c r="A541" t="s">
        <v>554</v>
      </c>
      <c r="B541" s="3">
        <v>45320</v>
      </c>
      <c r="C541" t="s">
        <v>1754</v>
      </c>
      <c r="D541" t="s">
        <v>2408</v>
      </c>
      <c r="E541">
        <v>5</v>
      </c>
      <c r="F541">
        <v>648.65</v>
      </c>
      <c r="G541" t="s">
        <v>2811</v>
      </c>
      <c r="H541" t="s">
        <v>3066</v>
      </c>
      <c r="I541" t="s">
        <v>3074</v>
      </c>
      <c r="J541" t="s">
        <v>3615</v>
      </c>
      <c r="K541">
        <v>7</v>
      </c>
      <c r="L541" t="s">
        <v>4283</v>
      </c>
      <c r="M541" t="s">
        <v>4279</v>
      </c>
      <c r="N541">
        <v>3243.25</v>
      </c>
      <c r="O541" t="s">
        <v>4290</v>
      </c>
      <c r="P541" t="s">
        <v>2811</v>
      </c>
      <c r="Q541" t="s">
        <v>3066</v>
      </c>
      <c r="R541" t="s">
        <v>4279</v>
      </c>
      <c r="S541">
        <v>463.32</v>
      </c>
    </row>
    <row r="542" spans="1:19" x14ac:dyDescent="0.3">
      <c r="A542" t="s">
        <v>1038</v>
      </c>
      <c r="B542" s="3">
        <v>45320</v>
      </c>
      <c r="C542" t="s">
        <v>2230</v>
      </c>
      <c r="D542" t="s">
        <v>2406</v>
      </c>
      <c r="E542">
        <v>3</v>
      </c>
      <c r="F542">
        <v>367.75</v>
      </c>
      <c r="G542" t="s">
        <v>2769</v>
      </c>
      <c r="H542" t="s">
        <v>3069</v>
      </c>
      <c r="I542" t="s">
        <v>3074</v>
      </c>
      <c r="J542" t="s">
        <v>4099</v>
      </c>
      <c r="K542">
        <v>7</v>
      </c>
      <c r="L542" t="s">
        <v>4276</v>
      </c>
      <c r="M542" t="s">
        <v>4281</v>
      </c>
      <c r="N542">
        <v>1103.25</v>
      </c>
      <c r="O542" t="s">
        <v>4290</v>
      </c>
      <c r="P542" t="s">
        <v>2769</v>
      </c>
      <c r="Q542" t="s">
        <v>3069</v>
      </c>
      <c r="R542" t="s">
        <v>4281</v>
      </c>
      <c r="S542">
        <v>157.61000000000001</v>
      </c>
    </row>
    <row r="543" spans="1:19" x14ac:dyDescent="0.3">
      <c r="A543" t="s">
        <v>695</v>
      </c>
      <c r="B543" s="3">
        <v>45321</v>
      </c>
      <c r="C543" t="s">
        <v>1893</v>
      </c>
      <c r="D543" t="s">
        <v>2405</v>
      </c>
      <c r="E543">
        <v>1</v>
      </c>
      <c r="F543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>
        <v>6</v>
      </c>
      <c r="L543" t="s">
        <v>4283</v>
      </c>
      <c r="M543" t="s">
        <v>4280</v>
      </c>
      <c r="N543">
        <v>155.27000000000001</v>
      </c>
      <c r="O543" t="s">
        <v>4290</v>
      </c>
      <c r="P543" t="s">
        <v>2870</v>
      </c>
      <c r="Q543" t="s">
        <v>3065</v>
      </c>
      <c r="R543" t="s">
        <v>4280</v>
      </c>
      <c r="S543">
        <v>25.88</v>
      </c>
    </row>
    <row r="544" spans="1:19" x14ac:dyDescent="0.3">
      <c r="A544" t="s">
        <v>392</v>
      </c>
      <c r="B544" s="3">
        <v>45323</v>
      </c>
      <c r="C544" t="s">
        <v>1592</v>
      </c>
      <c r="D544" t="s">
        <v>2406</v>
      </c>
      <c r="E544">
        <v>5</v>
      </c>
      <c r="F544">
        <v>64.5</v>
      </c>
      <c r="G544" t="s">
        <v>2723</v>
      </c>
      <c r="H544" t="s">
        <v>3067</v>
      </c>
      <c r="I544" t="s">
        <v>3074</v>
      </c>
      <c r="J544" t="s">
        <v>3453</v>
      </c>
      <c r="K544">
        <v>8</v>
      </c>
      <c r="L544" t="s">
        <v>4277</v>
      </c>
      <c r="M544" t="s">
        <v>4278</v>
      </c>
      <c r="N544">
        <v>322.5</v>
      </c>
      <c r="O544" t="s">
        <v>4290</v>
      </c>
      <c r="P544" t="s">
        <v>2723</v>
      </c>
      <c r="Q544" t="s">
        <v>3067</v>
      </c>
      <c r="R544" t="s">
        <v>4278</v>
      </c>
      <c r="S544">
        <v>40.31</v>
      </c>
    </row>
    <row r="545" spans="1:19" x14ac:dyDescent="0.3">
      <c r="A545" t="s">
        <v>361</v>
      </c>
      <c r="B545" s="3">
        <v>45325</v>
      </c>
      <c r="C545" t="s">
        <v>1561</v>
      </c>
      <c r="D545" t="s">
        <v>2407</v>
      </c>
      <c r="E545">
        <v>4</v>
      </c>
      <c r="F545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>
        <v>5</v>
      </c>
      <c r="L545" t="s">
        <v>4275</v>
      </c>
      <c r="M545" t="s">
        <v>4282</v>
      </c>
      <c r="N545">
        <v>1059.1600000000001</v>
      </c>
      <c r="O545" t="s">
        <v>4290</v>
      </c>
      <c r="P545" t="s">
        <v>2700</v>
      </c>
      <c r="Q545" t="s">
        <v>3067</v>
      </c>
      <c r="R545" t="s">
        <v>4282</v>
      </c>
      <c r="S545">
        <v>211.83</v>
      </c>
    </row>
    <row r="546" spans="1:19" x14ac:dyDescent="0.3">
      <c r="A546" t="s">
        <v>515</v>
      </c>
      <c r="B546" s="3">
        <v>45326</v>
      </c>
      <c r="C546" t="s">
        <v>1715</v>
      </c>
      <c r="D546" t="s">
        <v>2409</v>
      </c>
      <c r="E546">
        <v>4</v>
      </c>
      <c r="F546">
        <v>203.46</v>
      </c>
      <c r="G546" t="s">
        <v>2559</v>
      </c>
      <c r="H546" t="s">
        <v>3067</v>
      </c>
      <c r="I546" t="s">
        <v>3074</v>
      </c>
      <c r="J546" t="s">
        <v>3576</v>
      </c>
      <c r="K546">
        <v>7</v>
      </c>
      <c r="L546" t="s">
        <v>4275</v>
      </c>
      <c r="M546" t="s">
        <v>4279</v>
      </c>
      <c r="N546">
        <v>813.84</v>
      </c>
      <c r="O546" t="s">
        <v>4290</v>
      </c>
      <c r="P546" t="s">
        <v>2559</v>
      </c>
      <c r="Q546" t="s">
        <v>3067</v>
      </c>
      <c r="R546" t="s">
        <v>4279</v>
      </c>
      <c r="S546">
        <v>116.26</v>
      </c>
    </row>
    <row r="547" spans="1:19" x14ac:dyDescent="0.3">
      <c r="A547" t="s">
        <v>1028</v>
      </c>
      <c r="B547" s="3">
        <v>45326</v>
      </c>
      <c r="C547" t="s">
        <v>2220</v>
      </c>
      <c r="D547" t="s">
        <v>2405</v>
      </c>
      <c r="E547">
        <v>5</v>
      </c>
      <c r="F547">
        <v>226.45</v>
      </c>
      <c r="G547" t="s">
        <v>2762</v>
      </c>
      <c r="H547" t="s">
        <v>3065</v>
      </c>
      <c r="I547" t="s">
        <v>3072</v>
      </c>
      <c r="J547" t="s">
        <v>4089</v>
      </c>
      <c r="K547">
        <v>6</v>
      </c>
      <c r="L547" t="s">
        <v>4276</v>
      </c>
      <c r="M547" t="s">
        <v>4280</v>
      </c>
      <c r="N547">
        <v>1132.25</v>
      </c>
      <c r="O547" t="s">
        <v>4290</v>
      </c>
      <c r="P547" t="s">
        <v>2762</v>
      </c>
      <c r="Q547" t="s">
        <v>3065</v>
      </c>
      <c r="R547" t="s">
        <v>4280</v>
      </c>
      <c r="S547">
        <v>188.71</v>
      </c>
    </row>
    <row r="548" spans="1:19" x14ac:dyDescent="0.3">
      <c r="A548" t="s">
        <v>263</v>
      </c>
      <c r="B548" s="3">
        <v>45329</v>
      </c>
      <c r="C548" t="s">
        <v>1463</v>
      </c>
      <c r="D548" t="s">
        <v>2407</v>
      </c>
      <c r="E548">
        <v>1</v>
      </c>
      <c r="F548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>
        <v>5</v>
      </c>
      <c r="L548" t="s">
        <v>4276</v>
      </c>
      <c r="M548" t="s">
        <v>4279</v>
      </c>
      <c r="N548">
        <v>546.19000000000005</v>
      </c>
      <c r="O548" t="s">
        <v>4290</v>
      </c>
      <c r="P548" t="s">
        <v>2626</v>
      </c>
      <c r="Q548" t="s">
        <v>3069</v>
      </c>
      <c r="R548" t="s">
        <v>4279</v>
      </c>
      <c r="S548">
        <v>109.24</v>
      </c>
    </row>
    <row r="549" spans="1:19" x14ac:dyDescent="0.3">
      <c r="A549" t="s">
        <v>631</v>
      </c>
      <c r="B549" s="3">
        <v>45330</v>
      </c>
      <c r="C549" t="s">
        <v>1830</v>
      </c>
      <c r="D549" t="s">
        <v>2405</v>
      </c>
      <c r="E549">
        <v>3</v>
      </c>
      <c r="F549">
        <v>184.47</v>
      </c>
      <c r="G549" t="s">
        <v>2844</v>
      </c>
      <c r="H549" t="s">
        <v>3066</v>
      </c>
      <c r="I549" t="s">
        <v>3071</v>
      </c>
      <c r="J549" t="s">
        <v>3692</v>
      </c>
      <c r="K549">
        <v>4</v>
      </c>
      <c r="L549" t="s">
        <v>4283</v>
      </c>
      <c r="M549" t="s">
        <v>4279</v>
      </c>
      <c r="N549">
        <v>553.41</v>
      </c>
      <c r="O549" t="s">
        <v>4290</v>
      </c>
      <c r="P549" t="s">
        <v>2844</v>
      </c>
      <c r="Q549" t="s">
        <v>3066</v>
      </c>
      <c r="R549" t="s">
        <v>4279</v>
      </c>
      <c r="S549">
        <v>138.35</v>
      </c>
    </row>
    <row r="550" spans="1:19" x14ac:dyDescent="0.3">
      <c r="A550" t="s">
        <v>982</v>
      </c>
      <c r="B550" s="3">
        <v>45330</v>
      </c>
      <c r="C550" t="s">
        <v>2175</v>
      </c>
      <c r="D550" t="s">
        <v>2403</v>
      </c>
      <c r="E550">
        <v>4</v>
      </c>
      <c r="F550">
        <v>412.2</v>
      </c>
      <c r="G550" t="s">
        <v>2943</v>
      </c>
      <c r="H550" t="s">
        <v>3067</v>
      </c>
      <c r="I550" t="s">
        <v>3070</v>
      </c>
      <c r="J550" t="s">
        <v>4043</v>
      </c>
      <c r="K550">
        <v>6</v>
      </c>
      <c r="L550" t="s">
        <v>4277</v>
      </c>
      <c r="M550" t="s">
        <v>4279</v>
      </c>
      <c r="N550">
        <v>1648.8</v>
      </c>
      <c r="O550" t="s">
        <v>4290</v>
      </c>
      <c r="P550" t="s">
        <v>2943</v>
      </c>
      <c r="Q550" t="s">
        <v>3067</v>
      </c>
      <c r="R550" t="s">
        <v>4279</v>
      </c>
      <c r="S550">
        <v>274.8</v>
      </c>
    </row>
    <row r="551" spans="1:19" x14ac:dyDescent="0.3">
      <c r="A551" t="s">
        <v>750</v>
      </c>
      <c r="B551" s="3">
        <v>45331</v>
      </c>
      <c r="C551" t="s">
        <v>1947</v>
      </c>
      <c r="D551" t="s">
        <v>2403</v>
      </c>
      <c r="E551">
        <v>5</v>
      </c>
      <c r="F551">
        <v>418.53</v>
      </c>
      <c r="G551" t="s">
        <v>2796</v>
      </c>
      <c r="H551" t="s">
        <v>3067</v>
      </c>
      <c r="I551" t="s">
        <v>3074</v>
      </c>
      <c r="J551" t="s">
        <v>3811</v>
      </c>
      <c r="K551">
        <v>6</v>
      </c>
      <c r="L551" t="s">
        <v>4276</v>
      </c>
      <c r="M551" t="s">
        <v>4282</v>
      </c>
      <c r="N551">
        <v>2092.65</v>
      </c>
      <c r="O551" t="s">
        <v>4290</v>
      </c>
      <c r="P551" t="s">
        <v>2796</v>
      </c>
      <c r="Q551" t="s">
        <v>3067</v>
      </c>
      <c r="R551" t="s">
        <v>4282</v>
      </c>
      <c r="S551">
        <v>348.78</v>
      </c>
    </row>
    <row r="552" spans="1:19" x14ac:dyDescent="0.3">
      <c r="A552" t="s">
        <v>59</v>
      </c>
      <c r="B552" s="3">
        <v>45332</v>
      </c>
      <c r="C552" t="s">
        <v>1259</v>
      </c>
      <c r="D552" t="s">
        <v>2406</v>
      </c>
      <c r="E552">
        <v>1</v>
      </c>
      <c r="F552">
        <v>317.25</v>
      </c>
      <c r="G552" t="s">
        <v>2453</v>
      </c>
      <c r="H552" t="s">
        <v>3065</v>
      </c>
      <c r="I552" t="s">
        <v>3072</v>
      </c>
      <c r="J552" t="s">
        <v>3120</v>
      </c>
      <c r="K552">
        <v>1</v>
      </c>
      <c r="L552" t="s">
        <v>4275</v>
      </c>
      <c r="M552" t="s">
        <v>4281</v>
      </c>
      <c r="N552">
        <v>317.25</v>
      </c>
      <c r="O552" t="s">
        <v>4290</v>
      </c>
      <c r="P552" t="s">
        <v>2453</v>
      </c>
      <c r="Q552" t="s">
        <v>3065</v>
      </c>
      <c r="R552" t="s">
        <v>4281</v>
      </c>
      <c r="S552">
        <v>317.25</v>
      </c>
    </row>
    <row r="553" spans="1:19" x14ac:dyDescent="0.3">
      <c r="A553" t="s">
        <v>784</v>
      </c>
      <c r="B553" s="3">
        <v>45333</v>
      </c>
      <c r="C553" t="s">
        <v>1981</v>
      </c>
      <c r="D553" t="s">
        <v>2409</v>
      </c>
      <c r="E553">
        <v>1</v>
      </c>
      <c r="F553">
        <v>314.38</v>
      </c>
      <c r="G553" t="s">
        <v>2757</v>
      </c>
      <c r="H553" t="s">
        <v>3066</v>
      </c>
      <c r="I553" t="s">
        <v>3072</v>
      </c>
      <c r="J553" t="s">
        <v>3845</v>
      </c>
      <c r="K553">
        <v>6</v>
      </c>
      <c r="L553" t="s">
        <v>4283</v>
      </c>
      <c r="M553" t="s">
        <v>4282</v>
      </c>
      <c r="N553">
        <v>314.38</v>
      </c>
      <c r="O553" t="s">
        <v>4290</v>
      </c>
      <c r="P553" t="s">
        <v>2757</v>
      </c>
      <c r="Q553" t="s">
        <v>3066</v>
      </c>
      <c r="R553" t="s">
        <v>4282</v>
      </c>
      <c r="S553">
        <v>52.4</v>
      </c>
    </row>
    <row r="554" spans="1:19" x14ac:dyDescent="0.3">
      <c r="A554" t="s">
        <v>822</v>
      </c>
      <c r="B554" s="3">
        <v>45335</v>
      </c>
      <c r="C554" t="s">
        <v>2018</v>
      </c>
      <c r="D554" t="s">
        <v>2409</v>
      </c>
      <c r="E554">
        <v>3</v>
      </c>
      <c r="F554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>
        <v>3</v>
      </c>
      <c r="L554" t="s">
        <v>4283</v>
      </c>
      <c r="M554" t="s">
        <v>4282</v>
      </c>
      <c r="N554">
        <v>402.15</v>
      </c>
      <c r="O554" t="s">
        <v>4290</v>
      </c>
      <c r="P554" t="s">
        <v>2936</v>
      </c>
      <c r="Q554" t="s">
        <v>3067</v>
      </c>
      <c r="R554" t="s">
        <v>4282</v>
      </c>
      <c r="S554">
        <v>134.05000000000001</v>
      </c>
    </row>
    <row r="555" spans="1:19" x14ac:dyDescent="0.3">
      <c r="A555" t="s">
        <v>929</v>
      </c>
      <c r="B555" s="3">
        <v>45338</v>
      </c>
      <c r="C555" t="s">
        <v>2125</v>
      </c>
      <c r="D555" t="s">
        <v>2408</v>
      </c>
      <c r="E555">
        <v>4</v>
      </c>
      <c r="F555">
        <v>502.99</v>
      </c>
      <c r="G555" t="s">
        <v>2978</v>
      </c>
      <c r="H555" t="s">
        <v>3065</v>
      </c>
      <c r="I555" t="s">
        <v>3070</v>
      </c>
      <c r="J555" t="s">
        <v>3990</v>
      </c>
      <c r="K555">
        <v>4</v>
      </c>
      <c r="L555" t="s">
        <v>4277</v>
      </c>
      <c r="M555" t="s">
        <v>4279</v>
      </c>
      <c r="N555">
        <v>2011.96</v>
      </c>
      <c r="O555" t="s">
        <v>4290</v>
      </c>
      <c r="P555" t="s">
        <v>2978</v>
      </c>
      <c r="Q555" t="s">
        <v>3065</v>
      </c>
      <c r="R555" t="s">
        <v>4279</v>
      </c>
      <c r="S555">
        <v>502.99</v>
      </c>
    </row>
    <row r="556" spans="1:19" x14ac:dyDescent="0.3">
      <c r="A556" t="s">
        <v>25</v>
      </c>
      <c r="B556" s="3">
        <v>45339</v>
      </c>
      <c r="C556" t="s">
        <v>1225</v>
      </c>
      <c r="D556" t="s">
        <v>2403</v>
      </c>
      <c r="E556">
        <v>3</v>
      </c>
      <c r="F556">
        <v>49.14</v>
      </c>
      <c r="G556" t="s">
        <v>2421</v>
      </c>
      <c r="H556" t="s">
        <v>3066</v>
      </c>
      <c r="I556" t="s">
        <v>3072</v>
      </c>
      <c r="J556" t="s">
        <v>3086</v>
      </c>
      <c r="K556">
        <v>7</v>
      </c>
      <c r="L556" t="s">
        <v>4275</v>
      </c>
      <c r="M556" t="s">
        <v>4280</v>
      </c>
      <c r="N556">
        <v>147.41999999999999</v>
      </c>
      <c r="O556" t="s">
        <v>4290</v>
      </c>
      <c r="P556" t="s">
        <v>2421</v>
      </c>
      <c r="Q556" t="s">
        <v>3066</v>
      </c>
      <c r="R556" t="s">
        <v>4280</v>
      </c>
      <c r="S556">
        <v>21.06</v>
      </c>
    </row>
    <row r="557" spans="1:19" x14ac:dyDescent="0.3">
      <c r="A557" t="s">
        <v>816</v>
      </c>
      <c r="B557" s="3">
        <v>45339</v>
      </c>
      <c r="C557" t="s">
        <v>2012</v>
      </c>
      <c r="D557" t="s">
        <v>2406</v>
      </c>
      <c r="E557">
        <v>5</v>
      </c>
      <c r="F557">
        <v>644.64</v>
      </c>
      <c r="G557" t="s">
        <v>2932</v>
      </c>
      <c r="H557" t="s">
        <v>3068</v>
      </c>
      <c r="I557" t="s">
        <v>3071</v>
      </c>
      <c r="J557" t="s">
        <v>3877</v>
      </c>
      <c r="K557">
        <v>6</v>
      </c>
      <c r="L557" t="s">
        <v>4276</v>
      </c>
      <c r="M557" t="s">
        <v>4280</v>
      </c>
      <c r="N557">
        <v>3223.2</v>
      </c>
      <c r="O557" t="s">
        <v>4290</v>
      </c>
      <c r="P557" t="s">
        <v>2932</v>
      </c>
      <c r="Q557" t="s">
        <v>3068</v>
      </c>
      <c r="R557" t="s">
        <v>4280</v>
      </c>
      <c r="S557">
        <v>537.20000000000005</v>
      </c>
    </row>
    <row r="558" spans="1:19" x14ac:dyDescent="0.3">
      <c r="A558" t="s">
        <v>596</v>
      </c>
      <c r="B558" s="3">
        <v>45341</v>
      </c>
      <c r="C558" t="s">
        <v>1796</v>
      </c>
      <c r="D558" t="s">
        <v>2405</v>
      </c>
      <c r="E558">
        <v>3</v>
      </c>
      <c r="F558">
        <v>474.14</v>
      </c>
      <c r="G558" t="s">
        <v>2727</v>
      </c>
      <c r="H558" t="s">
        <v>3068</v>
      </c>
      <c r="I558" t="s">
        <v>3070</v>
      </c>
      <c r="J558" t="s">
        <v>3657</v>
      </c>
      <c r="K558">
        <v>8</v>
      </c>
      <c r="L558" t="s">
        <v>4277</v>
      </c>
      <c r="M558" t="s">
        <v>4282</v>
      </c>
      <c r="N558">
        <v>1422.42</v>
      </c>
      <c r="O558" t="s">
        <v>4290</v>
      </c>
      <c r="P558" t="s">
        <v>2727</v>
      </c>
      <c r="Q558" t="s">
        <v>3068</v>
      </c>
      <c r="R558" t="s">
        <v>4282</v>
      </c>
      <c r="S558">
        <v>177.8</v>
      </c>
    </row>
    <row r="559" spans="1:19" x14ac:dyDescent="0.3">
      <c r="A559" t="s">
        <v>608</v>
      </c>
      <c r="B559" s="3">
        <v>45343</v>
      </c>
      <c r="C559" t="s">
        <v>1808</v>
      </c>
      <c r="D559" t="s">
        <v>2404</v>
      </c>
      <c r="E559">
        <v>5</v>
      </c>
      <c r="F559">
        <v>72.64</v>
      </c>
      <c r="G559" t="s">
        <v>2538</v>
      </c>
      <c r="H559" t="s">
        <v>3067</v>
      </c>
      <c r="I559" t="s">
        <v>3071</v>
      </c>
      <c r="J559" t="s">
        <v>3669</v>
      </c>
      <c r="K559">
        <v>7</v>
      </c>
      <c r="L559" t="s">
        <v>4283</v>
      </c>
      <c r="M559" t="s">
        <v>4280</v>
      </c>
      <c r="N559">
        <v>363.2</v>
      </c>
      <c r="O559" t="s">
        <v>4290</v>
      </c>
      <c r="P559" t="s">
        <v>2538</v>
      </c>
      <c r="Q559" t="s">
        <v>3067</v>
      </c>
      <c r="R559" t="s">
        <v>4280</v>
      </c>
      <c r="S559">
        <v>51.89</v>
      </c>
    </row>
    <row r="560" spans="1:19" x14ac:dyDescent="0.3">
      <c r="A560" t="s">
        <v>830</v>
      </c>
      <c r="B560" s="3">
        <v>45343</v>
      </c>
      <c r="C560" t="s">
        <v>2026</v>
      </c>
      <c r="D560" t="s">
        <v>2405</v>
      </c>
      <c r="E560">
        <v>5</v>
      </c>
      <c r="F560">
        <v>574.79</v>
      </c>
      <c r="G560" t="s">
        <v>2601</v>
      </c>
      <c r="H560" t="s">
        <v>3067</v>
      </c>
      <c r="I560" t="s">
        <v>3074</v>
      </c>
      <c r="J560" t="s">
        <v>3891</v>
      </c>
      <c r="K560">
        <v>8</v>
      </c>
      <c r="L560" t="s">
        <v>4277</v>
      </c>
      <c r="M560" t="s">
        <v>4279</v>
      </c>
      <c r="N560">
        <v>2873.95</v>
      </c>
      <c r="O560" t="s">
        <v>4290</v>
      </c>
      <c r="P560" t="s">
        <v>2601</v>
      </c>
      <c r="Q560" t="s">
        <v>3067</v>
      </c>
      <c r="R560" t="s">
        <v>4279</v>
      </c>
      <c r="S560">
        <v>359.24</v>
      </c>
    </row>
    <row r="561" spans="1:19" x14ac:dyDescent="0.3">
      <c r="A561" t="s">
        <v>41</v>
      </c>
      <c r="B561" s="3">
        <v>45344</v>
      </c>
      <c r="C561" t="s">
        <v>1241</v>
      </c>
      <c r="D561" t="s">
        <v>2407</v>
      </c>
      <c r="E561">
        <v>1</v>
      </c>
      <c r="F561">
        <v>472.74</v>
      </c>
      <c r="G561" t="s">
        <v>2437</v>
      </c>
      <c r="H561" t="s">
        <v>3066</v>
      </c>
      <c r="I561" t="s">
        <v>3070</v>
      </c>
      <c r="J561" t="s">
        <v>3102</v>
      </c>
      <c r="K561">
        <v>6</v>
      </c>
      <c r="L561" t="s">
        <v>4277</v>
      </c>
      <c r="M561" t="s">
        <v>4282</v>
      </c>
      <c r="N561">
        <v>472.74</v>
      </c>
      <c r="O561" t="s">
        <v>4290</v>
      </c>
      <c r="P561" t="s">
        <v>2437</v>
      </c>
      <c r="Q561" t="s">
        <v>3066</v>
      </c>
      <c r="R561" t="s">
        <v>4282</v>
      </c>
      <c r="S561">
        <v>78.790000000000006</v>
      </c>
    </row>
    <row r="562" spans="1:19" x14ac:dyDescent="0.3">
      <c r="A562" t="s">
        <v>771</v>
      </c>
      <c r="B562" s="3">
        <v>45344</v>
      </c>
      <c r="C562" t="s">
        <v>1968</v>
      </c>
      <c r="D562" t="s">
        <v>2409</v>
      </c>
      <c r="E562">
        <v>1</v>
      </c>
      <c r="F562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>
        <v>157.72</v>
      </c>
      <c r="O562" t="s">
        <v>4290</v>
      </c>
      <c r="P562" t="s">
        <v>2581</v>
      </c>
      <c r="Q562" t="s">
        <v>3065</v>
      </c>
      <c r="R562" t="s">
        <v>4282</v>
      </c>
      <c r="S562">
        <v>78.86</v>
      </c>
    </row>
    <row r="563" spans="1:19" x14ac:dyDescent="0.3">
      <c r="A563" t="s">
        <v>235</v>
      </c>
      <c r="B563" s="3">
        <v>45345</v>
      </c>
      <c r="C563" t="s">
        <v>1435</v>
      </c>
      <c r="D563" t="s">
        <v>2405</v>
      </c>
      <c r="E563">
        <v>5</v>
      </c>
      <c r="F563">
        <v>639.37</v>
      </c>
      <c r="G563" t="s">
        <v>2474</v>
      </c>
      <c r="H563" t="s">
        <v>3065</v>
      </c>
      <c r="I563" t="s">
        <v>3074</v>
      </c>
      <c r="J563" t="s">
        <v>3296</v>
      </c>
      <c r="K563">
        <v>6</v>
      </c>
      <c r="L563" t="s">
        <v>4275</v>
      </c>
      <c r="M563" t="s">
        <v>4282</v>
      </c>
      <c r="N563">
        <v>3196.85</v>
      </c>
      <c r="O563" t="s">
        <v>4290</v>
      </c>
      <c r="P563" t="s">
        <v>2474</v>
      </c>
      <c r="Q563" t="s">
        <v>3065</v>
      </c>
      <c r="R563" t="s">
        <v>4282</v>
      </c>
      <c r="S563">
        <v>532.80999999999995</v>
      </c>
    </row>
    <row r="564" spans="1:19" x14ac:dyDescent="0.3">
      <c r="A564" t="s">
        <v>1173</v>
      </c>
      <c r="B564" s="3">
        <v>45345</v>
      </c>
      <c r="C564" t="s">
        <v>2362</v>
      </c>
      <c r="D564" t="s">
        <v>2409</v>
      </c>
      <c r="E564">
        <v>4</v>
      </c>
      <c r="F564">
        <v>466.7</v>
      </c>
      <c r="G564" t="s">
        <v>2766</v>
      </c>
      <c r="H564" t="s">
        <v>3065</v>
      </c>
      <c r="I564" t="s">
        <v>3072</v>
      </c>
      <c r="J564" t="s">
        <v>4234</v>
      </c>
      <c r="K564">
        <v>8</v>
      </c>
      <c r="L564" t="s">
        <v>4283</v>
      </c>
      <c r="M564" t="s">
        <v>4278</v>
      </c>
      <c r="N564">
        <v>1866.8</v>
      </c>
      <c r="O564" t="s">
        <v>4290</v>
      </c>
      <c r="P564" t="s">
        <v>2766</v>
      </c>
      <c r="Q564" t="s">
        <v>3065</v>
      </c>
      <c r="R564" t="s">
        <v>4278</v>
      </c>
      <c r="S564">
        <v>233.35</v>
      </c>
    </row>
    <row r="565" spans="1:19" x14ac:dyDescent="0.3">
      <c r="A565" t="s">
        <v>324</v>
      </c>
      <c r="B565" s="3">
        <v>45346</v>
      </c>
      <c r="C565" t="s">
        <v>1524</v>
      </c>
      <c r="D565" t="s">
        <v>2407</v>
      </c>
      <c r="E565">
        <v>3</v>
      </c>
      <c r="F565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>
        <v>4</v>
      </c>
      <c r="L565" t="s">
        <v>4283</v>
      </c>
      <c r="M565" t="s">
        <v>4279</v>
      </c>
      <c r="N565">
        <v>397.43999999999988</v>
      </c>
      <c r="O565" t="s">
        <v>4290</v>
      </c>
      <c r="P565" t="s">
        <v>2672</v>
      </c>
      <c r="Q565" t="s">
        <v>3066</v>
      </c>
      <c r="R565" t="s">
        <v>4279</v>
      </c>
      <c r="S565">
        <v>99.36</v>
      </c>
    </row>
    <row r="566" spans="1:19" x14ac:dyDescent="0.3">
      <c r="A566" t="s">
        <v>535</v>
      </c>
      <c r="B566" s="3">
        <v>45347</v>
      </c>
      <c r="C566" t="s">
        <v>1735</v>
      </c>
      <c r="D566" t="s">
        <v>2404</v>
      </c>
      <c r="E566">
        <v>1</v>
      </c>
      <c r="F566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>
        <v>2</v>
      </c>
      <c r="L566" t="s">
        <v>4283</v>
      </c>
      <c r="M566" t="s">
        <v>4281</v>
      </c>
      <c r="N566">
        <v>528.05999999999995</v>
      </c>
      <c r="O566" t="s">
        <v>4290</v>
      </c>
      <c r="P566" t="s">
        <v>2802</v>
      </c>
      <c r="Q566" t="s">
        <v>3067</v>
      </c>
      <c r="R566" t="s">
        <v>4281</v>
      </c>
      <c r="S566">
        <v>264.02999999999997</v>
      </c>
    </row>
    <row r="567" spans="1:19" x14ac:dyDescent="0.3">
      <c r="A567" t="s">
        <v>667</v>
      </c>
      <c r="B567" s="3">
        <v>45347</v>
      </c>
      <c r="C567" t="s">
        <v>1866</v>
      </c>
      <c r="D567" t="s">
        <v>2407</v>
      </c>
      <c r="E567">
        <v>3</v>
      </c>
      <c r="F567">
        <v>690.3</v>
      </c>
      <c r="G567" t="s">
        <v>2710</v>
      </c>
      <c r="H567" t="s">
        <v>3067</v>
      </c>
      <c r="I567" t="s">
        <v>3070</v>
      </c>
      <c r="J567" t="s">
        <v>3728</v>
      </c>
      <c r="K567">
        <v>6</v>
      </c>
      <c r="L567" t="s">
        <v>4277</v>
      </c>
      <c r="M567" t="s">
        <v>4282</v>
      </c>
      <c r="N567">
        <v>2070.9</v>
      </c>
      <c r="O567" t="s">
        <v>4290</v>
      </c>
      <c r="P567" t="s">
        <v>2710</v>
      </c>
      <c r="Q567" t="s">
        <v>3067</v>
      </c>
      <c r="R567" t="s">
        <v>4282</v>
      </c>
      <c r="S567">
        <v>345.15</v>
      </c>
    </row>
    <row r="568" spans="1:19" x14ac:dyDescent="0.3">
      <c r="A568" t="s">
        <v>1124</v>
      </c>
      <c r="B568" s="3">
        <v>45347</v>
      </c>
      <c r="C568" t="s">
        <v>2315</v>
      </c>
      <c r="D568" t="s">
        <v>2406</v>
      </c>
      <c r="E568">
        <v>3</v>
      </c>
      <c r="F568">
        <v>84.31</v>
      </c>
      <c r="G568" t="s">
        <v>2443</v>
      </c>
      <c r="H568" t="s">
        <v>3067</v>
      </c>
      <c r="I568" t="s">
        <v>3070</v>
      </c>
      <c r="J568" t="s">
        <v>4185</v>
      </c>
      <c r="K568">
        <v>3</v>
      </c>
      <c r="L568" t="s">
        <v>4275</v>
      </c>
      <c r="M568" t="s">
        <v>4280</v>
      </c>
      <c r="N568">
        <v>252.93</v>
      </c>
      <c r="O568" t="s">
        <v>4290</v>
      </c>
      <c r="P568" t="s">
        <v>2443</v>
      </c>
      <c r="Q568" t="s">
        <v>3067</v>
      </c>
      <c r="R568" t="s">
        <v>4280</v>
      </c>
      <c r="S568">
        <v>84.31</v>
      </c>
    </row>
    <row r="569" spans="1:19" x14ac:dyDescent="0.3">
      <c r="A569" t="s">
        <v>272</v>
      </c>
      <c r="B569" s="3">
        <v>45348</v>
      </c>
      <c r="C569" t="s">
        <v>1472</v>
      </c>
      <c r="D569" t="s">
        <v>2405</v>
      </c>
      <c r="E569">
        <v>2</v>
      </c>
      <c r="F569">
        <v>103.41</v>
      </c>
      <c r="G569" t="s">
        <v>2631</v>
      </c>
      <c r="H569" t="s">
        <v>3066</v>
      </c>
      <c r="I569" t="s">
        <v>3070</v>
      </c>
      <c r="J569" t="s">
        <v>3333</v>
      </c>
      <c r="K569">
        <v>2</v>
      </c>
      <c r="L569" t="s">
        <v>4276</v>
      </c>
      <c r="M569" t="s">
        <v>4279</v>
      </c>
      <c r="N569">
        <v>206.82</v>
      </c>
      <c r="O569" t="s">
        <v>4290</v>
      </c>
      <c r="P569" t="s">
        <v>2631</v>
      </c>
      <c r="Q569" t="s">
        <v>3066</v>
      </c>
      <c r="R569" t="s">
        <v>4279</v>
      </c>
      <c r="S569">
        <v>103.41</v>
      </c>
    </row>
    <row r="570" spans="1:19" x14ac:dyDescent="0.3">
      <c r="A570" t="s">
        <v>479</v>
      </c>
      <c r="B570" s="3">
        <v>45348</v>
      </c>
      <c r="C570" t="s">
        <v>1679</v>
      </c>
      <c r="D570" t="s">
        <v>2407</v>
      </c>
      <c r="E570">
        <v>5</v>
      </c>
      <c r="F570">
        <v>513.49</v>
      </c>
      <c r="G570" t="s">
        <v>2772</v>
      </c>
      <c r="H570" t="s">
        <v>3068</v>
      </c>
      <c r="I570" t="s">
        <v>3071</v>
      </c>
      <c r="J570" t="s">
        <v>3540</v>
      </c>
      <c r="K570">
        <v>8</v>
      </c>
      <c r="L570" t="s">
        <v>4283</v>
      </c>
      <c r="M570" t="s">
        <v>4282</v>
      </c>
      <c r="N570">
        <v>2567.4499999999998</v>
      </c>
      <c r="O570" t="s">
        <v>4290</v>
      </c>
      <c r="P570" t="s">
        <v>2772</v>
      </c>
      <c r="Q570" t="s">
        <v>3068</v>
      </c>
      <c r="R570" t="s">
        <v>4282</v>
      </c>
      <c r="S570">
        <v>320.93</v>
      </c>
    </row>
    <row r="571" spans="1:19" x14ac:dyDescent="0.3">
      <c r="A571" t="s">
        <v>16</v>
      </c>
      <c r="B571" s="3">
        <v>45349</v>
      </c>
      <c r="C571" t="s">
        <v>1216</v>
      </c>
      <c r="D571" t="s">
        <v>2405</v>
      </c>
      <c r="E571">
        <v>5</v>
      </c>
      <c r="F571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>
        <v>8</v>
      </c>
      <c r="L571" t="s">
        <v>4276</v>
      </c>
      <c r="M571" t="s">
        <v>4280</v>
      </c>
      <c r="N571">
        <v>2753.4</v>
      </c>
      <c r="O571" t="s">
        <v>4290</v>
      </c>
      <c r="P571" t="s">
        <v>2412</v>
      </c>
      <c r="Q571" t="s">
        <v>3067</v>
      </c>
      <c r="R571" t="s">
        <v>4280</v>
      </c>
      <c r="S571">
        <v>344.18</v>
      </c>
    </row>
    <row r="572" spans="1:19" x14ac:dyDescent="0.3">
      <c r="A572" t="s">
        <v>654</v>
      </c>
      <c r="B572" s="3">
        <v>45349</v>
      </c>
      <c r="C572" t="s">
        <v>1853</v>
      </c>
      <c r="D572" t="s">
        <v>2406</v>
      </c>
      <c r="E572">
        <v>2</v>
      </c>
      <c r="F572">
        <v>587.49</v>
      </c>
      <c r="G572" t="s">
        <v>2507</v>
      </c>
      <c r="H572" t="s">
        <v>3068</v>
      </c>
      <c r="I572" t="s">
        <v>3072</v>
      </c>
      <c r="J572" t="s">
        <v>3715</v>
      </c>
      <c r="K572">
        <v>6</v>
      </c>
      <c r="L572" t="s">
        <v>4275</v>
      </c>
      <c r="M572" t="s">
        <v>4279</v>
      </c>
      <c r="N572">
        <v>1174.98</v>
      </c>
      <c r="O572" t="s">
        <v>4290</v>
      </c>
      <c r="P572" t="s">
        <v>2507</v>
      </c>
      <c r="Q572" t="s">
        <v>3068</v>
      </c>
      <c r="R572" t="s">
        <v>4279</v>
      </c>
      <c r="S572">
        <v>195.83</v>
      </c>
    </row>
    <row r="573" spans="1:19" x14ac:dyDescent="0.3">
      <c r="A573" t="s">
        <v>406</v>
      </c>
      <c r="B573" s="3">
        <v>45350</v>
      </c>
      <c r="C573" t="s">
        <v>1606</v>
      </c>
      <c r="D573" t="s">
        <v>2404</v>
      </c>
      <c r="E573">
        <v>1</v>
      </c>
      <c r="F573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>
        <v>1</v>
      </c>
      <c r="L573" t="s">
        <v>4277</v>
      </c>
      <c r="M573" t="s">
        <v>4280</v>
      </c>
      <c r="N573">
        <v>627.20000000000005</v>
      </c>
      <c r="O573" t="s">
        <v>4290</v>
      </c>
      <c r="P573" t="s">
        <v>2713</v>
      </c>
      <c r="Q573" t="s">
        <v>3066</v>
      </c>
      <c r="R573" t="s">
        <v>4280</v>
      </c>
      <c r="S573">
        <v>627.20000000000005</v>
      </c>
    </row>
    <row r="574" spans="1:19" x14ac:dyDescent="0.3">
      <c r="A574" t="s">
        <v>1206</v>
      </c>
      <c r="B574" s="3">
        <v>45350</v>
      </c>
      <c r="C574" t="s">
        <v>2395</v>
      </c>
      <c r="D574" t="s">
        <v>2406</v>
      </c>
      <c r="E574">
        <v>3</v>
      </c>
      <c r="F574">
        <v>432.85</v>
      </c>
      <c r="G574" t="s">
        <v>2593</v>
      </c>
      <c r="H574" t="s">
        <v>3066</v>
      </c>
      <c r="I574" t="s">
        <v>3074</v>
      </c>
      <c r="J574" t="s">
        <v>4267</v>
      </c>
      <c r="K574">
        <v>4</v>
      </c>
      <c r="L574" t="s">
        <v>4283</v>
      </c>
      <c r="M574" t="s">
        <v>4278</v>
      </c>
      <c r="N574">
        <v>1298.55</v>
      </c>
      <c r="O574" t="s">
        <v>4290</v>
      </c>
      <c r="P574" t="s">
        <v>2593</v>
      </c>
      <c r="Q574" t="s">
        <v>3066</v>
      </c>
      <c r="R574" t="s">
        <v>4278</v>
      </c>
      <c r="S574">
        <v>324.64</v>
      </c>
    </row>
    <row r="575" spans="1:19" x14ac:dyDescent="0.3">
      <c r="A575" t="s">
        <v>540</v>
      </c>
      <c r="B575" s="3">
        <v>45351</v>
      </c>
      <c r="C575" t="s">
        <v>1740</v>
      </c>
      <c r="D575" t="s">
        <v>2409</v>
      </c>
      <c r="E575">
        <v>2</v>
      </c>
      <c r="F575">
        <v>46.5</v>
      </c>
      <c r="G575" t="s">
        <v>2497</v>
      </c>
      <c r="H575" t="s">
        <v>3069</v>
      </c>
      <c r="I575" t="s">
        <v>3072</v>
      </c>
      <c r="J575" t="s">
        <v>3601</v>
      </c>
      <c r="K575">
        <v>7</v>
      </c>
      <c r="L575" t="s">
        <v>4277</v>
      </c>
      <c r="M575" t="s">
        <v>4282</v>
      </c>
      <c r="N575">
        <v>93</v>
      </c>
      <c r="O575" t="s">
        <v>4290</v>
      </c>
      <c r="P575" t="s">
        <v>2497</v>
      </c>
      <c r="Q575" t="s">
        <v>3069</v>
      </c>
      <c r="R575" t="s">
        <v>4282</v>
      </c>
      <c r="S575">
        <v>13.29</v>
      </c>
    </row>
    <row r="576" spans="1:19" x14ac:dyDescent="0.3">
      <c r="A576" t="s">
        <v>560</v>
      </c>
      <c r="B576" s="3">
        <v>45352</v>
      </c>
      <c r="C576" t="s">
        <v>1760</v>
      </c>
      <c r="D576" t="s">
        <v>2403</v>
      </c>
      <c r="E576">
        <v>1</v>
      </c>
      <c r="F576">
        <v>158.68</v>
      </c>
      <c r="G576" t="s">
        <v>2410</v>
      </c>
      <c r="H576" t="s">
        <v>3067</v>
      </c>
      <c r="I576" t="s">
        <v>3072</v>
      </c>
      <c r="J576" t="s">
        <v>3621</v>
      </c>
      <c r="K576">
        <v>6</v>
      </c>
      <c r="L576" t="s">
        <v>4277</v>
      </c>
      <c r="M576" t="s">
        <v>4278</v>
      </c>
      <c r="N576">
        <v>158.68</v>
      </c>
      <c r="O576" t="s">
        <v>4290</v>
      </c>
      <c r="P576" t="s">
        <v>2410</v>
      </c>
      <c r="Q576" t="s">
        <v>3067</v>
      </c>
      <c r="R576" t="s">
        <v>4278</v>
      </c>
      <c r="S576">
        <v>26.45</v>
      </c>
    </row>
    <row r="577" spans="1:19" x14ac:dyDescent="0.3">
      <c r="A577" t="s">
        <v>640</v>
      </c>
      <c r="B577" s="3">
        <v>45352</v>
      </c>
      <c r="C577" t="s">
        <v>1839</v>
      </c>
      <c r="D577" t="s">
        <v>2405</v>
      </c>
      <c r="E577">
        <v>2</v>
      </c>
      <c r="F577">
        <v>657.48</v>
      </c>
      <c r="G577" t="s">
        <v>2745</v>
      </c>
      <c r="H577" t="s">
        <v>3066</v>
      </c>
      <c r="I577" t="s">
        <v>3070</v>
      </c>
      <c r="J577" t="s">
        <v>3701</v>
      </c>
      <c r="K577">
        <v>5</v>
      </c>
      <c r="L577" t="s">
        <v>4275</v>
      </c>
      <c r="M577" t="s">
        <v>4279</v>
      </c>
      <c r="N577">
        <v>1314.96</v>
      </c>
      <c r="O577" t="s">
        <v>4290</v>
      </c>
      <c r="P577" t="s">
        <v>2745</v>
      </c>
      <c r="Q577" t="s">
        <v>3066</v>
      </c>
      <c r="R577" t="s">
        <v>4279</v>
      </c>
      <c r="S577">
        <v>262.99</v>
      </c>
    </row>
    <row r="578" spans="1:19" x14ac:dyDescent="0.3">
      <c r="A578" t="s">
        <v>31</v>
      </c>
      <c r="B578" s="3">
        <v>45353</v>
      </c>
      <c r="C578" t="s">
        <v>1231</v>
      </c>
      <c r="D578" t="s">
        <v>2405</v>
      </c>
      <c r="E578">
        <v>1</v>
      </c>
      <c r="F578">
        <v>423.4</v>
      </c>
      <c r="G578" t="s">
        <v>2427</v>
      </c>
      <c r="H578" t="s">
        <v>3065</v>
      </c>
      <c r="I578" t="s">
        <v>3070</v>
      </c>
      <c r="J578" t="s">
        <v>3092</v>
      </c>
      <c r="K578">
        <v>3</v>
      </c>
      <c r="L578" t="s">
        <v>4283</v>
      </c>
      <c r="M578" t="s">
        <v>4279</v>
      </c>
      <c r="N578">
        <v>423.4</v>
      </c>
      <c r="O578" t="s">
        <v>4290</v>
      </c>
      <c r="P578" t="s">
        <v>2427</v>
      </c>
      <c r="Q578" t="s">
        <v>3065</v>
      </c>
      <c r="R578" t="s">
        <v>4279</v>
      </c>
      <c r="S578">
        <v>141.13</v>
      </c>
    </row>
    <row r="579" spans="1:19" x14ac:dyDescent="0.3">
      <c r="A579" t="s">
        <v>159</v>
      </c>
      <c r="B579" s="3">
        <v>45353</v>
      </c>
      <c r="C579" t="s">
        <v>1359</v>
      </c>
      <c r="D579" t="s">
        <v>2407</v>
      </c>
      <c r="E579">
        <v>3</v>
      </c>
      <c r="F579">
        <v>146.91</v>
      </c>
      <c r="G579" t="s">
        <v>2544</v>
      </c>
      <c r="H579" t="s">
        <v>3067</v>
      </c>
      <c r="I579" t="s">
        <v>3073</v>
      </c>
      <c r="J579" t="s">
        <v>3220</v>
      </c>
      <c r="K579">
        <v>6</v>
      </c>
      <c r="L579" t="s">
        <v>4276</v>
      </c>
      <c r="M579" t="s">
        <v>4282</v>
      </c>
      <c r="N579">
        <v>440.73</v>
      </c>
      <c r="O579" t="s">
        <v>4290</v>
      </c>
      <c r="P579" t="s">
        <v>2544</v>
      </c>
      <c r="Q579" t="s">
        <v>3067</v>
      </c>
      <c r="R579" t="s">
        <v>4282</v>
      </c>
      <c r="S579">
        <v>73.459999999999994</v>
      </c>
    </row>
    <row r="580" spans="1:19" x14ac:dyDescent="0.3">
      <c r="A580" t="s">
        <v>1210</v>
      </c>
      <c r="B580" s="3">
        <v>45355</v>
      </c>
      <c r="C580" t="s">
        <v>2399</v>
      </c>
      <c r="D580" t="s">
        <v>2403</v>
      </c>
      <c r="E580">
        <v>2</v>
      </c>
      <c r="F580">
        <v>662.53</v>
      </c>
      <c r="G580" t="s">
        <v>2730</v>
      </c>
      <c r="H580" t="s">
        <v>3066</v>
      </c>
      <c r="I580" t="s">
        <v>3071</v>
      </c>
      <c r="J580" t="s">
        <v>4271</v>
      </c>
      <c r="K580">
        <v>5</v>
      </c>
      <c r="L580" t="s">
        <v>4283</v>
      </c>
      <c r="M580" t="s">
        <v>4281</v>
      </c>
      <c r="N580">
        <v>1325.06</v>
      </c>
      <c r="O580" t="s">
        <v>4290</v>
      </c>
      <c r="P580" t="s">
        <v>2730</v>
      </c>
      <c r="Q580" t="s">
        <v>3066</v>
      </c>
      <c r="R580" t="s">
        <v>4281</v>
      </c>
      <c r="S580">
        <v>265.01</v>
      </c>
    </row>
    <row r="581" spans="1:19" x14ac:dyDescent="0.3">
      <c r="A581" t="s">
        <v>616</v>
      </c>
      <c r="B581" s="3">
        <v>45356</v>
      </c>
      <c r="C581" t="s">
        <v>1696</v>
      </c>
      <c r="D581" t="s">
        <v>2405</v>
      </c>
      <c r="E581">
        <v>4</v>
      </c>
      <c r="F581">
        <v>26.04</v>
      </c>
      <c r="G581" t="s">
        <v>2782</v>
      </c>
      <c r="H581" t="s">
        <v>3066</v>
      </c>
      <c r="I581" t="s">
        <v>3074</v>
      </c>
      <c r="J581" t="s">
        <v>3677</v>
      </c>
      <c r="K581">
        <v>5</v>
      </c>
      <c r="L581" t="s">
        <v>4275</v>
      </c>
      <c r="M581" t="s">
        <v>4278</v>
      </c>
      <c r="N581">
        <v>104.16</v>
      </c>
      <c r="O581" t="s">
        <v>4290</v>
      </c>
      <c r="P581" t="s">
        <v>2782</v>
      </c>
      <c r="Q581" t="s">
        <v>3066</v>
      </c>
      <c r="R581" t="s">
        <v>4278</v>
      </c>
      <c r="S581">
        <v>20.83</v>
      </c>
    </row>
    <row r="582" spans="1:19" x14ac:dyDescent="0.3">
      <c r="A582" t="s">
        <v>40</v>
      </c>
      <c r="B582" s="3">
        <v>45357</v>
      </c>
      <c r="C582" t="s">
        <v>1240</v>
      </c>
      <c r="D582" t="s">
        <v>2408</v>
      </c>
      <c r="E582">
        <v>5</v>
      </c>
      <c r="F582">
        <v>59.55</v>
      </c>
      <c r="G582" t="s">
        <v>2436</v>
      </c>
      <c r="H582" t="s">
        <v>3066</v>
      </c>
      <c r="I582" t="s">
        <v>3073</v>
      </c>
      <c r="J582" t="s">
        <v>3101</v>
      </c>
      <c r="K582">
        <v>6</v>
      </c>
      <c r="L582" t="s">
        <v>4283</v>
      </c>
      <c r="M582" t="s">
        <v>4279</v>
      </c>
      <c r="N582">
        <v>297.75</v>
      </c>
      <c r="O582" t="s">
        <v>4290</v>
      </c>
      <c r="P582" t="s">
        <v>2436</v>
      </c>
      <c r="Q582" t="s">
        <v>3066</v>
      </c>
      <c r="R582" t="s">
        <v>4279</v>
      </c>
      <c r="S582">
        <v>49.62</v>
      </c>
    </row>
    <row r="583" spans="1:19" x14ac:dyDescent="0.3">
      <c r="A583" t="s">
        <v>702</v>
      </c>
      <c r="B583" s="3">
        <v>45357</v>
      </c>
      <c r="C583" t="s">
        <v>1900</v>
      </c>
      <c r="D583" t="s">
        <v>2403</v>
      </c>
      <c r="E583">
        <v>4</v>
      </c>
      <c r="F583">
        <v>593.22</v>
      </c>
      <c r="G583" t="s">
        <v>2842</v>
      </c>
      <c r="H583" t="s">
        <v>3067</v>
      </c>
      <c r="I583" t="s">
        <v>3071</v>
      </c>
      <c r="J583" t="s">
        <v>3763</v>
      </c>
      <c r="K583">
        <v>8</v>
      </c>
      <c r="L583" t="s">
        <v>4277</v>
      </c>
      <c r="M583" t="s">
        <v>4281</v>
      </c>
      <c r="N583">
        <v>2372.88</v>
      </c>
      <c r="O583" t="s">
        <v>4290</v>
      </c>
      <c r="P583" t="s">
        <v>2842</v>
      </c>
      <c r="Q583" t="s">
        <v>3067</v>
      </c>
      <c r="R583" t="s">
        <v>4281</v>
      </c>
      <c r="S583">
        <v>296.61</v>
      </c>
    </row>
    <row r="584" spans="1:19" x14ac:dyDescent="0.3">
      <c r="A584" t="s">
        <v>628</v>
      </c>
      <c r="B584" s="3">
        <v>45359</v>
      </c>
      <c r="C584" t="s">
        <v>1827</v>
      </c>
      <c r="D584" t="s">
        <v>2404</v>
      </c>
      <c r="E584">
        <v>1</v>
      </c>
      <c r="F584">
        <v>96.81</v>
      </c>
      <c r="G584" t="s">
        <v>2521</v>
      </c>
      <c r="H584" t="s">
        <v>3068</v>
      </c>
      <c r="I584" t="s">
        <v>3071</v>
      </c>
      <c r="J584" t="s">
        <v>3689</v>
      </c>
      <c r="K584">
        <v>3</v>
      </c>
      <c r="L584" t="s">
        <v>4283</v>
      </c>
      <c r="M584" t="s">
        <v>4279</v>
      </c>
      <c r="N584">
        <v>96.81</v>
      </c>
      <c r="O584" t="s">
        <v>4290</v>
      </c>
      <c r="P584" t="s">
        <v>2521</v>
      </c>
      <c r="Q584" t="s">
        <v>3068</v>
      </c>
      <c r="R584" t="s">
        <v>4279</v>
      </c>
      <c r="S584">
        <v>32.270000000000003</v>
      </c>
    </row>
    <row r="585" spans="1:19" x14ac:dyDescent="0.3">
      <c r="A585" t="s">
        <v>557</v>
      </c>
      <c r="B585" s="3">
        <v>45360</v>
      </c>
      <c r="C585" t="s">
        <v>1757</v>
      </c>
      <c r="D585" t="s">
        <v>2409</v>
      </c>
      <c r="E585">
        <v>5</v>
      </c>
      <c r="F585">
        <v>269.86</v>
      </c>
      <c r="G585" t="s">
        <v>2569</v>
      </c>
      <c r="H585" t="s">
        <v>3069</v>
      </c>
      <c r="I585" t="s">
        <v>3070</v>
      </c>
      <c r="J585" t="s">
        <v>3618</v>
      </c>
      <c r="K585">
        <v>6</v>
      </c>
      <c r="L585" t="s">
        <v>4277</v>
      </c>
      <c r="M585" t="s">
        <v>4281</v>
      </c>
      <c r="N585">
        <v>1349.3</v>
      </c>
      <c r="O585" t="s">
        <v>4290</v>
      </c>
      <c r="P585" t="s">
        <v>2569</v>
      </c>
      <c r="Q585" t="s">
        <v>3069</v>
      </c>
      <c r="R585" t="s">
        <v>4281</v>
      </c>
      <c r="S585">
        <v>224.88</v>
      </c>
    </row>
    <row r="586" spans="1:19" x14ac:dyDescent="0.3">
      <c r="A586" t="s">
        <v>558</v>
      </c>
      <c r="B586" s="3">
        <v>45361</v>
      </c>
      <c r="C586" t="s">
        <v>1758</v>
      </c>
      <c r="D586" t="s">
        <v>2407</v>
      </c>
      <c r="E586">
        <v>5</v>
      </c>
      <c r="F586">
        <v>31.96</v>
      </c>
      <c r="G586" t="s">
        <v>2726</v>
      </c>
      <c r="H586" t="s">
        <v>3067</v>
      </c>
      <c r="I586" t="s">
        <v>3072</v>
      </c>
      <c r="J586" t="s">
        <v>3619</v>
      </c>
      <c r="K586">
        <v>5</v>
      </c>
      <c r="L586" t="s">
        <v>4276</v>
      </c>
      <c r="M586" t="s">
        <v>4279</v>
      </c>
      <c r="N586">
        <v>159.80000000000001</v>
      </c>
      <c r="O586" t="s">
        <v>4290</v>
      </c>
      <c r="P586" t="s">
        <v>2726</v>
      </c>
      <c r="Q586" t="s">
        <v>3067</v>
      </c>
      <c r="R586" t="s">
        <v>4279</v>
      </c>
      <c r="S586">
        <v>31.96</v>
      </c>
    </row>
    <row r="587" spans="1:19" x14ac:dyDescent="0.3">
      <c r="A587" t="s">
        <v>778</v>
      </c>
      <c r="B587" s="3">
        <v>45361</v>
      </c>
      <c r="C587" t="s">
        <v>1975</v>
      </c>
      <c r="D587" t="s">
        <v>2408</v>
      </c>
      <c r="E587">
        <v>5</v>
      </c>
      <c r="F58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>
        <v>10</v>
      </c>
      <c r="L587" t="s">
        <v>4276</v>
      </c>
      <c r="M587" t="s">
        <v>4280</v>
      </c>
      <c r="N587">
        <v>3137.15</v>
      </c>
      <c r="O587" t="s">
        <v>4290</v>
      </c>
      <c r="P587" t="s">
        <v>2565</v>
      </c>
      <c r="Q587" t="s">
        <v>3067</v>
      </c>
      <c r="R587" t="s">
        <v>4280</v>
      </c>
      <c r="S587">
        <v>313.72000000000003</v>
      </c>
    </row>
    <row r="588" spans="1:19" x14ac:dyDescent="0.3">
      <c r="A588" t="s">
        <v>871</v>
      </c>
      <c r="B588" s="3">
        <v>45361</v>
      </c>
      <c r="C588" t="s">
        <v>2067</v>
      </c>
      <c r="D588" t="s">
        <v>2404</v>
      </c>
      <c r="E588">
        <v>3</v>
      </c>
      <c r="F588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>
        <v>4</v>
      </c>
      <c r="L588" t="s">
        <v>4283</v>
      </c>
      <c r="M588" t="s">
        <v>4278</v>
      </c>
      <c r="N588">
        <v>773.52</v>
      </c>
      <c r="O588" t="s">
        <v>4290</v>
      </c>
      <c r="P588" t="s">
        <v>2594</v>
      </c>
      <c r="Q588" t="s">
        <v>3066</v>
      </c>
      <c r="R588" t="s">
        <v>4278</v>
      </c>
      <c r="S588">
        <v>193.38</v>
      </c>
    </row>
    <row r="589" spans="1:19" x14ac:dyDescent="0.3">
      <c r="A589" t="s">
        <v>977</v>
      </c>
      <c r="B589" s="3">
        <v>45362</v>
      </c>
      <c r="C589" t="s">
        <v>2170</v>
      </c>
      <c r="D589" t="s">
        <v>2406</v>
      </c>
      <c r="E589">
        <v>5</v>
      </c>
      <c r="F589">
        <v>530.34</v>
      </c>
      <c r="G589" t="s">
        <v>2572</v>
      </c>
      <c r="H589" t="s">
        <v>3066</v>
      </c>
      <c r="I589" t="s">
        <v>3070</v>
      </c>
      <c r="J589" t="s">
        <v>4038</v>
      </c>
      <c r="K589">
        <v>9</v>
      </c>
      <c r="L589" t="s">
        <v>4276</v>
      </c>
      <c r="M589" t="s">
        <v>4282</v>
      </c>
      <c r="N589">
        <v>2651.7</v>
      </c>
      <c r="O589" t="s">
        <v>4290</v>
      </c>
      <c r="P589" t="s">
        <v>2572</v>
      </c>
      <c r="Q589" t="s">
        <v>3066</v>
      </c>
      <c r="R589" t="s">
        <v>4282</v>
      </c>
      <c r="S589">
        <v>294.63</v>
      </c>
    </row>
    <row r="590" spans="1:19" x14ac:dyDescent="0.3">
      <c r="A590" t="s">
        <v>846</v>
      </c>
      <c r="B590" s="3">
        <v>45363</v>
      </c>
      <c r="C590" t="s">
        <v>2042</v>
      </c>
      <c r="D590" t="s">
        <v>2406</v>
      </c>
      <c r="E590">
        <v>5</v>
      </c>
      <c r="F590">
        <v>485.71</v>
      </c>
      <c r="G590" t="s">
        <v>2423</v>
      </c>
      <c r="H590" t="s">
        <v>3066</v>
      </c>
      <c r="I590" t="s">
        <v>3074</v>
      </c>
      <c r="J590" t="s">
        <v>3907</v>
      </c>
      <c r="K590">
        <v>10</v>
      </c>
      <c r="L590" t="s">
        <v>4275</v>
      </c>
      <c r="M590" t="s">
        <v>4279</v>
      </c>
      <c r="N590">
        <v>2428.5500000000002</v>
      </c>
      <c r="O590" t="s">
        <v>4290</v>
      </c>
      <c r="P590" t="s">
        <v>2423</v>
      </c>
      <c r="Q590" t="s">
        <v>3066</v>
      </c>
      <c r="R590" t="s">
        <v>4279</v>
      </c>
      <c r="S590">
        <v>242.86</v>
      </c>
    </row>
    <row r="591" spans="1:19" x14ac:dyDescent="0.3">
      <c r="A591" t="s">
        <v>239</v>
      </c>
      <c r="B591" s="3">
        <v>45364</v>
      </c>
      <c r="C591" t="s">
        <v>1439</v>
      </c>
      <c r="D591" t="s">
        <v>2404</v>
      </c>
      <c r="E591">
        <v>3</v>
      </c>
      <c r="F591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>
        <v>8</v>
      </c>
      <c r="L591" t="s">
        <v>4275</v>
      </c>
      <c r="M591" t="s">
        <v>4282</v>
      </c>
      <c r="N591">
        <v>821.87999999999988</v>
      </c>
      <c r="O591" t="s">
        <v>4290</v>
      </c>
      <c r="P591" t="s">
        <v>2604</v>
      </c>
      <c r="Q591" t="s">
        <v>3065</v>
      </c>
      <c r="R591" t="s">
        <v>4282</v>
      </c>
      <c r="S591">
        <v>102.74</v>
      </c>
    </row>
    <row r="592" spans="1:19" x14ac:dyDescent="0.3">
      <c r="A592" t="s">
        <v>362</v>
      </c>
      <c r="B592" s="3">
        <v>45364</v>
      </c>
      <c r="C592" t="s">
        <v>1562</v>
      </c>
      <c r="D592" t="s">
        <v>2408</v>
      </c>
      <c r="E592">
        <v>3</v>
      </c>
      <c r="F592">
        <v>359.73</v>
      </c>
      <c r="G592" t="s">
        <v>2701</v>
      </c>
      <c r="H592" t="s">
        <v>3065</v>
      </c>
      <c r="I592" t="s">
        <v>3072</v>
      </c>
      <c r="J592" t="s">
        <v>3423</v>
      </c>
      <c r="K592">
        <v>7</v>
      </c>
      <c r="L592" t="s">
        <v>4276</v>
      </c>
      <c r="M592" t="s">
        <v>4280</v>
      </c>
      <c r="N592">
        <v>1079.19</v>
      </c>
      <c r="O592" t="s">
        <v>4290</v>
      </c>
      <c r="P592" t="s">
        <v>2701</v>
      </c>
      <c r="Q592" t="s">
        <v>3065</v>
      </c>
      <c r="R592" t="s">
        <v>4280</v>
      </c>
      <c r="S592">
        <v>154.16999999999999</v>
      </c>
    </row>
    <row r="593" spans="1:19" x14ac:dyDescent="0.3">
      <c r="A593" t="s">
        <v>1201</v>
      </c>
      <c r="B593" s="3">
        <v>45364</v>
      </c>
      <c r="C593" t="s">
        <v>2390</v>
      </c>
      <c r="D593" t="s">
        <v>2409</v>
      </c>
      <c r="E593">
        <v>2</v>
      </c>
      <c r="F593">
        <v>184.6</v>
      </c>
      <c r="G593" t="s">
        <v>2613</v>
      </c>
      <c r="H593" t="s">
        <v>3068</v>
      </c>
      <c r="I593" t="s">
        <v>3073</v>
      </c>
      <c r="J593" t="s">
        <v>4262</v>
      </c>
      <c r="K593">
        <v>7</v>
      </c>
      <c r="L593" t="s">
        <v>4277</v>
      </c>
      <c r="M593" t="s">
        <v>4280</v>
      </c>
      <c r="N593">
        <v>369.2</v>
      </c>
      <c r="O593" t="s">
        <v>4290</v>
      </c>
      <c r="P593" t="s">
        <v>2613</v>
      </c>
      <c r="Q593" t="s">
        <v>3068</v>
      </c>
      <c r="R593" t="s">
        <v>4280</v>
      </c>
      <c r="S593">
        <v>52.74</v>
      </c>
    </row>
    <row r="594" spans="1:19" x14ac:dyDescent="0.3">
      <c r="A594" t="s">
        <v>251</v>
      </c>
      <c r="B594" s="3">
        <v>45365</v>
      </c>
      <c r="C594" t="s">
        <v>1451</v>
      </c>
      <c r="D594" t="s">
        <v>2403</v>
      </c>
      <c r="E594">
        <v>3</v>
      </c>
      <c r="F594">
        <v>583.72</v>
      </c>
      <c r="G594" t="s">
        <v>2614</v>
      </c>
      <c r="H594" t="s">
        <v>3067</v>
      </c>
      <c r="I594" t="s">
        <v>3070</v>
      </c>
      <c r="J594" t="s">
        <v>3312</v>
      </c>
      <c r="K594">
        <v>5</v>
      </c>
      <c r="L594" t="s">
        <v>4276</v>
      </c>
      <c r="M594" t="s">
        <v>4281</v>
      </c>
      <c r="N594">
        <v>1751.16</v>
      </c>
      <c r="O594" t="s">
        <v>4290</v>
      </c>
      <c r="P594" t="s">
        <v>2614</v>
      </c>
      <c r="Q594" t="s">
        <v>3067</v>
      </c>
      <c r="R594" t="s">
        <v>4281</v>
      </c>
      <c r="S594">
        <v>350.23</v>
      </c>
    </row>
    <row r="595" spans="1:19" x14ac:dyDescent="0.3">
      <c r="A595" t="s">
        <v>525</v>
      </c>
      <c r="B595" s="3">
        <v>45366</v>
      </c>
      <c r="C595" t="s">
        <v>1725</v>
      </c>
      <c r="D595" t="s">
        <v>2403</v>
      </c>
      <c r="E595">
        <v>5</v>
      </c>
      <c r="F595">
        <v>575.24</v>
      </c>
      <c r="G595" t="s">
        <v>2450</v>
      </c>
      <c r="H595" t="s">
        <v>3069</v>
      </c>
      <c r="I595" t="s">
        <v>3073</v>
      </c>
      <c r="J595" t="s">
        <v>3586</v>
      </c>
      <c r="K595">
        <v>7</v>
      </c>
      <c r="L595" t="s">
        <v>4277</v>
      </c>
      <c r="M595" t="s">
        <v>4280</v>
      </c>
      <c r="N595">
        <v>2876.2</v>
      </c>
      <c r="O595" t="s">
        <v>4290</v>
      </c>
      <c r="P595" t="s">
        <v>2450</v>
      </c>
      <c r="Q595" t="s">
        <v>3069</v>
      </c>
      <c r="R595" t="s">
        <v>4280</v>
      </c>
      <c r="S595">
        <v>410.89</v>
      </c>
    </row>
    <row r="596" spans="1:19" x14ac:dyDescent="0.3">
      <c r="A596" t="s">
        <v>801</v>
      </c>
      <c r="B596" s="3">
        <v>45368</v>
      </c>
      <c r="C596" t="s">
        <v>1998</v>
      </c>
      <c r="D596" t="s">
        <v>2409</v>
      </c>
      <c r="E596">
        <v>4</v>
      </c>
      <c r="F596">
        <v>221.96</v>
      </c>
      <c r="G596" t="s">
        <v>2922</v>
      </c>
      <c r="H596" t="s">
        <v>3069</v>
      </c>
      <c r="I596" t="s">
        <v>3073</v>
      </c>
      <c r="J596" t="s">
        <v>3862</v>
      </c>
      <c r="K596">
        <v>7</v>
      </c>
      <c r="L596" t="s">
        <v>4283</v>
      </c>
      <c r="M596" t="s">
        <v>4282</v>
      </c>
      <c r="N596">
        <v>887.84</v>
      </c>
      <c r="O596" t="s">
        <v>4290</v>
      </c>
      <c r="P596" t="s">
        <v>2922</v>
      </c>
      <c r="Q596" t="s">
        <v>3069</v>
      </c>
      <c r="R596" t="s">
        <v>4282</v>
      </c>
      <c r="S596">
        <v>126.83</v>
      </c>
    </row>
    <row r="597" spans="1:19" x14ac:dyDescent="0.3">
      <c r="A597" t="s">
        <v>883</v>
      </c>
      <c r="B597" s="3">
        <v>45368</v>
      </c>
      <c r="C597" t="s">
        <v>2079</v>
      </c>
      <c r="D597" t="s">
        <v>2409</v>
      </c>
      <c r="E597">
        <v>2</v>
      </c>
      <c r="F59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>
        <v>5</v>
      </c>
      <c r="L597" t="s">
        <v>4277</v>
      </c>
      <c r="M597" t="s">
        <v>4282</v>
      </c>
      <c r="N597">
        <v>1067.9000000000001</v>
      </c>
      <c r="O597" t="s">
        <v>4290</v>
      </c>
      <c r="P597" t="s">
        <v>2566</v>
      </c>
      <c r="Q597" t="s">
        <v>3066</v>
      </c>
      <c r="R597" t="s">
        <v>4282</v>
      </c>
      <c r="S597">
        <v>213.58</v>
      </c>
    </row>
    <row r="598" spans="1:19" x14ac:dyDescent="0.3">
      <c r="A598" t="s">
        <v>735</v>
      </c>
      <c r="B598" s="3">
        <v>45369</v>
      </c>
      <c r="C598" t="s">
        <v>1932</v>
      </c>
      <c r="D598" t="s">
        <v>2409</v>
      </c>
      <c r="E598">
        <v>2</v>
      </c>
      <c r="F598">
        <v>118.59</v>
      </c>
      <c r="G598" t="s">
        <v>2893</v>
      </c>
      <c r="H598" t="s">
        <v>3067</v>
      </c>
      <c r="I598" t="s">
        <v>3073</v>
      </c>
      <c r="J598" t="s">
        <v>3796</v>
      </c>
      <c r="K598">
        <v>2</v>
      </c>
      <c r="L598" t="s">
        <v>4283</v>
      </c>
      <c r="M598" t="s">
        <v>4280</v>
      </c>
      <c r="N598">
        <v>237.18</v>
      </c>
      <c r="O598" t="s">
        <v>4290</v>
      </c>
      <c r="P598" t="s">
        <v>2893</v>
      </c>
      <c r="Q598" t="s">
        <v>3067</v>
      </c>
      <c r="R598" t="s">
        <v>4280</v>
      </c>
      <c r="S598">
        <v>118.59</v>
      </c>
    </row>
    <row r="599" spans="1:19" x14ac:dyDescent="0.3">
      <c r="A599" t="s">
        <v>940</v>
      </c>
      <c r="B599" s="3">
        <v>45371</v>
      </c>
      <c r="C599" t="s">
        <v>2136</v>
      </c>
      <c r="D599" t="s">
        <v>2409</v>
      </c>
      <c r="E599">
        <v>1</v>
      </c>
      <c r="F599">
        <v>26.95</v>
      </c>
      <c r="G599" t="s">
        <v>2774</v>
      </c>
      <c r="H599" t="s">
        <v>3069</v>
      </c>
      <c r="I599" t="s">
        <v>3073</v>
      </c>
      <c r="J599" t="s">
        <v>4001</v>
      </c>
      <c r="K599">
        <v>1</v>
      </c>
      <c r="L599" t="s">
        <v>4277</v>
      </c>
      <c r="M599" t="s">
        <v>4280</v>
      </c>
      <c r="N599">
        <v>26.95</v>
      </c>
      <c r="O599" t="s">
        <v>4290</v>
      </c>
      <c r="P599" t="s">
        <v>2774</v>
      </c>
      <c r="Q599" t="s">
        <v>3069</v>
      </c>
      <c r="R599" t="s">
        <v>4280</v>
      </c>
      <c r="S599">
        <v>26.95</v>
      </c>
    </row>
    <row r="600" spans="1:19" x14ac:dyDescent="0.3">
      <c r="A600" t="s">
        <v>1021</v>
      </c>
      <c r="B600" s="3">
        <v>45371</v>
      </c>
      <c r="C600" t="s">
        <v>1699</v>
      </c>
      <c r="D600" t="s">
        <v>2403</v>
      </c>
      <c r="E600">
        <v>2</v>
      </c>
      <c r="F600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>
        <v>4</v>
      </c>
      <c r="L600" t="s">
        <v>4277</v>
      </c>
      <c r="M600" t="s">
        <v>4281</v>
      </c>
      <c r="N600">
        <v>146.52000000000001</v>
      </c>
      <c r="O600" t="s">
        <v>4290</v>
      </c>
      <c r="P600" t="s">
        <v>2499</v>
      </c>
      <c r="Q600" t="s">
        <v>3069</v>
      </c>
      <c r="R600" t="s">
        <v>4281</v>
      </c>
      <c r="S600">
        <v>36.630000000000003</v>
      </c>
    </row>
    <row r="601" spans="1:19" x14ac:dyDescent="0.3">
      <c r="A601" t="s">
        <v>267</v>
      </c>
      <c r="B601" s="3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>
        <v>1654.96</v>
      </c>
      <c r="O601" t="s">
        <v>4290</v>
      </c>
      <c r="P601" t="s">
        <v>2503</v>
      </c>
      <c r="Q601" t="s">
        <v>3068</v>
      </c>
      <c r="R601" t="s">
        <v>4278</v>
      </c>
      <c r="S601">
        <v>236.42</v>
      </c>
    </row>
    <row r="602" spans="1:19" x14ac:dyDescent="0.3">
      <c r="A602" t="s">
        <v>459</v>
      </c>
      <c r="B602" s="3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>
        <v>487.21</v>
      </c>
      <c r="O602" t="s">
        <v>4290</v>
      </c>
      <c r="P602" t="s">
        <v>2757</v>
      </c>
      <c r="Q602" t="s">
        <v>3069</v>
      </c>
      <c r="R602" t="s">
        <v>4279</v>
      </c>
      <c r="S602">
        <v>162.4</v>
      </c>
    </row>
    <row r="603" spans="1:19" x14ac:dyDescent="0.3">
      <c r="A603" t="s">
        <v>75</v>
      </c>
      <c r="B603" s="3">
        <v>45375</v>
      </c>
      <c r="C603" t="s">
        <v>1275</v>
      </c>
      <c r="D603" t="s">
        <v>2409</v>
      </c>
      <c r="E603">
        <v>4</v>
      </c>
      <c r="F603">
        <v>122.2</v>
      </c>
      <c r="G603" t="s">
        <v>2467</v>
      </c>
      <c r="H603" t="s">
        <v>3069</v>
      </c>
      <c r="I603" t="s">
        <v>3073</v>
      </c>
      <c r="J603" t="s">
        <v>3136</v>
      </c>
      <c r="K603">
        <v>7</v>
      </c>
      <c r="L603" t="s">
        <v>4276</v>
      </c>
      <c r="M603" t="s">
        <v>4281</v>
      </c>
      <c r="N603">
        <v>488.8</v>
      </c>
      <c r="O603" t="s">
        <v>4290</v>
      </c>
      <c r="P603" t="s">
        <v>2467</v>
      </c>
      <c r="Q603" t="s">
        <v>3069</v>
      </c>
      <c r="R603" t="s">
        <v>4281</v>
      </c>
      <c r="S603">
        <v>69.83</v>
      </c>
    </row>
    <row r="604" spans="1:19" x14ac:dyDescent="0.3">
      <c r="A604" t="s">
        <v>187</v>
      </c>
      <c r="B604" s="3">
        <v>45375</v>
      </c>
      <c r="C604" t="s">
        <v>1387</v>
      </c>
      <c r="D604" t="s">
        <v>2404</v>
      </c>
      <c r="E604">
        <v>3</v>
      </c>
      <c r="F604">
        <v>664.46</v>
      </c>
      <c r="G604" t="s">
        <v>2565</v>
      </c>
      <c r="H604" t="s">
        <v>3066</v>
      </c>
      <c r="I604" t="s">
        <v>3073</v>
      </c>
      <c r="J604" t="s">
        <v>3248</v>
      </c>
      <c r="K604">
        <v>4</v>
      </c>
      <c r="L604" t="s">
        <v>4276</v>
      </c>
      <c r="M604" t="s">
        <v>4282</v>
      </c>
      <c r="N604">
        <v>1993.38</v>
      </c>
      <c r="O604" t="s">
        <v>4290</v>
      </c>
      <c r="P604" t="s">
        <v>2565</v>
      </c>
      <c r="Q604" t="s">
        <v>3066</v>
      </c>
      <c r="R604" t="s">
        <v>4282</v>
      </c>
      <c r="S604">
        <v>498.34</v>
      </c>
    </row>
    <row r="605" spans="1:19" x14ac:dyDescent="0.3">
      <c r="A605" t="s">
        <v>348</v>
      </c>
      <c r="B605" s="3">
        <v>45377</v>
      </c>
      <c r="C605" t="s">
        <v>1548</v>
      </c>
      <c r="D605" t="s">
        <v>2406</v>
      </c>
      <c r="E605">
        <v>4</v>
      </c>
      <c r="F605">
        <v>224.75</v>
      </c>
      <c r="G605" t="s">
        <v>2688</v>
      </c>
      <c r="H605" t="s">
        <v>3066</v>
      </c>
      <c r="I605" t="s">
        <v>3073</v>
      </c>
      <c r="J605" t="s">
        <v>3409</v>
      </c>
      <c r="K605">
        <v>7</v>
      </c>
      <c r="L605" t="s">
        <v>4277</v>
      </c>
      <c r="M605" t="s">
        <v>4281</v>
      </c>
      <c r="N605">
        <v>899</v>
      </c>
      <c r="O605" t="s">
        <v>4290</v>
      </c>
      <c r="P605" t="s">
        <v>2688</v>
      </c>
      <c r="Q605" t="s">
        <v>3066</v>
      </c>
      <c r="R605" t="s">
        <v>4281</v>
      </c>
      <c r="S605">
        <v>128.43</v>
      </c>
    </row>
    <row r="606" spans="1:19" x14ac:dyDescent="0.3">
      <c r="A606" t="s">
        <v>469</v>
      </c>
      <c r="B606" s="3">
        <v>45377</v>
      </c>
      <c r="C606" t="s">
        <v>1669</v>
      </c>
      <c r="D606" t="s">
        <v>2404</v>
      </c>
      <c r="E606">
        <v>1</v>
      </c>
      <c r="F606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>
        <v>2</v>
      </c>
      <c r="L606" t="s">
        <v>4275</v>
      </c>
      <c r="M606" t="s">
        <v>4279</v>
      </c>
      <c r="N606">
        <v>639.83000000000004</v>
      </c>
      <c r="O606" t="s">
        <v>4290</v>
      </c>
      <c r="P606" t="s">
        <v>2766</v>
      </c>
      <c r="Q606" t="s">
        <v>3065</v>
      </c>
      <c r="R606" t="s">
        <v>4279</v>
      </c>
      <c r="S606">
        <v>319.92</v>
      </c>
    </row>
    <row r="607" spans="1:19" x14ac:dyDescent="0.3">
      <c r="A607" t="s">
        <v>849</v>
      </c>
      <c r="B607" s="3">
        <v>45377</v>
      </c>
      <c r="C607" t="s">
        <v>2045</v>
      </c>
      <c r="D607" t="s">
        <v>2409</v>
      </c>
      <c r="E607">
        <v>1</v>
      </c>
      <c r="F607">
        <v>679.65</v>
      </c>
      <c r="G607" t="s">
        <v>2949</v>
      </c>
      <c r="H607" t="s">
        <v>3065</v>
      </c>
      <c r="I607" t="s">
        <v>3070</v>
      </c>
      <c r="J607" t="s">
        <v>3910</v>
      </c>
      <c r="K607">
        <v>6</v>
      </c>
      <c r="L607" t="s">
        <v>4276</v>
      </c>
      <c r="M607" t="s">
        <v>4282</v>
      </c>
      <c r="N607">
        <v>679.65</v>
      </c>
      <c r="O607" t="s">
        <v>4290</v>
      </c>
      <c r="P607" t="s">
        <v>2949</v>
      </c>
      <c r="Q607" t="s">
        <v>3065</v>
      </c>
      <c r="R607" t="s">
        <v>4282</v>
      </c>
      <c r="S607">
        <v>113.28</v>
      </c>
    </row>
    <row r="608" spans="1:19" x14ac:dyDescent="0.3">
      <c r="A608" t="s">
        <v>634</v>
      </c>
      <c r="B608" s="3">
        <v>45378</v>
      </c>
      <c r="C608" t="s">
        <v>1833</v>
      </c>
      <c r="D608" t="s">
        <v>2405</v>
      </c>
      <c r="E608">
        <v>3</v>
      </c>
      <c r="F608">
        <v>136.34</v>
      </c>
      <c r="G608" t="s">
        <v>2846</v>
      </c>
      <c r="H608" t="s">
        <v>3065</v>
      </c>
      <c r="I608" t="s">
        <v>3072</v>
      </c>
      <c r="J608" t="s">
        <v>3695</v>
      </c>
      <c r="K608">
        <v>8</v>
      </c>
      <c r="L608" t="s">
        <v>4275</v>
      </c>
      <c r="M608" t="s">
        <v>4279</v>
      </c>
      <c r="N608">
        <v>409.02</v>
      </c>
      <c r="O608" t="s">
        <v>4290</v>
      </c>
      <c r="P608" t="s">
        <v>2846</v>
      </c>
      <c r="Q608" t="s">
        <v>3065</v>
      </c>
      <c r="R608" t="s">
        <v>4279</v>
      </c>
      <c r="S608">
        <v>51.13</v>
      </c>
    </row>
    <row r="609" spans="1:19" x14ac:dyDescent="0.3">
      <c r="A609" t="s">
        <v>175</v>
      </c>
      <c r="B609" s="3">
        <v>45380</v>
      </c>
      <c r="C609" t="s">
        <v>1375</v>
      </c>
      <c r="D609" t="s">
        <v>2403</v>
      </c>
      <c r="E609">
        <v>1</v>
      </c>
      <c r="F609">
        <v>211.14</v>
      </c>
      <c r="G609" t="s">
        <v>2532</v>
      </c>
      <c r="H609" t="s">
        <v>3067</v>
      </c>
      <c r="I609" t="s">
        <v>3071</v>
      </c>
      <c r="J609" t="s">
        <v>3236</v>
      </c>
      <c r="K609">
        <v>1</v>
      </c>
      <c r="L609" t="s">
        <v>4275</v>
      </c>
      <c r="M609" t="s">
        <v>4281</v>
      </c>
      <c r="N609">
        <v>211.14</v>
      </c>
      <c r="O609" t="s">
        <v>4290</v>
      </c>
      <c r="P609" t="s">
        <v>2532</v>
      </c>
      <c r="Q609" t="s">
        <v>3067</v>
      </c>
      <c r="R609" t="s">
        <v>4281</v>
      </c>
      <c r="S609">
        <v>211.14</v>
      </c>
    </row>
    <row r="610" spans="1:19" x14ac:dyDescent="0.3">
      <c r="A610" t="s">
        <v>90</v>
      </c>
      <c r="B610" s="3">
        <v>45382</v>
      </c>
      <c r="C610" t="s">
        <v>1290</v>
      </c>
      <c r="D610" t="s">
        <v>2408</v>
      </c>
      <c r="E610">
        <v>4</v>
      </c>
      <c r="F610">
        <v>382.88</v>
      </c>
      <c r="G610" t="s">
        <v>2480</v>
      </c>
      <c r="H610" t="s">
        <v>3069</v>
      </c>
      <c r="I610" t="s">
        <v>3071</v>
      </c>
      <c r="J610" t="s">
        <v>3151</v>
      </c>
      <c r="K610">
        <v>6</v>
      </c>
      <c r="L610" t="s">
        <v>4277</v>
      </c>
      <c r="M610" t="s">
        <v>4280</v>
      </c>
      <c r="N610">
        <v>1531.52</v>
      </c>
      <c r="O610" t="s">
        <v>4290</v>
      </c>
      <c r="P610" t="s">
        <v>2480</v>
      </c>
      <c r="Q610" t="s">
        <v>3069</v>
      </c>
      <c r="R610" t="s">
        <v>4280</v>
      </c>
      <c r="S610">
        <v>255.25</v>
      </c>
    </row>
    <row r="611" spans="1:19" x14ac:dyDescent="0.3">
      <c r="A611" t="s">
        <v>794</v>
      </c>
      <c r="B611" s="3">
        <v>45382</v>
      </c>
      <c r="C611" t="s">
        <v>1991</v>
      </c>
      <c r="D611" t="s">
        <v>2408</v>
      </c>
      <c r="E611">
        <v>4</v>
      </c>
      <c r="F611">
        <v>184.48</v>
      </c>
      <c r="G611" t="s">
        <v>2755</v>
      </c>
      <c r="H611" t="s">
        <v>3066</v>
      </c>
      <c r="I611" t="s">
        <v>3071</v>
      </c>
      <c r="J611" t="s">
        <v>3855</v>
      </c>
      <c r="K611">
        <v>4</v>
      </c>
      <c r="L611" t="s">
        <v>4277</v>
      </c>
      <c r="M611" t="s">
        <v>4282</v>
      </c>
      <c r="N611">
        <v>737.92</v>
      </c>
      <c r="O611" t="s">
        <v>4290</v>
      </c>
      <c r="P611" t="s">
        <v>2755</v>
      </c>
      <c r="Q611" t="s">
        <v>3066</v>
      </c>
      <c r="R611" t="s">
        <v>4282</v>
      </c>
      <c r="S611">
        <v>184.48</v>
      </c>
    </row>
    <row r="612" spans="1:19" x14ac:dyDescent="0.3">
      <c r="A612" t="s">
        <v>198</v>
      </c>
      <c r="B612" s="3">
        <v>45386</v>
      </c>
      <c r="C612" t="s">
        <v>1398</v>
      </c>
      <c r="D612" t="s">
        <v>2405</v>
      </c>
      <c r="E612">
        <v>4</v>
      </c>
      <c r="F612">
        <v>214.54</v>
      </c>
      <c r="G612" t="s">
        <v>2576</v>
      </c>
      <c r="H612" t="s">
        <v>3068</v>
      </c>
      <c r="I612" t="s">
        <v>3071</v>
      </c>
      <c r="J612" t="s">
        <v>3259</v>
      </c>
      <c r="K612">
        <v>7</v>
      </c>
      <c r="L612" t="s">
        <v>4283</v>
      </c>
      <c r="M612" t="s">
        <v>4279</v>
      </c>
      <c r="N612">
        <v>858.16</v>
      </c>
      <c r="O612" t="s">
        <v>4290</v>
      </c>
      <c r="P612" t="s">
        <v>2576</v>
      </c>
      <c r="Q612" t="s">
        <v>3068</v>
      </c>
      <c r="R612" t="s">
        <v>4279</v>
      </c>
      <c r="S612">
        <v>122.59</v>
      </c>
    </row>
    <row r="613" spans="1:19" x14ac:dyDescent="0.3">
      <c r="A613" t="s">
        <v>990</v>
      </c>
      <c r="B613" s="3">
        <v>45386</v>
      </c>
      <c r="C613" t="s">
        <v>2183</v>
      </c>
      <c r="D613" t="s">
        <v>2405</v>
      </c>
      <c r="E613">
        <v>3</v>
      </c>
      <c r="F613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>
        <v>6</v>
      </c>
      <c r="L613" t="s">
        <v>4277</v>
      </c>
      <c r="M613" t="s">
        <v>4279</v>
      </c>
      <c r="N613">
        <v>1767.9</v>
      </c>
      <c r="O613" t="s">
        <v>4290</v>
      </c>
      <c r="P613" t="s">
        <v>2941</v>
      </c>
      <c r="Q613" t="s">
        <v>3067</v>
      </c>
      <c r="R613" t="s">
        <v>4279</v>
      </c>
      <c r="S613">
        <v>294.64999999999998</v>
      </c>
    </row>
    <row r="614" spans="1:19" x14ac:dyDescent="0.3">
      <c r="A614" t="s">
        <v>1007</v>
      </c>
      <c r="B614" s="3">
        <v>45388</v>
      </c>
      <c r="C614" t="s">
        <v>2200</v>
      </c>
      <c r="D614" t="s">
        <v>2403</v>
      </c>
      <c r="E614">
        <v>3</v>
      </c>
      <c r="F614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>
        <v>802.34999999999991</v>
      </c>
      <c r="O614" t="s">
        <v>4290</v>
      </c>
      <c r="P614" t="s">
        <v>3000</v>
      </c>
      <c r="Q614" t="s">
        <v>3068</v>
      </c>
      <c r="R614" t="s">
        <v>4278</v>
      </c>
      <c r="S614">
        <v>160.47</v>
      </c>
    </row>
    <row r="615" spans="1:19" x14ac:dyDescent="0.3">
      <c r="A615" t="s">
        <v>1033</v>
      </c>
      <c r="B615" s="3">
        <v>45388</v>
      </c>
      <c r="C615" t="s">
        <v>2225</v>
      </c>
      <c r="D615" t="s">
        <v>2409</v>
      </c>
      <c r="E615">
        <v>1</v>
      </c>
      <c r="F615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>
        <v>2</v>
      </c>
      <c r="L615" t="s">
        <v>4275</v>
      </c>
      <c r="M615" t="s">
        <v>4279</v>
      </c>
      <c r="N615">
        <v>277.08999999999997</v>
      </c>
      <c r="O615" t="s">
        <v>4290</v>
      </c>
      <c r="P615" t="s">
        <v>2694</v>
      </c>
      <c r="Q615" t="s">
        <v>3069</v>
      </c>
      <c r="R615" t="s">
        <v>4279</v>
      </c>
      <c r="S615">
        <v>138.54</v>
      </c>
    </row>
    <row r="616" spans="1:19" x14ac:dyDescent="0.3">
      <c r="A616" t="s">
        <v>183</v>
      </c>
      <c r="B616" s="3">
        <v>45389</v>
      </c>
      <c r="C616" t="s">
        <v>1383</v>
      </c>
      <c r="D616" t="s">
        <v>2407</v>
      </c>
      <c r="E616">
        <v>1</v>
      </c>
      <c r="F616">
        <v>427.82</v>
      </c>
      <c r="G616" t="s">
        <v>2562</v>
      </c>
      <c r="H616" t="s">
        <v>3066</v>
      </c>
      <c r="I616" t="s">
        <v>3073</v>
      </c>
      <c r="J616" t="s">
        <v>3244</v>
      </c>
      <c r="K616">
        <v>2</v>
      </c>
      <c r="L616" t="s">
        <v>4277</v>
      </c>
      <c r="M616" t="s">
        <v>4280</v>
      </c>
      <c r="N616">
        <v>427.82</v>
      </c>
      <c r="O616" t="s">
        <v>4290</v>
      </c>
      <c r="P616" t="s">
        <v>2562</v>
      </c>
      <c r="Q616" t="s">
        <v>3066</v>
      </c>
      <c r="R616" t="s">
        <v>4280</v>
      </c>
      <c r="S616">
        <v>213.91</v>
      </c>
    </row>
    <row r="617" spans="1:19" x14ac:dyDescent="0.3">
      <c r="A617" t="s">
        <v>372</v>
      </c>
      <c r="B617" s="3">
        <v>45389</v>
      </c>
      <c r="C617" t="s">
        <v>1572</v>
      </c>
      <c r="D617" t="s">
        <v>2405</v>
      </c>
      <c r="E617">
        <v>2</v>
      </c>
      <c r="F617">
        <v>183.67</v>
      </c>
      <c r="G617" t="s">
        <v>2710</v>
      </c>
      <c r="H617" t="s">
        <v>3066</v>
      </c>
      <c r="I617" t="s">
        <v>3071</v>
      </c>
      <c r="J617" t="s">
        <v>3433</v>
      </c>
      <c r="K617">
        <v>3</v>
      </c>
      <c r="L617" t="s">
        <v>4275</v>
      </c>
      <c r="M617" t="s">
        <v>4282</v>
      </c>
      <c r="N617">
        <v>367.34</v>
      </c>
      <c r="O617" t="s">
        <v>4290</v>
      </c>
      <c r="P617" t="s">
        <v>2710</v>
      </c>
      <c r="Q617" t="s">
        <v>3066</v>
      </c>
      <c r="R617" t="s">
        <v>4282</v>
      </c>
      <c r="S617">
        <v>122.45</v>
      </c>
    </row>
    <row r="618" spans="1:19" x14ac:dyDescent="0.3">
      <c r="A618" t="s">
        <v>461</v>
      </c>
      <c r="B618" s="3">
        <v>45389</v>
      </c>
      <c r="C618" t="s">
        <v>1661</v>
      </c>
      <c r="D618" t="s">
        <v>2407</v>
      </c>
      <c r="E618">
        <v>2</v>
      </c>
      <c r="F618">
        <v>416.81</v>
      </c>
      <c r="G618" t="s">
        <v>2759</v>
      </c>
      <c r="H618" t="s">
        <v>3069</v>
      </c>
      <c r="I618" t="s">
        <v>3072</v>
      </c>
      <c r="J618" t="s">
        <v>3522</v>
      </c>
      <c r="K618">
        <v>2</v>
      </c>
      <c r="L618" t="s">
        <v>4283</v>
      </c>
      <c r="M618" t="s">
        <v>4281</v>
      </c>
      <c r="N618">
        <v>833.62</v>
      </c>
      <c r="O618" t="s">
        <v>4290</v>
      </c>
      <c r="P618" t="s">
        <v>2759</v>
      </c>
      <c r="Q618" t="s">
        <v>3069</v>
      </c>
      <c r="R618" t="s">
        <v>4281</v>
      </c>
      <c r="S618">
        <v>416.81</v>
      </c>
    </row>
    <row r="619" spans="1:19" x14ac:dyDescent="0.3">
      <c r="A619" t="s">
        <v>514</v>
      </c>
      <c r="B619" s="3">
        <v>45389</v>
      </c>
      <c r="C619" t="s">
        <v>1714</v>
      </c>
      <c r="D619" t="s">
        <v>2408</v>
      </c>
      <c r="E619">
        <v>5</v>
      </c>
      <c r="F619">
        <v>508.59</v>
      </c>
      <c r="G619" t="s">
        <v>2792</v>
      </c>
      <c r="H619" t="s">
        <v>3069</v>
      </c>
      <c r="I619" t="s">
        <v>3072</v>
      </c>
      <c r="J619" t="s">
        <v>3575</v>
      </c>
      <c r="K619">
        <v>8</v>
      </c>
      <c r="L619" t="s">
        <v>4277</v>
      </c>
      <c r="M619" t="s">
        <v>4281</v>
      </c>
      <c r="N619">
        <v>2542.9499999999998</v>
      </c>
      <c r="O619" t="s">
        <v>4290</v>
      </c>
      <c r="P619" t="s">
        <v>2792</v>
      </c>
      <c r="Q619" t="s">
        <v>3069</v>
      </c>
      <c r="R619" t="s">
        <v>4281</v>
      </c>
      <c r="S619">
        <v>317.87</v>
      </c>
    </row>
    <row r="620" spans="1:19" x14ac:dyDescent="0.3">
      <c r="A620" t="s">
        <v>530</v>
      </c>
      <c r="B620" s="3">
        <v>45389</v>
      </c>
      <c r="C620" t="s">
        <v>1730</v>
      </c>
      <c r="D620" t="s">
        <v>2403</v>
      </c>
      <c r="E620">
        <v>3</v>
      </c>
      <c r="F620">
        <v>166.99</v>
      </c>
      <c r="G620" t="s">
        <v>2659</v>
      </c>
      <c r="H620" t="s">
        <v>3069</v>
      </c>
      <c r="I620" t="s">
        <v>3072</v>
      </c>
      <c r="J620" t="s">
        <v>3591</v>
      </c>
      <c r="K620">
        <v>8</v>
      </c>
      <c r="L620" t="s">
        <v>4283</v>
      </c>
      <c r="M620" t="s">
        <v>4281</v>
      </c>
      <c r="N620">
        <v>500.97</v>
      </c>
      <c r="O620" t="s">
        <v>4290</v>
      </c>
      <c r="P620" t="s">
        <v>2659</v>
      </c>
      <c r="Q620" t="s">
        <v>3069</v>
      </c>
      <c r="R620" t="s">
        <v>4281</v>
      </c>
      <c r="S620">
        <v>62.62</v>
      </c>
    </row>
    <row r="621" spans="1:19" x14ac:dyDescent="0.3">
      <c r="A621" t="s">
        <v>543</v>
      </c>
      <c r="B621" s="3">
        <v>45389</v>
      </c>
      <c r="C621" t="s">
        <v>1743</v>
      </c>
      <c r="D621" t="s">
        <v>2405</v>
      </c>
      <c r="E621">
        <v>2</v>
      </c>
      <c r="F621">
        <v>675.1</v>
      </c>
      <c r="G621" t="s">
        <v>2803</v>
      </c>
      <c r="H621" t="s">
        <v>3069</v>
      </c>
      <c r="I621" t="s">
        <v>3074</v>
      </c>
      <c r="J621" t="s">
        <v>3604</v>
      </c>
      <c r="K621">
        <v>4</v>
      </c>
      <c r="L621" t="s">
        <v>4276</v>
      </c>
      <c r="M621" t="s">
        <v>4282</v>
      </c>
      <c r="N621">
        <v>1350.2</v>
      </c>
      <c r="O621" t="s">
        <v>4290</v>
      </c>
      <c r="P621" t="s">
        <v>2803</v>
      </c>
      <c r="Q621" t="s">
        <v>3069</v>
      </c>
      <c r="R621" t="s">
        <v>4282</v>
      </c>
      <c r="S621">
        <v>337.55</v>
      </c>
    </row>
    <row r="622" spans="1:19" x14ac:dyDescent="0.3">
      <c r="A622" t="s">
        <v>899</v>
      </c>
      <c r="B622" s="3">
        <v>45389</v>
      </c>
      <c r="C622" t="s">
        <v>2095</v>
      </c>
      <c r="D622" t="s">
        <v>2408</v>
      </c>
      <c r="E622">
        <v>4</v>
      </c>
      <c r="F622">
        <v>515.59</v>
      </c>
      <c r="G622" t="s">
        <v>2969</v>
      </c>
      <c r="H622" t="s">
        <v>3067</v>
      </c>
      <c r="I622" t="s">
        <v>3070</v>
      </c>
      <c r="J622" t="s">
        <v>3960</v>
      </c>
      <c r="K622">
        <v>7</v>
      </c>
      <c r="L622" t="s">
        <v>4276</v>
      </c>
      <c r="M622" t="s">
        <v>4282</v>
      </c>
      <c r="N622">
        <v>2062.36</v>
      </c>
      <c r="O622" t="s">
        <v>4290</v>
      </c>
      <c r="P622" t="s">
        <v>2969</v>
      </c>
      <c r="Q622" t="s">
        <v>3067</v>
      </c>
      <c r="R622" t="s">
        <v>4282</v>
      </c>
      <c r="S622">
        <v>294.62</v>
      </c>
    </row>
    <row r="623" spans="1:19" x14ac:dyDescent="0.3">
      <c r="A623" t="s">
        <v>1123</v>
      </c>
      <c r="B623" s="3">
        <v>45390</v>
      </c>
      <c r="C623" t="s">
        <v>2314</v>
      </c>
      <c r="D623" t="s">
        <v>2407</v>
      </c>
      <c r="E623">
        <v>4</v>
      </c>
      <c r="F623">
        <v>77.47</v>
      </c>
      <c r="G623" t="s">
        <v>2768</v>
      </c>
      <c r="H623" t="s">
        <v>3068</v>
      </c>
      <c r="I623" t="s">
        <v>3072</v>
      </c>
      <c r="J623" t="s">
        <v>4184</v>
      </c>
      <c r="K623">
        <v>7</v>
      </c>
      <c r="L623" t="s">
        <v>4275</v>
      </c>
      <c r="M623" t="s">
        <v>4278</v>
      </c>
      <c r="N623">
        <v>309.88</v>
      </c>
      <c r="O623" t="s">
        <v>4290</v>
      </c>
      <c r="P623" t="s">
        <v>2768</v>
      </c>
      <c r="Q623" t="s">
        <v>3068</v>
      </c>
      <c r="R623" t="s">
        <v>4278</v>
      </c>
      <c r="S623">
        <v>44.27</v>
      </c>
    </row>
    <row r="624" spans="1:19" x14ac:dyDescent="0.3">
      <c r="A624" t="s">
        <v>531</v>
      </c>
      <c r="B624" s="3">
        <v>45391</v>
      </c>
      <c r="C624" t="s">
        <v>1731</v>
      </c>
      <c r="D624" t="s">
        <v>2405</v>
      </c>
      <c r="E624">
        <v>4</v>
      </c>
      <c r="F624">
        <v>198.35</v>
      </c>
      <c r="G624" t="s">
        <v>2781</v>
      </c>
      <c r="H624" t="s">
        <v>3069</v>
      </c>
      <c r="I624" t="s">
        <v>3071</v>
      </c>
      <c r="J624" t="s">
        <v>3592</v>
      </c>
      <c r="K624">
        <v>7</v>
      </c>
      <c r="L624" t="s">
        <v>4276</v>
      </c>
      <c r="M624" t="s">
        <v>4282</v>
      </c>
      <c r="N624">
        <v>793.4</v>
      </c>
      <c r="O624" t="s">
        <v>4290</v>
      </c>
      <c r="P624" t="s">
        <v>2781</v>
      </c>
      <c r="Q624" t="s">
        <v>3069</v>
      </c>
      <c r="R624" t="s">
        <v>4282</v>
      </c>
      <c r="S624">
        <v>113.34</v>
      </c>
    </row>
    <row r="625" spans="1:19" x14ac:dyDescent="0.3">
      <c r="A625" t="s">
        <v>823</v>
      </c>
      <c r="B625" s="3">
        <v>45391</v>
      </c>
      <c r="C625" t="s">
        <v>2019</v>
      </c>
      <c r="D625" t="s">
        <v>2409</v>
      </c>
      <c r="E625">
        <v>5</v>
      </c>
      <c r="F625">
        <v>217.43</v>
      </c>
      <c r="G625" t="s">
        <v>2470</v>
      </c>
      <c r="H625" t="s">
        <v>3065</v>
      </c>
      <c r="I625" t="s">
        <v>3070</v>
      </c>
      <c r="J625" t="s">
        <v>3884</v>
      </c>
      <c r="K625">
        <v>10</v>
      </c>
      <c r="L625" t="s">
        <v>4275</v>
      </c>
      <c r="M625" t="s">
        <v>4278</v>
      </c>
      <c r="N625">
        <v>1087.1500000000001</v>
      </c>
      <c r="O625" t="s">
        <v>4290</v>
      </c>
      <c r="P625" t="s">
        <v>2470</v>
      </c>
      <c r="Q625" t="s">
        <v>3065</v>
      </c>
      <c r="R625" t="s">
        <v>4278</v>
      </c>
      <c r="S625">
        <v>108.72</v>
      </c>
    </row>
    <row r="626" spans="1:19" x14ac:dyDescent="0.3">
      <c r="A626" t="s">
        <v>1147</v>
      </c>
      <c r="B626" s="3">
        <v>45391</v>
      </c>
      <c r="C626" t="s">
        <v>2337</v>
      </c>
      <c r="D626" t="s">
        <v>2407</v>
      </c>
      <c r="E626">
        <v>2</v>
      </c>
      <c r="F626">
        <v>467.91</v>
      </c>
      <c r="G626" t="s">
        <v>2597</v>
      </c>
      <c r="H626" t="s">
        <v>3068</v>
      </c>
      <c r="I626" t="s">
        <v>3072</v>
      </c>
      <c r="J626" t="s">
        <v>4208</v>
      </c>
      <c r="K626">
        <v>5</v>
      </c>
      <c r="L626" t="s">
        <v>4277</v>
      </c>
      <c r="M626" t="s">
        <v>4281</v>
      </c>
      <c r="N626">
        <v>935.82</v>
      </c>
      <c r="O626" t="s">
        <v>4290</v>
      </c>
      <c r="P626" t="s">
        <v>2597</v>
      </c>
      <c r="Q626" t="s">
        <v>3068</v>
      </c>
      <c r="R626" t="s">
        <v>4281</v>
      </c>
      <c r="S626">
        <v>187.16</v>
      </c>
    </row>
    <row r="627" spans="1:19" x14ac:dyDescent="0.3">
      <c r="A627" t="s">
        <v>353</v>
      </c>
      <c r="B627" s="3">
        <v>45392</v>
      </c>
      <c r="C627" t="s">
        <v>1553</v>
      </c>
      <c r="D627" t="s">
        <v>2407</v>
      </c>
      <c r="E627">
        <v>2</v>
      </c>
      <c r="F627">
        <v>236.33</v>
      </c>
      <c r="G627" t="s">
        <v>2692</v>
      </c>
      <c r="H627" t="s">
        <v>3066</v>
      </c>
      <c r="I627" t="s">
        <v>3074</v>
      </c>
      <c r="J627" t="s">
        <v>3414</v>
      </c>
      <c r="K627">
        <v>3</v>
      </c>
      <c r="L627" t="s">
        <v>4275</v>
      </c>
      <c r="M627" t="s">
        <v>4278</v>
      </c>
      <c r="N627">
        <v>472.66</v>
      </c>
      <c r="O627" t="s">
        <v>4290</v>
      </c>
      <c r="P627" t="s">
        <v>2692</v>
      </c>
      <c r="Q627" t="s">
        <v>3066</v>
      </c>
      <c r="R627" t="s">
        <v>4278</v>
      </c>
      <c r="S627">
        <v>157.55000000000001</v>
      </c>
    </row>
    <row r="628" spans="1:19" x14ac:dyDescent="0.3">
      <c r="A628" t="s">
        <v>647</v>
      </c>
      <c r="B628" s="3">
        <v>45392</v>
      </c>
      <c r="C628" t="s">
        <v>1846</v>
      </c>
      <c r="D628" t="s">
        <v>2408</v>
      </c>
      <c r="E628">
        <v>5</v>
      </c>
      <c r="F628">
        <v>601.72</v>
      </c>
      <c r="G628" t="s">
        <v>2728</v>
      </c>
      <c r="H628" t="s">
        <v>3068</v>
      </c>
      <c r="I628" t="s">
        <v>3071</v>
      </c>
      <c r="J628" t="s">
        <v>3708</v>
      </c>
      <c r="K628">
        <v>5</v>
      </c>
      <c r="L628" t="s">
        <v>4277</v>
      </c>
      <c r="M628" t="s">
        <v>4278</v>
      </c>
      <c r="N628">
        <v>3008.6</v>
      </c>
      <c r="O628" t="s">
        <v>4290</v>
      </c>
      <c r="P628" t="s">
        <v>2728</v>
      </c>
      <c r="Q628" t="s">
        <v>3068</v>
      </c>
      <c r="R628" t="s">
        <v>4278</v>
      </c>
      <c r="S628">
        <v>601.72</v>
      </c>
    </row>
    <row r="629" spans="1:19" x14ac:dyDescent="0.3">
      <c r="A629" t="s">
        <v>192</v>
      </c>
      <c r="B629" s="3">
        <v>45393</v>
      </c>
      <c r="C629" t="s">
        <v>1392</v>
      </c>
      <c r="D629" t="s">
        <v>2406</v>
      </c>
      <c r="E629">
        <v>4</v>
      </c>
      <c r="F629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>
        <v>5</v>
      </c>
      <c r="L629" t="s">
        <v>4275</v>
      </c>
      <c r="M629" t="s">
        <v>4282</v>
      </c>
      <c r="N629">
        <v>2048.2399999999998</v>
      </c>
      <c r="O629" t="s">
        <v>4290</v>
      </c>
      <c r="P629" t="s">
        <v>2570</v>
      </c>
      <c r="Q629" t="s">
        <v>3066</v>
      </c>
      <c r="R629" t="s">
        <v>4282</v>
      </c>
      <c r="S629">
        <v>409.65</v>
      </c>
    </row>
    <row r="630" spans="1:19" x14ac:dyDescent="0.3">
      <c r="A630" t="s">
        <v>848</v>
      </c>
      <c r="B630" s="3">
        <v>45393</v>
      </c>
      <c r="C630" t="s">
        <v>2044</v>
      </c>
      <c r="D630" t="s">
        <v>2407</v>
      </c>
      <c r="E630">
        <v>5</v>
      </c>
      <c r="F630">
        <v>22.14</v>
      </c>
      <c r="G630" t="s">
        <v>2616</v>
      </c>
      <c r="H630" t="s">
        <v>3069</v>
      </c>
      <c r="I630" t="s">
        <v>3072</v>
      </c>
      <c r="J630" t="s">
        <v>3909</v>
      </c>
      <c r="K630">
        <v>10</v>
      </c>
      <c r="L630" t="s">
        <v>4283</v>
      </c>
      <c r="M630" t="s">
        <v>4278</v>
      </c>
      <c r="N630">
        <v>110.7</v>
      </c>
      <c r="O630" t="s">
        <v>4290</v>
      </c>
      <c r="P630" t="s">
        <v>2616</v>
      </c>
      <c r="Q630" t="s">
        <v>3069</v>
      </c>
      <c r="R630" t="s">
        <v>4278</v>
      </c>
      <c r="S630">
        <v>11.07</v>
      </c>
    </row>
    <row r="631" spans="1:19" x14ac:dyDescent="0.3">
      <c r="A631" t="s">
        <v>852</v>
      </c>
      <c r="B631" s="3">
        <v>45393</v>
      </c>
      <c r="C631" t="s">
        <v>2048</v>
      </c>
      <c r="D631" t="s">
        <v>2409</v>
      </c>
      <c r="E631">
        <v>4</v>
      </c>
      <c r="F631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>
        <v>8</v>
      </c>
      <c r="L631" t="s">
        <v>4283</v>
      </c>
      <c r="M631" t="s">
        <v>4281</v>
      </c>
      <c r="N631">
        <v>2308.3200000000002</v>
      </c>
      <c r="O631" t="s">
        <v>4290</v>
      </c>
      <c r="P631" t="s">
        <v>2475</v>
      </c>
      <c r="Q631" t="s">
        <v>3066</v>
      </c>
      <c r="R631" t="s">
        <v>4281</v>
      </c>
      <c r="S631">
        <v>288.54000000000002</v>
      </c>
    </row>
    <row r="632" spans="1:19" x14ac:dyDescent="0.3">
      <c r="A632" t="s">
        <v>970</v>
      </c>
      <c r="B632" s="3">
        <v>45393</v>
      </c>
      <c r="C632" t="s">
        <v>1995</v>
      </c>
      <c r="D632" t="s">
        <v>2404</v>
      </c>
      <c r="E632">
        <v>2</v>
      </c>
      <c r="F632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>
        <v>3</v>
      </c>
      <c r="L632" t="s">
        <v>4275</v>
      </c>
      <c r="M632" t="s">
        <v>4279</v>
      </c>
      <c r="N632">
        <v>321.95999999999998</v>
      </c>
      <c r="O632" t="s">
        <v>4290</v>
      </c>
      <c r="P632" t="s">
        <v>2987</v>
      </c>
      <c r="Q632" t="s">
        <v>3065</v>
      </c>
      <c r="R632" t="s">
        <v>4279</v>
      </c>
      <c r="S632">
        <v>107.32</v>
      </c>
    </row>
    <row r="633" spans="1:19" x14ac:dyDescent="0.3">
      <c r="A633" t="s">
        <v>973</v>
      </c>
      <c r="B633" s="3">
        <v>45395</v>
      </c>
      <c r="C633" t="s">
        <v>2166</v>
      </c>
      <c r="D633" t="s">
        <v>2405</v>
      </c>
      <c r="E633">
        <v>2</v>
      </c>
      <c r="F633">
        <v>143.82</v>
      </c>
      <c r="G633" t="s">
        <v>2662</v>
      </c>
      <c r="H633" t="s">
        <v>3067</v>
      </c>
      <c r="I633" t="s">
        <v>3072</v>
      </c>
      <c r="J633" t="s">
        <v>4034</v>
      </c>
      <c r="K633">
        <v>6</v>
      </c>
      <c r="L633" t="s">
        <v>4275</v>
      </c>
      <c r="M633" t="s">
        <v>4278</v>
      </c>
      <c r="N633">
        <v>287.64</v>
      </c>
      <c r="O633" t="s">
        <v>4290</v>
      </c>
      <c r="P633" t="s">
        <v>2662</v>
      </c>
      <c r="Q633" t="s">
        <v>3067</v>
      </c>
      <c r="R633" t="s">
        <v>4278</v>
      </c>
      <c r="S633">
        <v>47.94</v>
      </c>
    </row>
    <row r="634" spans="1:19" x14ac:dyDescent="0.3">
      <c r="A634" t="s">
        <v>136</v>
      </c>
      <c r="B634" s="3">
        <v>45397</v>
      </c>
      <c r="C634" t="s">
        <v>1336</v>
      </c>
      <c r="D634" t="s">
        <v>2408</v>
      </c>
      <c r="E634">
        <v>2</v>
      </c>
      <c r="F634">
        <v>533.02</v>
      </c>
      <c r="G634" t="s">
        <v>2524</v>
      </c>
      <c r="H634" t="s">
        <v>3068</v>
      </c>
      <c r="I634" t="s">
        <v>3070</v>
      </c>
      <c r="J634" t="s">
        <v>3197</v>
      </c>
      <c r="K634">
        <v>2</v>
      </c>
      <c r="L634" t="s">
        <v>4283</v>
      </c>
      <c r="M634" t="s">
        <v>4281</v>
      </c>
      <c r="N634">
        <v>1066.04</v>
      </c>
      <c r="O634" t="s">
        <v>4290</v>
      </c>
      <c r="P634" t="s">
        <v>2524</v>
      </c>
      <c r="Q634" t="s">
        <v>3068</v>
      </c>
      <c r="R634" t="s">
        <v>4281</v>
      </c>
      <c r="S634">
        <v>533.02</v>
      </c>
    </row>
    <row r="635" spans="1:19" x14ac:dyDescent="0.3">
      <c r="A635" t="s">
        <v>573</v>
      </c>
      <c r="B635" s="3">
        <v>45397</v>
      </c>
      <c r="C635" t="s">
        <v>1773</v>
      </c>
      <c r="D635" t="s">
        <v>2409</v>
      </c>
      <c r="E635">
        <v>3</v>
      </c>
      <c r="F635">
        <v>157.4</v>
      </c>
      <c r="G635" t="s">
        <v>2790</v>
      </c>
      <c r="H635" t="s">
        <v>3065</v>
      </c>
      <c r="I635" t="s">
        <v>3071</v>
      </c>
      <c r="J635" t="s">
        <v>3634</v>
      </c>
      <c r="K635">
        <v>7</v>
      </c>
      <c r="L635" t="s">
        <v>4277</v>
      </c>
      <c r="M635" t="s">
        <v>4280</v>
      </c>
      <c r="N635">
        <v>472.2</v>
      </c>
      <c r="O635" t="s">
        <v>4290</v>
      </c>
      <c r="P635" t="s">
        <v>2790</v>
      </c>
      <c r="Q635" t="s">
        <v>3065</v>
      </c>
      <c r="R635" t="s">
        <v>4280</v>
      </c>
      <c r="S635">
        <v>67.459999999999994</v>
      </c>
    </row>
    <row r="636" spans="1:19" x14ac:dyDescent="0.3">
      <c r="A636" t="s">
        <v>677</v>
      </c>
      <c r="B636" s="3">
        <v>45397</v>
      </c>
      <c r="C636" t="s">
        <v>1876</v>
      </c>
      <c r="D636" t="s">
        <v>2403</v>
      </c>
      <c r="E636">
        <v>1</v>
      </c>
      <c r="F636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>
        <v>6</v>
      </c>
      <c r="L636" t="s">
        <v>4276</v>
      </c>
      <c r="M636" t="s">
        <v>4278</v>
      </c>
      <c r="N636">
        <v>72.599999999999994</v>
      </c>
      <c r="O636" t="s">
        <v>4290</v>
      </c>
      <c r="P636" t="s">
        <v>2800</v>
      </c>
      <c r="Q636" t="s">
        <v>3065</v>
      </c>
      <c r="R636" t="s">
        <v>4278</v>
      </c>
      <c r="S636">
        <v>12.1</v>
      </c>
    </row>
    <row r="637" spans="1:19" x14ac:dyDescent="0.3">
      <c r="A637" t="s">
        <v>807</v>
      </c>
      <c r="B637" s="3">
        <v>45397</v>
      </c>
      <c r="C637" t="s">
        <v>2004</v>
      </c>
      <c r="D637" t="s">
        <v>2406</v>
      </c>
      <c r="E637">
        <v>5</v>
      </c>
      <c r="F637">
        <v>170.22</v>
      </c>
      <c r="G637" t="s">
        <v>2745</v>
      </c>
      <c r="H637" t="s">
        <v>3065</v>
      </c>
      <c r="I637" t="s">
        <v>3073</v>
      </c>
      <c r="J637" t="s">
        <v>3868</v>
      </c>
      <c r="K637">
        <v>8</v>
      </c>
      <c r="L637" t="s">
        <v>4283</v>
      </c>
      <c r="M637" t="s">
        <v>4279</v>
      </c>
      <c r="N637">
        <v>851.1</v>
      </c>
      <c r="O637" t="s">
        <v>4290</v>
      </c>
      <c r="P637" t="s">
        <v>2745</v>
      </c>
      <c r="Q637" t="s">
        <v>3065</v>
      </c>
      <c r="R637" t="s">
        <v>4279</v>
      </c>
      <c r="S637">
        <v>106.39</v>
      </c>
    </row>
    <row r="638" spans="1:19" x14ac:dyDescent="0.3">
      <c r="A638" t="s">
        <v>188</v>
      </c>
      <c r="B638" s="3">
        <v>45398</v>
      </c>
      <c r="C638" t="s">
        <v>1388</v>
      </c>
      <c r="D638" t="s">
        <v>2407</v>
      </c>
      <c r="E638">
        <v>4</v>
      </c>
      <c r="F638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>
        <v>9</v>
      </c>
      <c r="L638" t="s">
        <v>4275</v>
      </c>
      <c r="M638" t="s">
        <v>4280</v>
      </c>
      <c r="N638">
        <v>2403.2399999999998</v>
      </c>
      <c r="O638" t="s">
        <v>4290</v>
      </c>
      <c r="P638" t="s">
        <v>2566</v>
      </c>
      <c r="Q638" t="s">
        <v>3065</v>
      </c>
      <c r="R638" t="s">
        <v>4280</v>
      </c>
      <c r="S638">
        <v>267.02999999999997</v>
      </c>
    </row>
    <row r="639" spans="1:19" x14ac:dyDescent="0.3">
      <c r="A639" t="s">
        <v>220</v>
      </c>
      <c r="B639" s="3">
        <v>45398</v>
      </c>
      <c r="C639" t="s">
        <v>1420</v>
      </c>
      <c r="D639" t="s">
        <v>2408</v>
      </c>
      <c r="E639">
        <v>4</v>
      </c>
      <c r="F639">
        <v>229.1</v>
      </c>
      <c r="G639" t="s">
        <v>2592</v>
      </c>
      <c r="H639" t="s">
        <v>3068</v>
      </c>
      <c r="I639" t="s">
        <v>3072</v>
      </c>
      <c r="J639" t="s">
        <v>3281</v>
      </c>
      <c r="K639">
        <v>8</v>
      </c>
      <c r="L639" t="s">
        <v>4277</v>
      </c>
      <c r="M639" t="s">
        <v>4280</v>
      </c>
      <c r="N639">
        <v>916.4</v>
      </c>
      <c r="O639" t="s">
        <v>4290</v>
      </c>
      <c r="P639" t="s">
        <v>2592</v>
      </c>
      <c r="Q639" t="s">
        <v>3068</v>
      </c>
      <c r="R639" t="s">
        <v>4280</v>
      </c>
      <c r="S639">
        <v>114.55</v>
      </c>
    </row>
    <row r="640" spans="1:19" x14ac:dyDescent="0.3">
      <c r="A640" t="s">
        <v>347</v>
      </c>
      <c r="B640" s="3">
        <v>45398</v>
      </c>
      <c r="C640" t="s">
        <v>1547</v>
      </c>
      <c r="D640" t="s">
        <v>2404</v>
      </c>
      <c r="E640">
        <v>1</v>
      </c>
      <c r="F640">
        <v>198.51</v>
      </c>
      <c r="G640" t="s">
        <v>2687</v>
      </c>
      <c r="H640" t="s">
        <v>3067</v>
      </c>
      <c r="I640" t="s">
        <v>3072</v>
      </c>
      <c r="J640" t="s">
        <v>3408</v>
      </c>
      <c r="K640">
        <v>5</v>
      </c>
      <c r="L640" t="s">
        <v>4277</v>
      </c>
      <c r="M640" t="s">
        <v>4278</v>
      </c>
      <c r="N640">
        <v>198.51</v>
      </c>
      <c r="O640" t="s">
        <v>4290</v>
      </c>
      <c r="P640" t="s">
        <v>2687</v>
      </c>
      <c r="Q640" t="s">
        <v>3067</v>
      </c>
      <c r="R640" t="s">
        <v>4278</v>
      </c>
      <c r="S640">
        <v>39.700000000000003</v>
      </c>
    </row>
    <row r="641" spans="1:19" x14ac:dyDescent="0.3">
      <c r="A641" t="s">
        <v>433</v>
      </c>
      <c r="B641" s="3">
        <v>45399</v>
      </c>
      <c r="C641" t="s">
        <v>1633</v>
      </c>
      <c r="D641" t="s">
        <v>2405</v>
      </c>
      <c r="E641">
        <v>2</v>
      </c>
      <c r="F641">
        <v>216.66</v>
      </c>
      <c r="G641" t="s">
        <v>2701</v>
      </c>
      <c r="H641" t="s">
        <v>3065</v>
      </c>
      <c r="I641" t="s">
        <v>3074</v>
      </c>
      <c r="J641" t="s">
        <v>3494</v>
      </c>
      <c r="K641">
        <v>6</v>
      </c>
      <c r="L641" t="s">
        <v>4276</v>
      </c>
      <c r="M641" t="s">
        <v>4278</v>
      </c>
      <c r="N641">
        <v>433.32</v>
      </c>
      <c r="O641" t="s">
        <v>4290</v>
      </c>
      <c r="P641" t="s">
        <v>2701</v>
      </c>
      <c r="Q641" t="s">
        <v>3065</v>
      </c>
      <c r="R641" t="s">
        <v>4278</v>
      </c>
      <c r="S641">
        <v>72.22</v>
      </c>
    </row>
    <row r="642" spans="1:19" x14ac:dyDescent="0.3">
      <c r="A642" t="s">
        <v>197</v>
      </c>
      <c r="B642" s="3">
        <v>45400</v>
      </c>
      <c r="C642" t="s">
        <v>1397</v>
      </c>
      <c r="D642" t="s">
        <v>2403</v>
      </c>
      <c r="E642">
        <v>5</v>
      </c>
      <c r="F642">
        <v>186.28</v>
      </c>
      <c r="G642" t="s">
        <v>2575</v>
      </c>
      <c r="H642" t="s">
        <v>3065</v>
      </c>
      <c r="I642" t="s">
        <v>3073</v>
      </c>
      <c r="J642" t="s">
        <v>3258</v>
      </c>
      <c r="K642">
        <v>8</v>
      </c>
      <c r="L642" t="s">
        <v>4275</v>
      </c>
      <c r="M642" t="s">
        <v>4280</v>
      </c>
      <c r="N642">
        <v>931.4</v>
      </c>
      <c r="O642" t="s">
        <v>4290</v>
      </c>
      <c r="P642" t="s">
        <v>2575</v>
      </c>
      <c r="Q642" t="s">
        <v>3065</v>
      </c>
      <c r="R642" t="s">
        <v>4280</v>
      </c>
      <c r="S642">
        <v>116.42</v>
      </c>
    </row>
    <row r="643" spans="1:19" x14ac:dyDescent="0.3">
      <c r="A643" t="s">
        <v>451</v>
      </c>
      <c r="B643" s="3">
        <v>45400</v>
      </c>
      <c r="C643" t="s">
        <v>1651</v>
      </c>
      <c r="D643" t="s">
        <v>2404</v>
      </c>
      <c r="E643">
        <v>1</v>
      </c>
      <c r="F643">
        <v>512.39</v>
      </c>
      <c r="G643" t="s">
        <v>2751</v>
      </c>
      <c r="H643" t="s">
        <v>3066</v>
      </c>
      <c r="I643" t="s">
        <v>3073</v>
      </c>
      <c r="J643" t="s">
        <v>3512</v>
      </c>
      <c r="K643">
        <v>2</v>
      </c>
      <c r="L643" t="s">
        <v>4276</v>
      </c>
      <c r="M643" t="s">
        <v>4278</v>
      </c>
      <c r="N643">
        <v>512.39</v>
      </c>
      <c r="O643" t="s">
        <v>4290</v>
      </c>
      <c r="P643" t="s">
        <v>2751</v>
      </c>
      <c r="Q643" t="s">
        <v>3066</v>
      </c>
      <c r="R643" t="s">
        <v>4278</v>
      </c>
      <c r="S643">
        <v>256.2</v>
      </c>
    </row>
    <row r="644" spans="1:19" x14ac:dyDescent="0.3">
      <c r="A644" t="s">
        <v>580</v>
      </c>
      <c r="B644" s="3">
        <v>45400</v>
      </c>
      <c r="C644" t="s">
        <v>1780</v>
      </c>
      <c r="D644" t="s">
        <v>2404</v>
      </c>
      <c r="E644">
        <v>4</v>
      </c>
      <c r="F644">
        <v>162.71</v>
      </c>
      <c r="G644" t="s">
        <v>2824</v>
      </c>
      <c r="H644" t="s">
        <v>3069</v>
      </c>
      <c r="I644" t="s">
        <v>3071</v>
      </c>
      <c r="J644" t="s">
        <v>3641</v>
      </c>
      <c r="K644">
        <v>7</v>
      </c>
      <c r="L644" t="s">
        <v>4276</v>
      </c>
      <c r="M644" t="s">
        <v>4280</v>
      </c>
      <c r="N644">
        <v>650.84</v>
      </c>
      <c r="O644" t="s">
        <v>4290</v>
      </c>
      <c r="P644" t="s">
        <v>2824</v>
      </c>
      <c r="Q644" t="s">
        <v>3069</v>
      </c>
      <c r="R644" t="s">
        <v>4280</v>
      </c>
      <c r="S644">
        <v>92.98</v>
      </c>
    </row>
    <row r="645" spans="1:19" x14ac:dyDescent="0.3">
      <c r="A645" t="s">
        <v>684</v>
      </c>
      <c r="B645" s="3">
        <v>45400</v>
      </c>
      <c r="C645" t="s">
        <v>1882</v>
      </c>
      <c r="D645" t="s">
        <v>2409</v>
      </c>
      <c r="E645">
        <v>4</v>
      </c>
      <c r="F645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>
        <v>8</v>
      </c>
      <c r="L645" t="s">
        <v>4276</v>
      </c>
      <c r="M645" t="s">
        <v>4282</v>
      </c>
      <c r="N645">
        <v>2156.8000000000002</v>
      </c>
      <c r="O645" t="s">
        <v>4290</v>
      </c>
      <c r="P645" t="s">
        <v>2710</v>
      </c>
      <c r="Q645" t="s">
        <v>3067</v>
      </c>
      <c r="R645" t="s">
        <v>4282</v>
      </c>
      <c r="S645">
        <v>269.60000000000002</v>
      </c>
    </row>
    <row r="646" spans="1:19" x14ac:dyDescent="0.3">
      <c r="A646" t="s">
        <v>394</v>
      </c>
      <c r="B646" s="3">
        <v>45402</v>
      </c>
      <c r="C646" t="s">
        <v>1594</v>
      </c>
      <c r="D646" t="s">
        <v>2407</v>
      </c>
      <c r="E646">
        <v>4</v>
      </c>
      <c r="F646">
        <v>331.9</v>
      </c>
      <c r="G646" t="s">
        <v>2640</v>
      </c>
      <c r="H646" t="s">
        <v>3069</v>
      </c>
      <c r="I646" t="s">
        <v>3074</v>
      </c>
      <c r="J646" t="s">
        <v>3455</v>
      </c>
      <c r="K646">
        <v>5</v>
      </c>
      <c r="L646" t="s">
        <v>4275</v>
      </c>
      <c r="M646" t="s">
        <v>4278</v>
      </c>
      <c r="N646">
        <v>1327.6</v>
      </c>
      <c r="O646" t="s">
        <v>4290</v>
      </c>
      <c r="P646" t="s">
        <v>2640</v>
      </c>
      <c r="Q646" t="s">
        <v>3069</v>
      </c>
      <c r="R646" t="s">
        <v>4278</v>
      </c>
      <c r="S646">
        <v>265.52</v>
      </c>
    </row>
    <row r="647" spans="1:19" x14ac:dyDescent="0.3">
      <c r="A647" t="s">
        <v>536</v>
      </c>
      <c r="B647" s="3">
        <v>45402</v>
      </c>
      <c r="C647" t="s">
        <v>1736</v>
      </c>
      <c r="D647" t="s">
        <v>2406</v>
      </c>
      <c r="E647">
        <v>1</v>
      </c>
      <c r="F64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>
        <v>1</v>
      </c>
      <c r="L647" t="s">
        <v>4276</v>
      </c>
      <c r="M647" t="s">
        <v>4280</v>
      </c>
      <c r="N647">
        <v>515.32000000000005</v>
      </c>
      <c r="O647" t="s">
        <v>4290</v>
      </c>
      <c r="P647" t="s">
        <v>2650</v>
      </c>
      <c r="Q647" t="s">
        <v>3068</v>
      </c>
      <c r="R647" t="s">
        <v>4280</v>
      </c>
      <c r="S647">
        <v>515.32000000000005</v>
      </c>
    </row>
    <row r="648" spans="1:19" x14ac:dyDescent="0.3">
      <c r="A648" t="s">
        <v>124</v>
      </c>
      <c r="B648" s="3">
        <v>45403</v>
      </c>
      <c r="C648" t="s">
        <v>1324</v>
      </c>
      <c r="D648" t="s">
        <v>2405</v>
      </c>
      <c r="E648">
        <v>1</v>
      </c>
      <c r="F648">
        <v>220.77</v>
      </c>
      <c r="G648" t="s">
        <v>2513</v>
      </c>
      <c r="H648" t="s">
        <v>3068</v>
      </c>
      <c r="I648" t="s">
        <v>3074</v>
      </c>
      <c r="J648" t="s">
        <v>3185</v>
      </c>
      <c r="K648">
        <v>5</v>
      </c>
      <c r="L648" t="s">
        <v>4276</v>
      </c>
      <c r="M648" t="s">
        <v>4278</v>
      </c>
      <c r="N648">
        <v>220.77</v>
      </c>
      <c r="O648" t="s">
        <v>4290</v>
      </c>
      <c r="P648" t="s">
        <v>2513</v>
      </c>
      <c r="Q648" t="s">
        <v>3068</v>
      </c>
      <c r="R648" t="s">
        <v>4278</v>
      </c>
      <c r="S648">
        <v>44.15</v>
      </c>
    </row>
    <row r="649" spans="1:19" x14ac:dyDescent="0.3">
      <c r="A649" t="s">
        <v>209</v>
      </c>
      <c r="B649" s="3">
        <v>45404</v>
      </c>
      <c r="C649" t="s">
        <v>1409</v>
      </c>
      <c r="D649" t="s">
        <v>2406</v>
      </c>
      <c r="E649">
        <v>3</v>
      </c>
      <c r="F649">
        <v>619.21</v>
      </c>
      <c r="G649" t="s">
        <v>2586</v>
      </c>
      <c r="H649" t="s">
        <v>3065</v>
      </c>
      <c r="I649" t="s">
        <v>3071</v>
      </c>
      <c r="J649" t="s">
        <v>3270</v>
      </c>
      <c r="K649">
        <v>6</v>
      </c>
      <c r="L649" t="s">
        <v>4283</v>
      </c>
      <c r="M649" t="s">
        <v>4280</v>
      </c>
      <c r="N649">
        <v>1857.63</v>
      </c>
      <c r="O649" t="s">
        <v>4290</v>
      </c>
      <c r="P649" t="s">
        <v>2586</v>
      </c>
      <c r="Q649" t="s">
        <v>3065</v>
      </c>
      <c r="R649" t="s">
        <v>4280</v>
      </c>
      <c r="S649">
        <v>309.60000000000002</v>
      </c>
    </row>
    <row r="650" spans="1:19" x14ac:dyDescent="0.3">
      <c r="A650" t="s">
        <v>1034</v>
      </c>
      <c r="B650" s="3">
        <v>45404</v>
      </c>
      <c r="C650" t="s">
        <v>2226</v>
      </c>
      <c r="D650" t="s">
        <v>2405</v>
      </c>
      <c r="E650">
        <v>2</v>
      </c>
      <c r="F650">
        <v>26.5</v>
      </c>
      <c r="G650" t="s">
        <v>2714</v>
      </c>
      <c r="H650" t="s">
        <v>3066</v>
      </c>
      <c r="I650" t="s">
        <v>3073</v>
      </c>
      <c r="J650" t="s">
        <v>4095</v>
      </c>
      <c r="K650">
        <v>3</v>
      </c>
      <c r="L650" t="s">
        <v>4275</v>
      </c>
      <c r="M650" t="s">
        <v>4278</v>
      </c>
      <c r="N650">
        <v>53</v>
      </c>
      <c r="O650" t="s">
        <v>4290</v>
      </c>
      <c r="P650" t="s">
        <v>2714</v>
      </c>
      <c r="Q650" t="s">
        <v>3066</v>
      </c>
      <c r="R650" t="s">
        <v>4278</v>
      </c>
      <c r="S650">
        <v>17.670000000000002</v>
      </c>
    </row>
    <row r="651" spans="1:19" x14ac:dyDescent="0.3">
      <c r="A651" t="s">
        <v>271</v>
      </c>
      <c r="B651" s="3">
        <v>45405</v>
      </c>
      <c r="C651" t="s">
        <v>1471</v>
      </c>
      <c r="D651" t="s">
        <v>2404</v>
      </c>
      <c r="E651">
        <v>1</v>
      </c>
      <c r="F651">
        <v>406.22</v>
      </c>
      <c r="G651" t="s">
        <v>2630</v>
      </c>
      <c r="H651" t="s">
        <v>3067</v>
      </c>
      <c r="I651" t="s">
        <v>3071</v>
      </c>
      <c r="J651" t="s">
        <v>3332</v>
      </c>
      <c r="K651">
        <v>5</v>
      </c>
      <c r="L651" t="s">
        <v>4275</v>
      </c>
      <c r="M651" t="s">
        <v>4279</v>
      </c>
      <c r="N651">
        <v>406.22</v>
      </c>
      <c r="O651" t="s">
        <v>4290</v>
      </c>
      <c r="P651" t="s">
        <v>2630</v>
      </c>
      <c r="Q651" t="s">
        <v>3067</v>
      </c>
      <c r="R651" t="s">
        <v>4279</v>
      </c>
      <c r="S651">
        <v>81.239999999999995</v>
      </c>
    </row>
    <row r="652" spans="1:19" x14ac:dyDescent="0.3">
      <c r="A652" t="s">
        <v>606</v>
      </c>
      <c r="B652" s="3">
        <v>45405</v>
      </c>
      <c r="C652" t="s">
        <v>1806</v>
      </c>
      <c r="D652" t="s">
        <v>2404</v>
      </c>
      <c r="E652">
        <v>3</v>
      </c>
      <c r="F652">
        <v>204.27</v>
      </c>
      <c r="G652" t="s">
        <v>2803</v>
      </c>
      <c r="H652" t="s">
        <v>3066</v>
      </c>
      <c r="I652" t="s">
        <v>3072</v>
      </c>
      <c r="J652" t="s">
        <v>3667</v>
      </c>
      <c r="K652">
        <v>4</v>
      </c>
      <c r="L652" t="s">
        <v>4283</v>
      </c>
      <c r="M652" t="s">
        <v>4282</v>
      </c>
      <c r="N652">
        <v>612.81000000000006</v>
      </c>
      <c r="O652" t="s">
        <v>4290</v>
      </c>
      <c r="P652" t="s">
        <v>2803</v>
      </c>
      <c r="Q652" t="s">
        <v>3066</v>
      </c>
      <c r="R652" t="s">
        <v>4282</v>
      </c>
      <c r="S652">
        <v>153.19999999999999</v>
      </c>
    </row>
    <row r="653" spans="1:19" x14ac:dyDescent="0.3">
      <c r="A653" t="s">
        <v>1109</v>
      </c>
      <c r="B653" s="3">
        <v>45405</v>
      </c>
      <c r="C653" t="s">
        <v>2301</v>
      </c>
      <c r="D653" t="s">
        <v>2404</v>
      </c>
      <c r="E653">
        <v>2</v>
      </c>
      <c r="F653">
        <v>441.54</v>
      </c>
      <c r="G653" t="s">
        <v>3028</v>
      </c>
      <c r="H653" t="s">
        <v>3066</v>
      </c>
      <c r="I653" t="s">
        <v>3073</v>
      </c>
      <c r="J653" t="s">
        <v>4170</v>
      </c>
      <c r="K653">
        <v>2</v>
      </c>
      <c r="L653" t="s">
        <v>4275</v>
      </c>
      <c r="M653" t="s">
        <v>4280</v>
      </c>
      <c r="N653">
        <v>883.08</v>
      </c>
      <c r="O653" t="s">
        <v>4290</v>
      </c>
      <c r="P653" t="s">
        <v>3028</v>
      </c>
      <c r="Q653" t="s">
        <v>3066</v>
      </c>
      <c r="R653" t="s">
        <v>4280</v>
      </c>
      <c r="S653">
        <v>441.54</v>
      </c>
    </row>
    <row r="654" spans="1:19" x14ac:dyDescent="0.3">
      <c r="A654" t="s">
        <v>767</v>
      </c>
      <c r="B654" s="3">
        <v>45406</v>
      </c>
      <c r="C654" t="s">
        <v>1964</v>
      </c>
      <c r="D654" t="s">
        <v>2404</v>
      </c>
      <c r="E654">
        <v>2</v>
      </c>
      <c r="F654">
        <v>241.49</v>
      </c>
      <c r="G654" t="s">
        <v>2907</v>
      </c>
      <c r="H654" t="s">
        <v>3065</v>
      </c>
      <c r="I654" t="s">
        <v>3072</v>
      </c>
      <c r="J654" t="s">
        <v>3828</v>
      </c>
      <c r="K654">
        <v>7</v>
      </c>
      <c r="L654" t="s">
        <v>4276</v>
      </c>
      <c r="M654" t="s">
        <v>4278</v>
      </c>
      <c r="N654">
        <v>482.98</v>
      </c>
      <c r="O654" t="s">
        <v>4290</v>
      </c>
      <c r="P654" t="s">
        <v>2907</v>
      </c>
      <c r="Q654" t="s">
        <v>3065</v>
      </c>
      <c r="R654" t="s">
        <v>4278</v>
      </c>
      <c r="S654">
        <v>69</v>
      </c>
    </row>
    <row r="655" spans="1:19" x14ac:dyDescent="0.3">
      <c r="A655" t="s">
        <v>381</v>
      </c>
      <c r="B655" s="3">
        <v>45407</v>
      </c>
      <c r="C655" t="s">
        <v>1581</v>
      </c>
      <c r="D655" t="s">
        <v>2408</v>
      </c>
      <c r="E655">
        <v>5</v>
      </c>
      <c r="F655">
        <v>658.77</v>
      </c>
      <c r="G655" t="s">
        <v>2630</v>
      </c>
      <c r="H655" t="s">
        <v>3068</v>
      </c>
      <c r="I655" t="s">
        <v>3074</v>
      </c>
      <c r="J655" t="s">
        <v>3442</v>
      </c>
      <c r="K655">
        <v>10</v>
      </c>
      <c r="L655" t="s">
        <v>4276</v>
      </c>
      <c r="M655" t="s">
        <v>4278</v>
      </c>
      <c r="N655">
        <v>3293.85</v>
      </c>
      <c r="O655" t="s">
        <v>4290</v>
      </c>
      <c r="P655" t="s">
        <v>2630</v>
      </c>
      <c r="Q655" t="s">
        <v>3068</v>
      </c>
      <c r="R655" t="s">
        <v>4278</v>
      </c>
      <c r="S655">
        <v>329.38</v>
      </c>
    </row>
    <row r="656" spans="1:19" x14ac:dyDescent="0.3">
      <c r="A656" t="s">
        <v>648</v>
      </c>
      <c r="B656" s="3">
        <v>45407</v>
      </c>
      <c r="C656" t="s">
        <v>1847</v>
      </c>
      <c r="D656" t="s">
        <v>2407</v>
      </c>
      <c r="E656">
        <v>2</v>
      </c>
      <c r="F656">
        <v>259.32</v>
      </c>
      <c r="G656" t="s">
        <v>2852</v>
      </c>
      <c r="H656" t="s">
        <v>3068</v>
      </c>
      <c r="I656" t="s">
        <v>3073</v>
      </c>
      <c r="J656" t="s">
        <v>3709</v>
      </c>
      <c r="K656">
        <v>2</v>
      </c>
      <c r="L656" t="s">
        <v>4277</v>
      </c>
      <c r="M656" t="s">
        <v>4279</v>
      </c>
      <c r="N656">
        <v>518.64</v>
      </c>
      <c r="O656" t="s">
        <v>4290</v>
      </c>
      <c r="P656" t="s">
        <v>2852</v>
      </c>
      <c r="Q656" t="s">
        <v>3068</v>
      </c>
      <c r="R656" t="s">
        <v>4279</v>
      </c>
      <c r="S656">
        <v>259.32</v>
      </c>
    </row>
    <row r="657" spans="1:19" x14ac:dyDescent="0.3">
      <c r="A657" t="s">
        <v>612</v>
      </c>
      <c r="B657" s="3">
        <v>45408</v>
      </c>
      <c r="C657" t="s">
        <v>1812</v>
      </c>
      <c r="D657" t="s">
        <v>2409</v>
      </c>
      <c r="E657">
        <v>5</v>
      </c>
      <c r="F657">
        <v>495.35</v>
      </c>
      <c r="G657" t="s">
        <v>2693</v>
      </c>
      <c r="H657" t="s">
        <v>3067</v>
      </c>
      <c r="I657" t="s">
        <v>3074</v>
      </c>
      <c r="J657" t="s">
        <v>3673</v>
      </c>
      <c r="K657">
        <v>5</v>
      </c>
      <c r="L657" t="s">
        <v>4283</v>
      </c>
      <c r="M657" t="s">
        <v>4281</v>
      </c>
      <c r="N657">
        <v>2476.75</v>
      </c>
      <c r="O657" t="s">
        <v>4290</v>
      </c>
      <c r="P657" t="s">
        <v>2693</v>
      </c>
      <c r="Q657" t="s">
        <v>3067</v>
      </c>
      <c r="R657" t="s">
        <v>4281</v>
      </c>
      <c r="S657">
        <v>495.35</v>
      </c>
    </row>
    <row r="658" spans="1:19" x14ac:dyDescent="0.3">
      <c r="A658" t="s">
        <v>150</v>
      </c>
      <c r="B658" s="3">
        <v>45409</v>
      </c>
      <c r="C658" t="s">
        <v>1350</v>
      </c>
      <c r="D658" t="s">
        <v>2408</v>
      </c>
      <c r="E658">
        <v>1</v>
      </c>
      <c r="F658">
        <v>44.35</v>
      </c>
      <c r="G658" t="s">
        <v>2537</v>
      </c>
      <c r="H658" t="s">
        <v>3068</v>
      </c>
      <c r="I658" t="s">
        <v>3071</v>
      </c>
      <c r="J658" t="s">
        <v>3211</v>
      </c>
      <c r="K658">
        <v>1</v>
      </c>
      <c r="L658" t="s">
        <v>4275</v>
      </c>
      <c r="M658" t="s">
        <v>4278</v>
      </c>
      <c r="N658">
        <v>44.35</v>
      </c>
      <c r="O658" t="s">
        <v>4290</v>
      </c>
      <c r="P658" t="s">
        <v>2537</v>
      </c>
      <c r="Q658" t="s">
        <v>3068</v>
      </c>
      <c r="R658" t="s">
        <v>4278</v>
      </c>
      <c r="S658">
        <v>44.35</v>
      </c>
    </row>
    <row r="659" spans="1:19" x14ac:dyDescent="0.3">
      <c r="A659" t="s">
        <v>915</v>
      </c>
      <c r="B659" s="3">
        <v>45410</v>
      </c>
      <c r="C659" t="s">
        <v>2111</v>
      </c>
      <c r="D659" t="s">
        <v>2405</v>
      </c>
      <c r="E659">
        <v>1</v>
      </c>
      <c r="F659">
        <v>458.63</v>
      </c>
      <c r="G659" t="s">
        <v>2499</v>
      </c>
      <c r="H659" t="s">
        <v>3065</v>
      </c>
      <c r="I659" t="s">
        <v>3072</v>
      </c>
      <c r="J659" t="s">
        <v>3976</v>
      </c>
      <c r="K659">
        <v>4</v>
      </c>
      <c r="L659" t="s">
        <v>4277</v>
      </c>
      <c r="M659" t="s">
        <v>4279</v>
      </c>
      <c r="N659">
        <v>458.63</v>
      </c>
      <c r="O659" t="s">
        <v>4290</v>
      </c>
      <c r="P659" t="s">
        <v>2499</v>
      </c>
      <c r="Q659" t="s">
        <v>3065</v>
      </c>
      <c r="R659" t="s">
        <v>4279</v>
      </c>
      <c r="S659">
        <v>114.66</v>
      </c>
    </row>
    <row r="660" spans="1:19" x14ac:dyDescent="0.3">
      <c r="A660" t="s">
        <v>1010</v>
      </c>
      <c r="B660" s="3">
        <v>45410</v>
      </c>
      <c r="C660" t="s">
        <v>2203</v>
      </c>
      <c r="D660" t="s">
        <v>2403</v>
      </c>
      <c r="E660">
        <v>4</v>
      </c>
      <c r="F660">
        <v>473.86</v>
      </c>
      <c r="G660" t="s">
        <v>2677</v>
      </c>
      <c r="H660" t="s">
        <v>3065</v>
      </c>
      <c r="I660" t="s">
        <v>3073</v>
      </c>
      <c r="J660" t="s">
        <v>4071</v>
      </c>
      <c r="K660">
        <v>7</v>
      </c>
      <c r="L660" t="s">
        <v>4275</v>
      </c>
      <c r="M660" t="s">
        <v>4281</v>
      </c>
      <c r="N660">
        <v>1895.44</v>
      </c>
      <c r="O660" t="s">
        <v>4290</v>
      </c>
      <c r="P660" t="s">
        <v>2677</v>
      </c>
      <c r="Q660" t="s">
        <v>3065</v>
      </c>
      <c r="R660" t="s">
        <v>4281</v>
      </c>
      <c r="S660">
        <v>270.77999999999997</v>
      </c>
    </row>
    <row r="661" spans="1:19" x14ac:dyDescent="0.3">
      <c r="A661" t="s">
        <v>656</v>
      </c>
      <c r="B661" s="3">
        <v>45411</v>
      </c>
      <c r="C661" t="s">
        <v>1855</v>
      </c>
      <c r="D661" t="s">
        <v>2406</v>
      </c>
      <c r="E661">
        <v>5</v>
      </c>
      <c r="F661">
        <v>85.22</v>
      </c>
      <c r="G661" t="s">
        <v>2855</v>
      </c>
      <c r="H661" t="s">
        <v>3067</v>
      </c>
      <c r="I661" t="s">
        <v>3071</v>
      </c>
      <c r="J661" t="s">
        <v>3717</v>
      </c>
      <c r="K661">
        <v>7</v>
      </c>
      <c r="L661" t="s">
        <v>4276</v>
      </c>
      <c r="M661" t="s">
        <v>4280</v>
      </c>
      <c r="N661">
        <v>426.1</v>
      </c>
      <c r="O661" t="s">
        <v>4290</v>
      </c>
      <c r="P661" t="s">
        <v>2855</v>
      </c>
      <c r="Q661" t="s">
        <v>3067</v>
      </c>
      <c r="R661" t="s">
        <v>4280</v>
      </c>
      <c r="S661">
        <v>60.87</v>
      </c>
    </row>
    <row r="662" spans="1:19" x14ac:dyDescent="0.3">
      <c r="A662" t="s">
        <v>960</v>
      </c>
      <c r="B662" s="3">
        <v>45416</v>
      </c>
      <c r="C662" t="s">
        <v>2155</v>
      </c>
      <c r="D662" t="s">
        <v>2404</v>
      </c>
      <c r="E662">
        <v>2</v>
      </c>
      <c r="F662">
        <v>404.96</v>
      </c>
      <c r="G662" t="s">
        <v>2684</v>
      </c>
      <c r="H662" t="s">
        <v>3069</v>
      </c>
      <c r="I662" t="s">
        <v>3070</v>
      </c>
      <c r="J662" t="s">
        <v>4021</v>
      </c>
      <c r="K662">
        <v>4</v>
      </c>
      <c r="L662" t="s">
        <v>4275</v>
      </c>
      <c r="M662" t="s">
        <v>4280</v>
      </c>
      <c r="N662">
        <v>809.92</v>
      </c>
      <c r="O662" t="s">
        <v>4290</v>
      </c>
      <c r="P662" t="s">
        <v>2684</v>
      </c>
      <c r="Q662" t="s">
        <v>3069</v>
      </c>
      <c r="R662" t="s">
        <v>4280</v>
      </c>
      <c r="S662">
        <v>202.48</v>
      </c>
    </row>
    <row r="663" spans="1:19" x14ac:dyDescent="0.3">
      <c r="A663" t="s">
        <v>56</v>
      </c>
      <c r="B663" s="3">
        <v>45418</v>
      </c>
      <c r="C663" t="s">
        <v>1256</v>
      </c>
      <c r="D663" t="s">
        <v>2407</v>
      </c>
      <c r="E663">
        <v>2</v>
      </c>
      <c r="F663">
        <v>151.66</v>
      </c>
      <c r="G663" t="s">
        <v>2424</v>
      </c>
      <c r="H663" t="s">
        <v>3069</v>
      </c>
      <c r="I663" t="s">
        <v>3071</v>
      </c>
      <c r="J663" t="s">
        <v>3117</v>
      </c>
      <c r="K663">
        <v>6</v>
      </c>
      <c r="L663" t="s">
        <v>4283</v>
      </c>
      <c r="M663" t="s">
        <v>4278</v>
      </c>
      <c r="N663">
        <v>303.32</v>
      </c>
      <c r="O663" t="s">
        <v>4290</v>
      </c>
      <c r="P663" t="s">
        <v>2424</v>
      </c>
      <c r="Q663" t="s">
        <v>3069</v>
      </c>
      <c r="R663" t="s">
        <v>4278</v>
      </c>
      <c r="S663">
        <v>50.55</v>
      </c>
    </row>
    <row r="664" spans="1:19" x14ac:dyDescent="0.3">
      <c r="A664" t="s">
        <v>456</v>
      </c>
      <c r="B664" s="3">
        <v>45418</v>
      </c>
      <c r="C664" t="s">
        <v>1656</v>
      </c>
      <c r="D664" t="s">
        <v>2406</v>
      </c>
      <c r="E664">
        <v>5</v>
      </c>
      <c r="F664">
        <v>314.94</v>
      </c>
      <c r="G664" t="s">
        <v>2755</v>
      </c>
      <c r="H664" t="s">
        <v>3069</v>
      </c>
      <c r="I664" t="s">
        <v>3074</v>
      </c>
      <c r="J664" t="s">
        <v>3517</v>
      </c>
      <c r="K664">
        <v>8</v>
      </c>
      <c r="L664" t="s">
        <v>4275</v>
      </c>
      <c r="M664" t="s">
        <v>4278</v>
      </c>
      <c r="N664">
        <v>1574.7</v>
      </c>
      <c r="O664" t="s">
        <v>4290</v>
      </c>
      <c r="P664" t="s">
        <v>2755</v>
      </c>
      <c r="Q664" t="s">
        <v>3069</v>
      </c>
      <c r="R664" t="s">
        <v>4278</v>
      </c>
      <c r="S664">
        <v>196.84</v>
      </c>
    </row>
    <row r="665" spans="1:19" x14ac:dyDescent="0.3">
      <c r="A665" t="s">
        <v>1074</v>
      </c>
      <c r="B665" s="3">
        <v>45419</v>
      </c>
      <c r="C665" t="s">
        <v>2266</v>
      </c>
      <c r="D665" t="s">
        <v>2405</v>
      </c>
      <c r="E665">
        <v>2</v>
      </c>
      <c r="F665">
        <v>273.43</v>
      </c>
      <c r="G665" t="s">
        <v>2702</v>
      </c>
      <c r="H665" t="s">
        <v>3069</v>
      </c>
      <c r="I665" t="s">
        <v>3070</v>
      </c>
      <c r="J665" t="s">
        <v>4135</v>
      </c>
      <c r="K665">
        <v>7</v>
      </c>
      <c r="L665" t="s">
        <v>4277</v>
      </c>
      <c r="M665" t="s">
        <v>4279</v>
      </c>
      <c r="N665">
        <v>546.86</v>
      </c>
      <c r="O665" t="s">
        <v>4290</v>
      </c>
      <c r="P665" t="s">
        <v>2702</v>
      </c>
      <c r="Q665" t="s">
        <v>3069</v>
      </c>
      <c r="R665" t="s">
        <v>4279</v>
      </c>
      <c r="S665">
        <v>78.12</v>
      </c>
    </row>
    <row r="666" spans="1:19" x14ac:dyDescent="0.3">
      <c r="A666" t="s">
        <v>942</v>
      </c>
      <c r="B666" s="3">
        <v>45421</v>
      </c>
      <c r="C666" t="s">
        <v>2138</v>
      </c>
      <c r="D666" t="s">
        <v>2408</v>
      </c>
      <c r="E666">
        <v>3</v>
      </c>
      <c r="F666">
        <v>247.11</v>
      </c>
      <c r="G666" t="s">
        <v>2628</v>
      </c>
      <c r="H666" t="s">
        <v>3065</v>
      </c>
      <c r="I666" t="s">
        <v>3072</v>
      </c>
      <c r="J666" t="s">
        <v>4003</v>
      </c>
      <c r="K666">
        <v>3</v>
      </c>
      <c r="L666" t="s">
        <v>4277</v>
      </c>
      <c r="M666" t="s">
        <v>4279</v>
      </c>
      <c r="N666">
        <v>741.33</v>
      </c>
      <c r="O666" t="s">
        <v>4290</v>
      </c>
      <c r="P666" t="s">
        <v>2628</v>
      </c>
      <c r="Q666" t="s">
        <v>3065</v>
      </c>
      <c r="R666" t="s">
        <v>4279</v>
      </c>
      <c r="S666">
        <v>247.11</v>
      </c>
    </row>
    <row r="667" spans="1:19" x14ac:dyDescent="0.3">
      <c r="A667" t="s">
        <v>1005</v>
      </c>
      <c r="B667" s="3">
        <v>45421</v>
      </c>
      <c r="C667" t="s">
        <v>2198</v>
      </c>
      <c r="D667" t="s">
        <v>2409</v>
      </c>
      <c r="E667">
        <v>5</v>
      </c>
      <c r="F667">
        <v>127.18</v>
      </c>
      <c r="G667" t="s">
        <v>2538</v>
      </c>
      <c r="H667" t="s">
        <v>3065</v>
      </c>
      <c r="I667" t="s">
        <v>3071</v>
      </c>
      <c r="J667" t="s">
        <v>4066</v>
      </c>
      <c r="K667">
        <v>10</v>
      </c>
      <c r="L667" t="s">
        <v>4276</v>
      </c>
      <c r="M667" t="s">
        <v>4282</v>
      </c>
      <c r="N667">
        <v>635.90000000000009</v>
      </c>
      <c r="O667" t="s">
        <v>4290</v>
      </c>
      <c r="P667" t="s">
        <v>2538</v>
      </c>
      <c r="Q667" t="s">
        <v>3065</v>
      </c>
      <c r="R667" t="s">
        <v>4282</v>
      </c>
      <c r="S667">
        <v>63.59</v>
      </c>
    </row>
    <row r="668" spans="1:19" x14ac:dyDescent="0.3">
      <c r="A668" t="s">
        <v>619</v>
      </c>
      <c r="B668" s="3">
        <v>45422</v>
      </c>
      <c r="C668" t="s">
        <v>1818</v>
      </c>
      <c r="D668" t="s">
        <v>2403</v>
      </c>
      <c r="E668">
        <v>2</v>
      </c>
      <c r="F668">
        <v>228.91</v>
      </c>
      <c r="G668" t="s">
        <v>2838</v>
      </c>
      <c r="H668" t="s">
        <v>3065</v>
      </c>
      <c r="I668" t="s">
        <v>3070</v>
      </c>
      <c r="J668" t="s">
        <v>3680</v>
      </c>
      <c r="K668">
        <v>4</v>
      </c>
      <c r="L668" t="s">
        <v>4275</v>
      </c>
      <c r="M668" t="s">
        <v>4279</v>
      </c>
      <c r="N668">
        <v>457.82</v>
      </c>
      <c r="O668" t="s">
        <v>4290</v>
      </c>
      <c r="P668" t="s">
        <v>2838</v>
      </c>
      <c r="Q668" t="s">
        <v>3065</v>
      </c>
      <c r="R668" t="s">
        <v>4279</v>
      </c>
      <c r="S668">
        <v>114.46</v>
      </c>
    </row>
    <row r="669" spans="1:19" x14ac:dyDescent="0.3">
      <c r="A669" t="s">
        <v>1088</v>
      </c>
      <c r="B669" s="3">
        <v>45422</v>
      </c>
      <c r="C669" t="s">
        <v>2280</v>
      </c>
      <c r="D669" t="s">
        <v>2404</v>
      </c>
      <c r="E669">
        <v>1</v>
      </c>
      <c r="F669">
        <v>222.73</v>
      </c>
      <c r="G669" t="s">
        <v>3021</v>
      </c>
      <c r="H669" t="s">
        <v>3066</v>
      </c>
      <c r="I669" t="s">
        <v>3072</v>
      </c>
      <c r="J669" t="s">
        <v>4149</v>
      </c>
      <c r="K669">
        <v>4</v>
      </c>
      <c r="L669" t="s">
        <v>4283</v>
      </c>
      <c r="M669" t="s">
        <v>4282</v>
      </c>
      <c r="N669">
        <v>222.73</v>
      </c>
      <c r="O669" t="s">
        <v>4290</v>
      </c>
      <c r="P669" t="s">
        <v>3021</v>
      </c>
      <c r="Q669" t="s">
        <v>3066</v>
      </c>
      <c r="R669" t="s">
        <v>4282</v>
      </c>
      <c r="S669">
        <v>55.68</v>
      </c>
    </row>
    <row r="670" spans="1:19" x14ac:dyDescent="0.3">
      <c r="A670" t="s">
        <v>305</v>
      </c>
      <c r="B670" s="3">
        <v>45424</v>
      </c>
      <c r="C670" t="s">
        <v>1505</v>
      </c>
      <c r="D670" t="s">
        <v>2404</v>
      </c>
      <c r="E670">
        <v>2</v>
      </c>
      <c r="F670">
        <v>345.01</v>
      </c>
      <c r="G670" t="s">
        <v>2657</v>
      </c>
      <c r="H670" t="s">
        <v>3067</v>
      </c>
      <c r="I670" t="s">
        <v>3073</v>
      </c>
      <c r="J670" t="s">
        <v>3366</v>
      </c>
      <c r="K670">
        <v>6</v>
      </c>
      <c r="L670" t="s">
        <v>4276</v>
      </c>
      <c r="M670" t="s">
        <v>4282</v>
      </c>
      <c r="N670">
        <v>690.02</v>
      </c>
      <c r="O670" t="s">
        <v>4290</v>
      </c>
      <c r="P670" t="s">
        <v>2657</v>
      </c>
      <c r="Q670" t="s">
        <v>3067</v>
      </c>
      <c r="R670" t="s">
        <v>4282</v>
      </c>
      <c r="S670">
        <v>115</v>
      </c>
    </row>
    <row r="671" spans="1:19" x14ac:dyDescent="0.3">
      <c r="A671" t="s">
        <v>887</v>
      </c>
      <c r="B671" s="3">
        <v>45424</v>
      </c>
      <c r="C671" t="s">
        <v>2083</v>
      </c>
      <c r="D671" t="s">
        <v>2409</v>
      </c>
      <c r="E671">
        <v>3</v>
      </c>
      <c r="F671">
        <v>136.84</v>
      </c>
      <c r="G671" t="s">
        <v>2964</v>
      </c>
      <c r="H671" t="s">
        <v>3069</v>
      </c>
      <c r="I671" t="s">
        <v>3073</v>
      </c>
      <c r="J671" t="s">
        <v>3948</v>
      </c>
      <c r="K671">
        <v>3</v>
      </c>
      <c r="L671" t="s">
        <v>4275</v>
      </c>
      <c r="M671" t="s">
        <v>4281</v>
      </c>
      <c r="N671">
        <v>410.52</v>
      </c>
      <c r="O671" t="s">
        <v>4290</v>
      </c>
      <c r="P671" t="s">
        <v>2964</v>
      </c>
      <c r="Q671" t="s">
        <v>3069</v>
      </c>
      <c r="R671" t="s">
        <v>4281</v>
      </c>
      <c r="S671">
        <v>136.84</v>
      </c>
    </row>
    <row r="672" spans="1:19" x14ac:dyDescent="0.3">
      <c r="A672" t="s">
        <v>269</v>
      </c>
      <c r="B672" s="3">
        <v>45425</v>
      </c>
      <c r="C672" t="s">
        <v>1469</v>
      </c>
      <c r="D672" t="s">
        <v>2403</v>
      </c>
      <c r="E672">
        <v>1</v>
      </c>
      <c r="F672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>
        <v>2</v>
      </c>
      <c r="L672" t="s">
        <v>4275</v>
      </c>
      <c r="M672" t="s">
        <v>4282</v>
      </c>
      <c r="N672">
        <v>263.95999999999998</v>
      </c>
      <c r="O672" t="s">
        <v>4290</v>
      </c>
      <c r="P672" t="s">
        <v>2565</v>
      </c>
      <c r="Q672" t="s">
        <v>3068</v>
      </c>
      <c r="R672" t="s">
        <v>4282</v>
      </c>
      <c r="S672">
        <v>131.97999999999999</v>
      </c>
    </row>
    <row r="673" spans="1:19" x14ac:dyDescent="0.3">
      <c r="A673" t="s">
        <v>457</v>
      </c>
      <c r="B673" s="3">
        <v>45426</v>
      </c>
      <c r="C673" t="s">
        <v>1657</v>
      </c>
      <c r="D673" t="s">
        <v>2406</v>
      </c>
      <c r="E673">
        <v>2</v>
      </c>
      <c r="F673">
        <v>69.64</v>
      </c>
      <c r="G673" t="s">
        <v>2469</v>
      </c>
      <c r="H673" t="s">
        <v>3069</v>
      </c>
      <c r="I673" t="s">
        <v>3072</v>
      </c>
      <c r="J673" t="s">
        <v>3518</v>
      </c>
      <c r="K673">
        <v>6</v>
      </c>
      <c r="L673" t="s">
        <v>4283</v>
      </c>
      <c r="M673" t="s">
        <v>4281</v>
      </c>
      <c r="N673">
        <v>139.28</v>
      </c>
      <c r="O673" t="s">
        <v>4290</v>
      </c>
      <c r="P673" t="s">
        <v>2469</v>
      </c>
      <c r="Q673" t="s">
        <v>3069</v>
      </c>
      <c r="R673" t="s">
        <v>4281</v>
      </c>
      <c r="S673">
        <v>23.21</v>
      </c>
    </row>
    <row r="674" spans="1:19" x14ac:dyDescent="0.3">
      <c r="A674" t="s">
        <v>898</v>
      </c>
      <c r="B674" s="3">
        <v>45427</v>
      </c>
      <c r="C674" t="s">
        <v>2094</v>
      </c>
      <c r="D674" t="s">
        <v>2406</v>
      </c>
      <c r="E674">
        <v>1</v>
      </c>
      <c r="F674">
        <v>595.54</v>
      </c>
      <c r="G674" t="s">
        <v>2968</v>
      </c>
      <c r="H674" t="s">
        <v>3068</v>
      </c>
      <c r="I674" t="s">
        <v>3070</v>
      </c>
      <c r="J674" t="s">
        <v>3959</v>
      </c>
      <c r="K674">
        <v>4</v>
      </c>
      <c r="L674" t="s">
        <v>4283</v>
      </c>
      <c r="M674" t="s">
        <v>4278</v>
      </c>
      <c r="N674">
        <v>595.54</v>
      </c>
      <c r="O674" t="s">
        <v>4290</v>
      </c>
      <c r="P674" t="s">
        <v>2968</v>
      </c>
      <c r="Q674" t="s">
        <v>3068</v>
      </c>
      <c r="R674" t="s">
        <v>4278</v>
      </c>
      <c r="S674">
        <v>148.88</v>
      </c>
    </row>
    <row r="675" spans="1:19" x14ac:dyDescent="0.3">
      <c r="A675" t="s">
        <v>172</v>
      </c>
      <c r="B675" s="3">
        <v>45428</v>
      </c>
      <c r="C675" t="s">
        <v>1372</v>
      </c>
      <c r="D675" t="s">
        <v>2405</v>
      </c>
      <c r="E675">
        <v>1</v>
      </c>
      <c r="F675">
        <v>331.06</v>
      </c>
      <c r="G675" t="s">
        <v>2554</v>
      </c>
      <c r="H675" t="s">
        <v>3067</v>
      </c>
      <c r="I675" t="s">
        <v>3074</v>
      </c>
      <c r="J675" t="s">
        <v>3233</v>
      </c>
      <c r="K675">
        <v>5</v>
      </c>
      <c r="L675" t="s">
        <v>4277</v>
      </c>
      <c r="M675" t="s">
        <v>4278</v>
      </c>
      <c r="N675">
        <v>331.06</v>
      </c>
      <c r="O675" t="s">
        <v>4290</v>
      </c>
      <c r="P675" t="s">
        <v>2554</v>
      </c>
      <c r="Q675" t="s">
        <v>3067</v>
      </c>
      <c r="R675" t="s">
        <v>4278</v>
      </c>
      <c r="S675">
        <v>66.209999999999994</v>
      </c>
    </row>
    <row r="676" spans="1:19" x14ac:dyDescent="0.3">
      <c r="A676" t="s">
        <v>885</v>
      </c>
      <c r="B676" s="3">
        <v>45428</v>
      </c>
      <c r="C676" t="s">
        <v>2081</v>
      </c>
      <c r="D676" t="s">
        <v>2405</v>
      </c>
      <c r="E676">
        <v>3</v>
      </c>
      <c r="F676">
        <v>324.3</v>
      </c>
      <c r="G676" t="s">
        <v>2963</v>
      </c>
      <c r="H676" t="s">
        <v>3065</v>
      </c>
      <c r="I676" t="s">
        <v>3074</v>
      </c>
      <c r="J676" t="s">
        <v>3946</v>
      </c>
      <c r="K676">
        <v>8</v>
      </c>
      <c r="L676" t="s">
        <v>4276</v>
      </c>
      <c r="M676" t="s">
        <v>4280</v>
      </c>
      <c r="N676">
        <v>972.90000000000009</v>
      </c>
      <c r="O676" t="s">
        <v>4290</v>
      </c>
      <c r="P676" t="s">
        <v>2963</v>
      </c>
      <c r="Q676" t="s">
        <v>3065</v>
      </c>
      <c r="R676" t="s">
        <v>4280</v>
      </c>
      <c r="S676">
        <v>121.61</v>
      </c>
    </row>
    <row r="677" spans="1:19" x14ac:dyDescent="0.3">
      <c r="A677" t="s">
        <v>67</v>
      </c>
      <c r="B677" s="3">
        <v>45430</v>
      </c>
      <c r="C677" t="s">
        <v>1267</v>
      </c>
      <c r="D677" t="s">
        <v>2404</v>
      </c>
      <c r="E677">
        <v>4</v>
      </c>
      <c r="F677">
        <v>488.78</v>
      </c>
      <c r="G677" t="s">
        <v>2412</v>
      </c>
      <c r="H677" t="s">
        <v>3066</v>
      </c>
      <c r="I677" t="s">
        <v>3072</v>
      </c>
      <c r="J677" t="s">
        <v>3128</v>
      </c>
      <c r="K677">
        <v>5</v>
      </c>
      <c r="L677" t="s">
        <v>4276</v>
      </c>
      <c r="M677" t="s">
        <v>4282</v>
      </c>
      <c r="N677">
        <v>1955.12</v>
      </c>
      <c r="O677" t="s">
        <v>4290</v>
      </c>
      <c r="P677" t="s">
        <v>2412</v>
      </c>
      <c r="Q677" t="s">
        <v>3066</v>
      </c>
      <c r="R677" t="s">
        <v>4282</v>
      </c>
      <c r="S677">
        <v>391.02</v>
      </c>
    </row>
    <row r="678" spans="1:19" x14ac:dyDescent="0.3">
      <c r="A678" t="s">
        <v>231</v>
      </c>
      <c r="B678" s="3">
        <v>45432</v>
      </c>
      <c r="C678" t="s">
        <v>1431</v>
      </c>
      <c r="D678" t="s">
        <v>2409</v>
      </c>
      <c r="E678">
        <v>4</v>
      </c>
      <c r="F678">
        <v>321.51</v>
      </c>
      <c r="G678" t="s">
        <v>2598</v>
      </c>
      <c r="H678" t="s">
        <v>3069</v>
      </c>
      <c r="I678" t="s">
        <v>3072</v>
      </c>
      <c r="J678" t="s">
        <v>3292</v>
      </c>
      <c r="K678">
        <v>9</v>
      </c>
      <c r="L678" t="s">
        <v>4283</v>
      </c>
      <c r="M678" t="s">
        <v>4282</v>
      </c>
      <c r="N678">
        <v>1286.04</v>
      </c>
      <c r="O678" t="s">
        <v>4290</v>
      </c>
      <c r="P678" t="s">
        <v>2598</v>
      </c>
      <c r="Q678" t="s">
        <v>3069</v>
      </c>
      <c r="R678" t="s">
        <v>4282</v>
      </c>
      <c r="S678">
        <v>142.88999999999999</v>
      </c>
    </row>
    <row r="679" spans="1:19" x14ac:dyDescent="0.3">
      <c r="A679" t="s">
        <v>877</v>
      </c>
      <c r="B679" s="3">
        <v>45432</v>
      </c>
      <c r="C679" t="s">
        <v>2073</v>
      </c>
      <c r="D679" t="s">
        <v>2404</v>
      </c>
      <c r="E679">
        <v>1</v>
      </c>
      <c r="F679">
        <v>14.06</v>
      </c>
      <c r="G679" t="s">
        <v>2625</v>
      </c>
      <c r="H679" t="s">
        <v>3067</v>
      </c>
      <c r="I679" t="s">
        <v>3074</v>
      </c>
      <c r="J679" t="s">
        <v>3938</v>
      </c>
      <c r="K679">
        <v>5</v>
      </c>
      <c r="L679" t="s">
        <v>4275</v>
      </c>
      <c r="M679" t="s">
        <v>4279</v>
      </c>
      <c r="N679">
        <v>14.06</v>
      </c>
      <c r="O679" t="s">
        <v>4290</v>
      </c>
      <c r="P679" t="s">
        <v>2625</v>
      </c>
      <c r="Q679" t="s">
        <v>3067</v>
      </c>
      <c r="R679" t="s">
        <v>4279</v>
      </c>
      <c r="S679">
        <v>2.81</v>
      </c>
    </row>
    <row r="680" spans="1:19" x14ac:dyDescent="0.3">
      <c r="A680" t="s">
        <v>1131</v>
      </c>
      <c r="B680" s="3">
        <v>45432</v>
      </c>
      <c r="C680" t="s">
        <v>2322</v>
      </c>
      <c r="D680" t="s">
        <v>2406</v>
      </c>
      <c r="E680">
        <v>3</v>
      </c>
      <c r="F680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>
        <v>8</v>
      </c>
      <c r="L680" t="s">
        <v>4277</v>
      </c>
      <c r="M680" t="s">
        <v>4282</v>
      </c>
      <c r="N680">
        <v>1765.32</v>
      </c>
      <c r="O680" t="s">
        <v>4290</v>
      </c>
      <c r="P680" t="s">
        <v>2734</v>
      </c>
      <c r="Q680" t="s">
        <v>3068</v>
      </c>
      <c r="R680" t="s">
        <v>4282</v>
      </c>
      <c r="S680">
        <v>220.66</v>
      </c>
    </row>
    <row r="681" spans="1:19" x14ac:dyDescent="0.3">
      <c r="A681" t="s">
        <v>1041</v>
      </c>
      <c r="B681" s="3">
        <v>45433</v>
      </c>
      <c r="C681" t="s">
        <v>2233</v>
      </c>
      <c r="D681" t="s">
        <v>2408</v>
      </c>
      <c r="E681">
        <v>4</v>
      </c>
      <c r="F681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>
        <v>6</v>
      </c>
      <c r="L681" t="s">
        <v>4283</v>
      </c>
      <c r="M681" t="s">
        <v>4282</v>
      </c>
      <c r="N681">
        <v>2219.3200000000002</v>
      </c>
      <c r="O681" t="s">
        <v>4290</v>
      </c>
      <c r="P681" t="s">
        <v>2908</v>
      </c>
      <c r="Q681" t="s">
        <v>3069</v>
      </c>
      <c r="R681" t="s">
        <v>4282</v>
      </c>
      <c r="S681">
        <v>369.89</v>
      </c>
    </row>
    <row r="682" spans="1:19" x14ac:dyDescent="0.3">
      <c r="A682" t="s">
        <v>91</v>
      </c>
      <c r="B682" s="3">
        <v>45436</v>
      </c>
      <c r="C682" t="s">
        <v>1291</v>
      </c>
      <c r="D682" t="s">
        <v>2404</v>
      </c>
      <c r="E682">
        <v>1</v>
      </c>
      <c r="F682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>
        <v>5</v>
      </c>
      <c r="L682" t="s">
        <v>4283</v>
      </c>
      <c r="M682" t="s">
        <v>4282</v>
      </c>
      <c r="N682">
        <v>583.17999999999995</v>
      </c>
      <c r="O682" t="s">
        <v>4290</v>
      </c>
      <c r="P682" t="s">
        <v>2481</v>
      </c>
      <c r="Q682" t="s">
        <v>3067</v>
      </c>
      <c r="R682" t="s">
        <v>4282</v>
      </c>
      <c r="S682">
        <v>116.64</v>
      </c>
    </row>
    <row r="683" spans="1:19" x14ac:dyDescent="0.3">
      <c r="A683" t="s">
        <v>377</v>
      </c>
      <c r="B683" s="3">
        <v>45436</v>
      </c>
      <c r="C683" t="s">
        <v>1577</v>
      </c>
      <c r="D683" t="s">
        <v>2408</v>
      </c>
      <c r="E683">
        <v>5</v>
      </c>
      <c r="F683">
        <v>113.87</v>
      </c>
      <c r="G683" t="s">
        <v>2452</v>
      </c>
      <c r="H683" t="s">
        <v>3067</v>
      </c>
      <c r="I683" t="s">
        <v>3074</v>
      </c>
      <c r="J683" t="s">
        <v>3438</v>
      </c>
      <c r="K683">
        <v>6</v>
      </c>
      <c r="L683" t="s">
        <v>4275</v>
      </c>
      <c r="M683" t="s">
        <v>4280</v>
      </c>
      <c r="N683">
        <v>569.35</v>
      </c>
      <c r="O683" t="s">
        <v>4290</v>
      </c>
      <c r="P683" t="s">
        <v>2452</v>
      </c>
      <c r="Q683" t="s">
        <v>3067</v>
      </c>
      <c r="R683" t="s">
        <v>4280</v>
      </c>
      <c r="S683">
        <v>94.89</v>
      </c>
    </row>
    <row r="684" spans="1:19" x14ac:dyDescent="0.3">
      <c r="A684" t="s">
        <v>552</v>
      </c>
      <c r="B684" s="3">
        <v>45436</v>
      </c>
      <c r="C684" t="s">
        <v>1752</v>
      </c>
      <c r="D684" t="s">
        <v>2404</v>
      </c>
      <c r="E684">
        <v>3</v>
      </c>
      <c r="F684">
        <v>490.74</v>
      </c>
      <c r="G684" t="s">
        <v>2809</v>
      </c>
      <c r="H684" t="s">
        <v>3069</v>
      </c>
      <c r="I684" t="s">
        <v>3070</v>
      </c>
      <c r="J684" t="s">
        <v>3613</v>
      </c>
      <c r="K684">
        <v>3</v>
      </c>
      <c r="L684" t="s">
        <v>4277</v>
      </c>
      <c r="M684" t="s">
        <v>4280</v>
      </c>
      <c r="N684">
        <v>1472.22</v>
      </c>
      <c r="O684" t="s">
        <v>4290</v>
      </c>
      <c r="P684" t="s">
        <v>2809</v>
      </c>
      <c r="Q684" t="s">
        <v>3069</v>
      </c>
      <c r="R684" t="s">
        <v>4280</v>
      </c>
      <c r="S684">
        <v>490.74</v>
      </c>
    </row>
    <row r="685" spans="1:19" x14ac:dyDescent="0.3">
      <c r="A685" t="s">
        <v>1132</v>
      </c>
      <c r="B685" s="3">
        <v>45436</v>
      </c>
      <c r="C685" t="s">
        <v>2323</v>
      </c>
      <c r="D685" t="s">
        <v>2404</v>
      </c>
      <c r="E685">
        <v>3</v>
      </c>
      <c r="F685">
        <v>251.48</v>
      </c>
      <c r="G685" t="s">
        <v>2729</v>
      </c>
      <c r="H685" t="s">
        <v>3067</v>
      </c>
      <c r="I685" t="s">
        <v>3072</v>
      </c>
      <c r="J685" t="s">
        <v>4193</v>
      </c>
      <c r="K685">
        <v>4</v>
      </c>
      <c r="L685" t="s">
        <v>4283</v>
      </c>
      <c r="M685" t="s">
        <v>4280</v>
      </c>
      <c r="N685">
        <v>754.43999999999994</v>
      </c>
      <c r="O685" t="s">
        <v>4290</v>
      </c>
      <c r="P685" t="s">
        <v>2729</v>
      </c>
      <c r="Q685" t="s">
        <v>3067</v>
      </c>
      <c r="R685" t="s">
        <v>4280</v>
      </c>
      <c r="S685">
        <v>188.61</v>
      </c>
    </row>
    <row r="686" spans="1:19" x14ac:dyDescent="0.3">
      <c r="A686" t="s">
        <v>881</v>
      </c>
      <c r="B686" s="3">
        <v>45438</v>
      </c>
      <c r="C686" t="s">
        <v>2077</v>
      </c>
      <c r="D686" t="s">
        <v>2407</v>
      </c>
      <c r="E686">
        <v>4</v>
      </c>
      <c r="F686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>
        <v>4</v>
      </c>
      <c r="L686" t="s">
        <v>4276</v>
      </c>
      <c r="M686" t="s">
        <v>4281</v>
      </c>
      <c r="N686">
        <v>570.32000000000005</v>
      </c>
      <c r="O686" t="s">
        <v>4290</v>
      </c>
      <c r="P686" t="s">
        <v>2960</v>
      </c>
      <c r="Q686" t="s">
        <v>3069</v>
      </c>
      <c r="R686" t="s">
        <v>4281</v>
      </c>
      <c r="S686">
        <v>142.58000000000001</v>
      </c>
    </row>
    <row r="687" spans="1:19" x14ac:dyDescent="0.3">
      <c r="A687" t="s">
        <v>923</v>
      </c>
      <c r="B687" s="3">
        <v>45439</v>
      </c>
      <c r="C687" t="s">
        <v>2119</v>
      </c>
      <c r="D687" t="s">
        <v>2405</v>
      </c>
      <c r="E687">
        <v>2</v>
      </c>
      <c r="F68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>
        <v>5</v>
      </c>
      <c r="L687" t="s">
        <v>4276</v>
      </c>
      <c r="M687" t="s">
        <v>4278</v>
      </c>
      <c r="N687">
        <v>583.70000000000005</v>
      </c>
      <c r="O687" t="s">
        <v>4290</v>
      </c>
      <c r="P687" t="s">
        <v>2431</v>
      </c>
      <c r="Q687" t="s">
        <v>3069</v>
      </c>
      <c r="R687" t="s">
        <v>4278</v>
      </c>
      <c r="S687">
        <v>116.74</v>
      </c>
    </row>
    <row r="688" spans="1:19" x14ac:dyDescent="0.3">
      <c r="A688" t="s">
        <v>985</v>
      </c>
      <c r="B688" s="3">
        <v>45439</v>
      </c>
      <c r="C688" t="s">
        <v>2178</v>
      </c>
      <c r="D688" t="s">
        <v>2403</v>
      </c>
      <c r="E688">
        <v>2</v>
      </c>
      <c r="F688">
        <v>605.26</v>
      </c>
      <c r="G688" t="s">
        <v>2415</v>
      </c>
      <c r="H688" t="s">
        <v>3069</v>
      </c>
      <c r="I688" t="s">
        <v>3071</v>
      </c>
      <c r="J688" t="s">
        <v>4046</v>
      </c>
      <c r="K688">
        <v>4</v>
      </c>
      <c r="L688" t="s">
        <v>4277</v>
      </c>
      <c r="M688" t="s">
        <v>4279</v>
      </c>
      <c r="N688">
        <v>1210.52</v>
      </c>
      <c r="O688" t="s">
        <v>4290</v>
      </c>
      <c r="P688" t="s">
        <v>2415</v>
      </c>
      <c r="Q688" t="s">
        <v>3069</v>
      </c>
      <c r="R688" t="s">
        <v>4279</v>
      </c>
      <c r="S688">
        <v>302.63</v>
      </c>
    </row>
    <row r="689" spans="1:19" x14ac:dyDescent="0.3">
      <c r="A689" t="s">
        <v>1020</v>
      </c>
      <c r="B689" s="3">
        <v>45439</v>
      </c>
      <c r="C689" t="s">
        <v>2213</v>
      </c>
      <c r="D689" t="s">
        <v>2405</v>
      </c>
      <c r="E689">
        <v>5</v>
      </c>
      <c r="F689">
        <v>420.98</v>
      </c>
      <c r="G689" t="s">
        <v>2868</v>
      </c>
      <c r="H689" t="s">
        <v>3069</v>
      </c>
      <c r="I689" t="s">
        <v>3073</v>
      </c>
      <c r="J689" t="s">
        <v>4081</v>
      </c>
      <c r="K689">
        <v>7</v>
      </c>
      <c r="L689" t="s">
        <v>4275</v>
      </c>
      <c r="M689" t="s">
        <v>4281</v>
      </c>
      <c r="N689">
        <v>2104.9</v>
      </c>
      <c r="O689" t="s">
        <v>4290</v>
      </c>
      <c r="P689" t="s">
        <v>2868</v>
      </c>
      <c r="Q689" t="s">
        <v>3069</v>
      </c>
      <c r="R689" t="s">
        <v>4281</v>
      </c>
      <c r="S689">
        <v>300.7</v>
      </c>
    </row>
    <row r="690" spans="1:19" x14ac:dyDescent="0.3">
      <c r="A690" t="s">
        <v>498</v>
      </c>
      <c r="B690" s="3">
        <v>45441</v>
      </c>
      <c r="C690" t="s">
        <v>1698</v>
      </c>
      <c r="D690" t="s">
        <v>2406</v>
      </c>
      <c r="E690">
        <v>4</v>
      </c>
      <c r="F690">
        <v>15.01</v>
      </c>
      <c r="G690" t="s">
        <v>2736</v>
      </c>
      <c r="H690" t="s">
        <v>3069</v>
      </c>
      <c r="I690" t="s">
        <v>3071</v>
      </c>
      <c r="J690" t="s">
        <v>3559</v>
      </c>
      <c r="K690">
        <v>6</v>
      </c>
      <c r="L690" t="s">
        <v>4283</v>
      </c>
      <c r="M690" t="s">
        <v>4281</v>
      </c>
      <c r="N690">
        <v>60.04</v>
      </c>
      <c r="O690" t="s">
        <v>4290</v>
      </c>
      <c r="P690" t="s">
        <v>2736</v>
      </c>
      <c r="Q690" t="s">
        <v>3069</v>
      </c>
      <c r="R690" t="s">
        <v>4281</v>
      </c>
      <c r="S690">
        <v>10.01</v>
      </c>
    </row>
    <row r="691" spans="1:19" x14ac:dyDescent="0.3">
      <c r="A691" t="s">
        <v>590</v>
      </c>
      <c r="B691" s="3">
        <v>45441</v>
      </c>
      <c r="C691" t="s">
        <v>1790</v>
      </c>
      <c r="D691" t="s">
        <v>2408</v>
      </c>
      <c r="E691">
        <v>5</v>
      </c>
      <c r="F691">
        <v>79.08</v>
      </c>
      <c r="G691" t="s">
        <v>2710</v>
      </c>
      <c r="H691" t="s">
        <v>3069</v>
      </c>
      <c r="I691" t="s">
        <v>3074</v>
      </c>
      <c r="J691" t="s">
        <v>3651</v>
      </c>
      <c r="K691">
        <v>8</v>
      </c>
      <c r="L691" t="s">
        <v>4283</v>
      </c>
      <c r="M691" t="s">
        <v>4281</v>
      </c>
      <c r="N691">
        <v>395.4</v>
      </c>
      <c r="O691" t="s">
        <v>4290</v>
      </c>
      <c r="P691" t="s">
        <v>2710</v>
      </c>
      <c r="Q691" t="s">
        <v>3069</v>
      </c>
      <c r="R691" t="s">
        <v>4281</v>
      </c>
      <c r="S691">
        <v>49.42</v>
      </c>
    </row>
    <row r="692" spans="1:19" x14ac:dyDescent="0.3">
      <c r="A692" t="s">
        <v>1171</v>
      </c>
      <c r="B692" s="3">
        <v>45441</v>
      </c>
      <c r="C692" t="s">
        <v>2360</v>
      </c>
      <c r="D692" t="s">
        <v>2403</v>
      </c>
      <c r="E692">
        <v>3</v>
      </c>
      <c r="F692">
        <v>301.55</v>
      </c>
      <c r="G692" t="s">
        <v>2605</v>
      </c>
      <c r="H692" t="s">
        <v>3065</v>
      </c>
      <c r="I692" t="s">
        <v>3073</v>
      </c>
      <c r="J692" t="s">
        <v>4232</v>
      </c>
      <c r="K692">
        <v>5</v>
      </c>
      <c r="L692" t="s">
        <v>4276</v>
      </c>
      <c r="M692" t="s">
        <v>4282</v>
      </c>
      <c r="N692">
        <v>904.65000000000009</v>
      </c>
      <c r="O692" t="s">
        <v>4290</v>
      </c>
      <c r="P692" t="s">
        <v>2605</v>
      </c>
      <c r="Q692" t="s">
        <v>3065</v>
      </c>
      <c r="R692" t="s">
        <v>4282</v>
      </c>
      <c r="S692">
        <v>180.93</v>
      </c>
    </row>
    <row r="693" spans="1:19" x14ac:dyDescent="0.3">
      <c r="A693" t="s">
        <v>924</v>
      </c>
      <c r="B693" s="3">
        <v>45443</v>
      </c>
      <c r="C693" t="s">
        <v>2120</v>
      </c>
      <c r="D693" t="s">
        <v>2407</v>
      </c>
      <c r="E693">
        <v>3</v>
      </c>
      <c r="F693">
        <v>308.98</v>
      </c>
      <c r="G693" t="s">
        <v>2481</v>
      </c>
      <c r="H693" t="s">
        <v>3069</v>
      </c>
      <c r="I693" t="s">
        <v>3073</v>
      </c>
      <c r="J693" t="s">
        <v>3985</v>
      </c>
      <c r="K693">
        <v>3</v>
      </c>
      <c r="L693" t="s">
        <v>4275</v>
      </c>
      <c r="M693" t="s">
        <v>4278</v>
      </c>
      <c r="N693">
        <v>926.94</v>
      </c>
      <c r="O693" t="s">
        <v>4290</v>
      </c>
      <c r="P693" t="s">
        <v>2481</v>
      </c>
      <c r="Q693" t="s">
        <v>3069</v>
      </c>
      <c r="R693" t="s">
        <v>4278</v>
      </c>
      <c r="S693">
        <v>308.98</v>
      </c>
    </row>
    <row r="694" spans="1:19" x14ac:dyDescent="0.3">
      <c r="A694" t="s">
        <v>964</v>
      </c>
      <c r="B694" s="3">
        <v>45443</v>
      </c>
      <c r="C694" t="s">
        <v>2158</v>
      </c>
      <c r="D694" t="s">
        <v>2408</v>
      </c>
      <c r="E694">
        <v>1</v>
      </c>
      <c r="F694">
        <v>596.24</v>
      </c>
      <c r="G694" t="s">
        <v>2428</v>
      </c>
      <c r="H694" t="s">
        <v>3067</v>
      </c>
      <c r="I694" t="s">
        <v>3072</v>
      </c>
      <c r="J694" t="s">
        <v>4025</v>
      </c>
      <c r="K694">
        <v>4</v>
      </c>
      <c r="L694" t="s">
        <v>4276</v>
      </c>
      <c r="M694" t="s">
        <v>4278</v>
      </c>
      <c r="N694">
        <v>596.24</v>
      </c>
      <c r="O694" t="s">
        <v>4290</v>
      </c>
      <c r="P694" t="s">
        <v>2428</v>
      </c>
      <c r="Q694" t="s">
        <v>3067</v>
      </c>
      <c r="R694" t="s">
        <v>4278</v>
      </c>
      <c r="S694">
        <v>149.06</v>
      </c>
    </row>
    <row r="695" spans="1:19" x14ac:dyDescent="0.3">
      <c r="A695" t="s">
        <v>1050</v>
      </c>
      <c r="B695" s="3">
        <v>45443</v>
      </c>
      <c r="C695" t="s">
        <v>2242</v>
      </c>
      <c r="D695" t="s">
        <v>2404</v>
      </c>
      <c r="E695">
        <v>3</v>
      </c>
      <c r="F695">
        <v>413.83</v>
      </c>
      <c r="G695" t="s">
        <v>2474</v>
      </c>
      <c r="H695" t="s">
        <v>3068</v>
      </c>
      <c r="I695" t="s">
        <v>3070</v>
      </c>
      <c r="J695" t="s">
        <v>4111</v>
      </c>
      <c r="K695">
        <v>8</v>
      </c>
      <c r="L695" t="s">
        <v>4275</v>
      </c>
      <c r="M695" t="s">
        <v>4281</v>
      </c>
      <c r="N695">
        <v>1241.49</v>
      </c>
      <c r="O695" t="s">
        <v>4290</v>
      </c>
      <c r="P695" t="s">
        <v>2474</v>
      </c>
      <c r="Q695" t="s">
        <v>3068</v>
      </c>
      <c r="R695" t="s">
        <v>4281</v>
      </c>
      <c r="S695">
        <v>155.19</v>
      </c>
    </row>
    <row r="696" spans="1:19" x14ac:dyDescent="0.3">
      <c r="A696" t="s">
        <v>110</v>
      </c>
      <c r="B696" s="3">
        <v>45444</v>
      </c>
      <c r="C696" t="s">
        <v>1310</v>
      </c>
      <c r="D696" t="s">
        <v>2404</v>
      </c>
      <c r="E696">
        <v>2</v>
      </c>
      <c r="F696">
        <v>232.83</v>
      </c>
      <c r="G696" t="s">
        <v>2483</v>
      </c>
      <c r="H696" t="s">
        <v>3068</v>
      </c>
      <c r="I696" t="s">
        <v>3073</v>
      </c>
      <c r="J696" t="s">
        <v>3171</v>
      </c>
      <c r="K696">
        <v>7</v>
      </c>
      <c r="L696" t="s">
        <v>4283</v>
      </c>
      <c r="M696" t="s">
        <v>4278</v>
      </c>
      <c r="N696">
        <v>465.66</v>
      </c>
      <c r="O696" t="s">
        <v>4290</v>
      </c>
      <c r="P696" t="s">
        <v>2483</v>
      </c>
      <c r="Q696" t="s">
        <v>3068</v>
      </c>
      <c r="R696" t="s">
        <v>4278</v>
      </c>
      <c r="S696">
        <v>66.52</v>
      </c>
    </row>
    <row r="697" spans="1:19" x14ac:dyDescent="0.3">
      <c r="A697" t="s">
        <v>344</v>
      </c>
      <c r="B697" s="3">
        <v>45445</v>
      </c>
      <c r="C697" t="s">
        <v>1544</v>
      </c>
      <c r="D697" t="s">
        <v>2409</v>
      </c>
      <c r="E697">
        <v>5</v>
      </c>
      <c r="F69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>
        <v>5</v>
      </c>
      <c r="L697" t="s">
        <v>4275</v>
      </c>
      <c r="M697" t="s">
        <v>4278</v>
      </c>
      <c r="N697">
        <v>1302.6500000000001</v>
      </c>
      <c r="O697" t="s">
        <v>4290</v>
      </c>
      <c r="P697" t="s">
        <v>2685</v>
      </c>
      <c r="Q697" t="s">
        <v>3068</v>
      </c>
      <c r="R697" t="s">
        <v>4278</v>
      </c>
      <c r="S697">
        <v>260.52999999999997</v>
      </c>
    </row>
    <row r="698" spans="1:19" x14ac:dyDescent="0.3">
      <c r="A698" t="s">
        <v>870</v>
      </c>
      <c r="B698" s="3">
        <v>45446</v>
      </c>
      <c r="C698" t="s">
        <v>2066</v>
      </c>
      <c r="D698" t="s">
        <v>2404</v>
      </c>
      <c r="E698">
        <v>1</v>
      </c>
      <c r="F698">
        <v>586.62</v>
      </c>
      <c r="G698" t="s">
        <v>2452</v>
      </c>
      <c r="H698" t="s">
        <v>3065</v>
      </c>
      <c r="I698" t="s">
        <v>3070</v>
      </c>
      <c r="J698" t="s">
        <v>3931</v>
      </c>
      <c r="K698">
        <v>5</v>
      </c>
      <c r="L698" t="s">
        <v>4283</v>
      </c>
      <c r="M698" t="s">
        <v>4281</v>
      </c>
      <c r="N698">
        <v>586.62</v>
      </c>
      <c r="O698" t="s">
        <v>4290</v>
      </c>
      <c r="P698" t="s">
        <v>2452</v>
      </c>
      <c r="Q698" t="s">
        <v>3065</v>
      </c>
      <c r="R698" t="s">
        <v>4281</v>
      </c>
      <c r="S698">
        <v>117.32</v>
      </c>
    </row>
    <row r="699" spans="1:19" x14ac:dyDescent="0.3">
      <c r="A699" t="s">
        <v>1116</v>
      </c>
      <c r="B699" s="3">
        <v>45446</v>
      </c>
      <c r="C699" t="s">
        <v>1228</v>
      </c>
      <c r="D699" t="s">
        <v>2406</v>
      </c>
      <c r="E699">
        <v>4</v>
      </c>
      <c r="F699">
        <v>347.17</v>
      </c>
      <c r="G699" t="s">
        <v>2904</v>
      </c>
      <c r="H699" t="s">
        <v>3065</v>
      </c>
      <c r="I699" t="s">
        <v>3070</v>
      </c>
      <c r="J699" t="s">
        <v>4177</v>
      </c>
      <c r="K699">
        <v>8</v>
      </c>
      <c r="L699" t="s">
        <v>4283</v>
      </c>
      <c r="M699" t="s">
        <v>4278</v>
      </c>
      <c r="N699">
        <v>1388.68</v>
      </c>
      <c r="O699" t="s">
        <v>4290</v>
      </c>
      <c r="P699" t="s">
        <v>2904</v>
      </c>
      <c r="Q699" t="s">
        <v>3065</v>
      </c>
      <c r="R699" t="s">
        <v>4278</v>
      </c>
      <c r="S699">
        <v>173.58</v>
      </c>
    </row>
    <row r="700" spans="1:19" x14ac:dyDescent="0.3">
      <c r="A700" t="s">
        <v>906</v>
      </c>
      <c r="B700" s="3">
        <v>45447</v>
      </c>
      <c r="C700" t="s">
        <v>2102</v>
      </c>
      <c r="D700" t="s">
        <v>2409</v>
      </c>
      <c r="E700">
        <v>1</v>
      </c>
      <c r="F700">
        <v>394.53</v>
      </c>
      <c r="G700" t="s">
        <v>2975</v>
      </c>
      <c r="H700" t="s">
        <v>3069</v>
      </c>
      <c r="I700" t="s">
        <v>3070</v>
      </c>
      <c r="J700" t="s">
        <v>3967</v>
      </c>
      <c r="K700">
        <v>2</v>
      </c>
      <c r="L700" t="s">
        <v>4276</v>
      </c>
      <c r="M700" t="s">
        <v>4279</v>
      </c>
      <c r="N700">
        <v>394.53</v>
      </c>
      <c r="O700" t="s">
        <v>4290</v>
      </c>
      <c r="P700" t="s">
        <v>2975</v>
      </c>
      <c r="Q700" t="s">
        <v>3069</v>
      </c>
      <c r="R700" t="s">
        <v>4279</v>
      </c>
      <c r="S700">
        <v>197.26</v>
      </c>
    </row>
    <row r="701" spans="1:19" x14ac:dyDescent="0.3">
      <c r="A701" t="s">
        <v>666</v>
      </c>
      <c r="B701" s="3">
        <v>45448</v>
      </c>
      <c r="C701" t="s">
        <v>1865</v>
      </c>
      <c r="D701" t="s">
        <v>2406</v>
      </c>
      <c r="E701">
        <v>5</v>
      </c>
      <c r="F701">
        <v>341.84</v>
      </c>
      <c r="G701" t="s">
        <v>2860</v>
      </c>
      <c r="H701" t="s">
        <v>3066</v>
      </c>
      <c r="I701" t="s">
        <v>3070</v>
      </c>
      <c r="J701" t="s">
        <v>3727</v>
      </c>
      <c r="K701">
        <v>8</v>
      </c>
      <c r="L701" t="s">
        <v>4276</v>
      </c>
      <c r="M701" t="s">
        <v>4278</v>
      </c>
      <c r="N701">
        <v>1709.2</v>
      </c>
      <c r="O701" t="s">
        <v>4290</v>
      </c>
      <c r="P701" t="s">
        <v>2860</v>
      </c>
      <c r="Q701" t="s">
        <v>3066</v>
      </c>
      <c r="R701" t="s">
        <v>4278</v>
      </c>
      <c r="S701">
        <v>213.65</v>
      </c>
    </row>
    <row r="702" spans="1:19" x14ac:dyDescent="0.3">
      <c r="A702" t="s">
        <v>374</v>
      </c>
      <c r="B702" s="3">
        <v>45449</v>
      </c>
      <c r="C702" t="s">
        <v>1574</v>
      </c>
      <c r="D702" t="s">
        <v>2404</v>
      </c>
      <c r="E702">
        <v>4</v>
      </c>
      <c r="F702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>
        <v>8</v>
      </c>
      <c r="L702" t="s">
        <v>4283</v>
      </c>
      <c r="M702" t="s">
        <v>4278</v>
      </c>
      <c r="N702">
        <v>2358.2800000000002</v>
      </c>
      <c r="O702" t="s">
        <v>4290</v>
      </c>
      <c r="P702" t="s">
        <v>2712</v>
      </c>
      <c r="Q702" t="s">
        <v>3069</v>
      </c>
      <c r="R702" t="s">
        <v>4278</v>
      </c>
      <c r="S702">
        <v>294.77999999999997</v>
      </c>
    </row>
    <row r="703" spans="1:19" x14ac:dyDescent="0.3">
      <c r="A703" t="s">
        <v>548</v>
      </c>
      <c r="B703" s="3">
        <v>45449</v>
      </c>
      <c r="C703" t="s">
        <v>1748</v>
      </c>
      <c r="D703" t="s">
        <v>2406</v>
      </c>
      <c r="E703">
        <v>3</v>
      </c>
      <c r="F703">
        <v>648.59</v>
      </c>
      <c r="G703" t="s">
        <v>2807</v>
      </c>
      <c r="H703" t="s">
        <v>3065</v>
      </c>
      <c r="I703" t="s">
        <v>3071</v>
      </c>
      <c r="J703" t="s">
        <v>3609</v>
      </c>
      <c r="K703">
        <v>4</v>
      </c>
      <c r="L703" t="s">
        <v>4275</v>
      </c>
      <c r="M703" t="s">
        <v>4280</v>
      </c>
      <c r="N703">
        <v>1945.77</v>
      </c>
      <c r="O703" t="s">
        <v>4290</v>
      </c>
      <c r="P703" t="s">
        <v>2807</v>
      </c>
      <c r="Q703" t="s">
        <v>3065</v>
      </c>
      <c r="R703" t="s">
        <v>4280</v>
      </c>
      <c r="S703">
        <v>486.44</v>
      </c>
    </row>
    <row r="704" spans="1:19" x14ac:dyDescent="0.3">
      <c r="A704" t="s">
        <v>320</v>
      </c>
      <c r="B704" s="3">
        <v>45450</v>
      </c>
      <c r="C704" t="s">
        <v>1520</v>
      </c>
      <c r="D704" t="s">
        <v>2407</v>
      </c>
      <c r="E704">
        <v>2</v>
      </c>
      <c r="F704">
        <v>57.07</v>
      </c>
      <c r="G704" t="s">
        <v>2669</v>
      </c>
      <c r="H704" t="s">
        <v>3065</v>
      </c>
      <c r="I704" t="s">
        <v>3072</v>
      </c>
      <c r="J704" t="s">
        <v>3381</v>
      </c>
      <c r="K704">
        <v>3</v>
      </c>
      <c r="L704" t="s">
        <v>4275</v>
      </c>
      <c r="M704" t="s">
        <v>4278</v>
      </c>
      <c r="N704">
        <v>114.14</v>
      </c>
      <c r="O704" t="s">
        <v>4290</v>
      </c>
      <c r="P704" t="s">
        <v>2669</v>
      </c>
      <c r="Q704" t="s">
        <v>3065</v>
      </c>
      <c r="R704" t="s">
        <v>4278</v>
      </c>
      <c r="S704">
        <v>38.049999999999997</v>
      </c>
    </row>
    <row r="705" spans="1:19" x14ac:dyDescent="0.3">
      <c r="A705" t="s">
        <v>745</v>
      </c>
      <c r="B705" s="3">
        <v>45450</v>
      </c>
      <c r="C705" t="s">
        <v>1942</v>
      </c>
      <c r="D705" t="s">
        <v>2407</v>
      </c>
      <c r="E705">
        <v>5</v>
      </c>
      <c r="F705">
        <v>584.46</v>
      </c>
      <c r="G705" t="s">
        <v>2896</v>
      </c>
      <c r="H705" t="s">
        <v>3067</v>
      </c>
      <c r="I705" t="s">
        <v>3072</v>
      </c>
      <c r="J705" t="s">
        <v>3806</v>
      </c>
      <c r="K705">
        <v>8</v>
      </c>
      <c r="L705" t="s">
        <v>4283</v>
      </c>
      <c r="M705" t="s">
        <v>4280</v>
      </c>
      <c r="N705">
        <v>2922.3</v>
      </c>
      <c r="O705" t="s">
        <v>4290</v>
      </c>
      <c r="P705" t="s">
        <v>2896</v>
      </c>
      <c r="Q705" t="s">
        <v>3067</v>
      </c>
      <c r="R705" t="s">
        <v>4280</v>
      </c>
      <c r="S705">
        <v>365.29</v>
      </c>
    </row>
    <row r="706" spans="1:19" x14ac:dyDescent="0.3">
      <c r="A706" t="s">
        <v>208</v>
      </c>
      <c r="B706" s="3">
        <v>45451</v>
      </c>
      <c r="C706" t="s">
        <v>1408</v>
      </c>
      <c r="D706" t="s">
        <v>2403</v>
      </c>
      <c r="E706">
        <v>1</v>
      </c>
      <c r="F706">
        <v>249.57</v>
      </c>
      <c r="G706" t="s">
        <v>2585</v>
      </c>
      <c r="H706" t="s">
        <v>3069</v>
      </c>
      <c r="I706" t="s">
        <v>3070</v>
      </c>
      <c r="J706" t="s">
        <v>3269</v>
      </c>
      <c r="K706">
        <v>3</v>
      </c>
      <c r="L706" t="s">
        <v>4276</v>
      </c>
      <c r="M706" t="s">
        <v>4282</v>
      </c>
      <c r="N706">
        <v>249.57</v>
      </c>
      <c r="O706" t="s">
        <v>4290</v>
      </c>
      <c r="P706" t="s">
        <v>2585</v>
      </c>
      <c r="Q706" t="s">
        <v>3069</v>
      </c>
      <c r="R706" t="s">
        <v>4282</v>
      </c>
      <c r="S706">
        <v>83.19</v>
      </c>
    </row>
    <row r="707" spans="1:19" x14ac:dyDescent="0.3">
      <c r="A707" t="s">
        <v>280</v>
      </c>
      <c r="B707" s="3">
        <v>45451</v>
      </c>
      <c r="C707" t="s">
        <v>1480</v>
      </c>
      <c r="D707" t="s">
        <v>2406</v>
      </c>
      <c r="E707">
        <v>4</v>
      </c>
      <c r="F70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>
        <v>6</v>
      </c>
      <c r="L707" t="s">
        <v>4276</v>
      </c>
      <c r="M707" t="s">
        <v>4279</v>
      </c>
      <c r="N707">
        <v>2332.2800000000002</v>
      </c>
      <c r="O707" t="s">
        <v>4290</v>
      </c>
      <c r="P707" t="s">
        <v>2637</v>
      </c>
      <c r="Q707" t="s">
        <v>3067</v>
      </c>
      <c r="R707" t="s">
        <v>4279</v>
      </c>
      <c r="S707">
        <v>388.71</v>
      </c>
    </row>
    <row r="708" spans="1:19" x14ac:dyDescent="0.3">
      <c r="A708" t="s">
        <v>458</v>
      </c>
      <c r="B708" s="3">
        <v>45451</v>
      </c>
      <c r="C708" t="s">
        <v>1658</v>
      </c>
      <c r="D708" t="s">
        <v>2407</v>
      </c>
      <c r="E708">
        <v>1</v>
      </c>
      <c r="F708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>
        <v>6</v>
      </c>
      <c r="L708" t="s">
        <v>4276</v>
      </c>
      <c r="M708" t="s">
        <v>4278</v>
      </c>
      <c r="N708">
        <v>135.16999999999999</v>
      </c>
      <c r="O708" t="s">
        <v>4290</v>
      </c>
      <c r="P708" t="s">
        <v>2756</v>
      </c>
      <c r="Q708" t="s">
        <v>3066</v>
      </c>
      <c r="R708" t="s">
        <v>4278</v>
      </c>
      <c r="S708">
        <v>22.53</v>
      </c>
    </row>
    <row r="709" spans="1:19" x14ac:dyDescent="0.3">
      <c r="A709" t="s">
        <v>475</v>
      </c>
      <c r="B709" s="3">
        <v>45451</v>
      </c>
      <c r="C709" t="s">
        <v>1675</v>
      </c>
      <c r="D709" t="s">
        <v>2405</v>
      </c>
      <c r="E709">
        <v>1</v>
      </c>
      <c r="F709">
        <v>401.82</v>
      </c>
      <c r="G709" t="s">
        <v>2618</v>
      </c>
      <c r="H709" t="s">
        <v>3067</v>
      </c>
      <c r="I709" t="s">
        <v>3070</v>
      </c>
      <c r="J709" t="s">
        <v>3536</v>
      </c>
      <c r="K709">
        <v>5</v>
      </c>
      <c r="L709" t="s">
        <v>4276</v>
      </c>
      <c r="M709" t="s">
        <v>4282</v>
      </c>
      <c r="N709">
        <v>401.82</v>
      </c>
      <c r="O709" t="s">
        <v>4290</v>
      </c>
      <c r="P709" t="s">
        <v>2618</v>
      </c>
      <c r="Q709" t="s">
        <v>3067</v>
      </c>
      <c r="R709" t="s">
        <v>4282</v>
      </c>
      <c r="S709">
        <v>80.36</v>
      </c>
    </row>
    <row r="710" spans="1:19" x14ac:dyDescent="0.3">
      <c r="A710" t="s">
        <v>1148</v>
      </c>
      <c r="B710" s="3">
        <v>45451</v>
      </c>
      <c r="C710" t="s">
        <v>2338</v>
      </c>
      <c r="D710" t="s">
        <v>2409</v>
      </c>
      <c r="E710">
        <v>4</v>
      </c>
      <c r="F710">
        <v>38.28</v>
      </c>
      <c r="G710" t="s">
        <v>3039</v>
      </c>
      <c r="H710" t="s">
        <v>3065</v>
      </c>
      <c r="I710" t="s">
        <v>3071</v>
      </c>
      <c r="J710" t="s">
        <v>4209</v>
      </c>
      <c r="K710">
        <v>4</v>
      </c>
      <c r="L710" t="s">
        <v>4277</v>
      </c>
      <c r="M710" t="s">
        <v>4281</v>
      </c>
      <c r="N710">
        <v>153.12</v>
      </c>
      <c r="O710" t="s">
        <v>4290</v>
      </c>
      <c r="P710" t="s">
        <v>3039</v>
      </c>
      <c r="Q710" t="s">
        <v>3065</v>
      </c>
      <c r="R710" t="s">
        <v>4281</v>
      </c>
      <c r="S710">
        <v>38.28</v>
      </c>
    </row>
    <row r="711" spans="1:19" x14ac:dyDescent="0.3">
      <c r="A711" t="s">
        <v>550</v>
      </c>
      <c r="B711" s="3">
        <v>45452</v>
      </c>
      <c r="C711" t="s">
        <v>1750</v>
      </c>
      <c r="D711" t="s">
        <v>2406</v>
      </c>
      <c r="E711">
        <v>1</v>
      </c>
      <c r="F711">
        <v>616.1</v>
      </c>
      <c r="G711" t="s">
        <v>2808</v>
      </c>
      <c r="H711" t="s">
        <v>3069</v>
      </c>
      <c r="I711" t="s">
        <v>3072</v>
      </c>
      <c r="J711" t="s">
        <v>3611</v>
      </c>
      <c r="K711">
        <v>6</v>
      </c>
      <c r="L711" t="s">
        <v>4283</v>
      </c>
      <c r="M711" t="s">
        <v>4280</v>
      </c>
      <c r="N711">
        <v>616.1</v>
      </c>
      <c r="O711" t="s">
        <v>4290</v>
      </c>
      <c r="P711" t="s">
        <v>2808</v>
      </c>
      <c r="Q711" t="s">
        <v>3069</v>
      </c>
      <c r="R711" t="s">
        <v>4280</v>
      </c>
      <c r="S711">
        <v>102.68</v>
      </c>
    </row>
    <row r="712" spans="1:19" x14ac:dyDescent="0.3">
      <c r="A712" t="s">
        <v>716</v>
      </c>
      <c r="B712" s="3">
        <v>45452</v>
      </c>
      <c r="C712" t="s">
        <v>1914</v>
      </c>
      <c r="D712" t="s">
        <v>2407</v>
      </c>
      <c r="E712">
        <v>3</v>
      </c>
      <c r="F712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>
        <v>6</v>
      </c>
      <c r="L712" t="s">
        <v>4283</v>
      </c>
      <c r="M712" t="s">
        <v>4280</v>
      </c>
      <c r="N712">
        <v>1687.65</v>
      </c>
      <c r="O712" t="s">
        <v>4290</v>
      </c>
      <c r="P712" t="s">
        <v>2842</v>
      </c>
      <c r="Q712" t="s">
        <v>3065</v>
      </c>
      <c r="R712" t="s">
        <v>4280</v>
      </c>
      <c r="S712">
        <v>281.27999999999997</v>
      </c>
    </row>
    <row r="713" spans="1:19" x14ac:dyDescent="0.3">
      <c r="A713" t="s">
        <v>890</v>
      </c>
      <c r="B713" s="3">
        <v>45452</v>
      </c>
      <c r="C713" t="s">
        <v>2086</v>
      </c>
      <c r="D713" t="s">
        <v>2406</v>
      </c>
      <c r="E713">
        <v>5</v>
      </c>
      <c r="F713">
        <v>608.91</v>
      </c>
      <c r="G713" t="s">
        <v>2900</v>
      </c>
      <c r="H713" t="s">
        <v>3068</v>
      </c>
      <c r="I713" t="s">
        <v>3074</v>
      </c>
      <c r="J713" t="s">
        <v>3951</v>
      </c>
      <c r="K713">
        <v>6</v>
      </c>
      <c r="L713" t="s">
        <v>4275</v>
      </c>
      <c r="M713" t="s">
        <v>4282</v>
      </c>
      <c r="N713">
        <v>3044.55</v>
      </c>
      <c r="O713" t="s">
        <v>4290</v>
      </c>
      <c r="P713" t="s">
        <v>2900</v>
      </c>
      <c r="Q713" t="s">
        <v>3068</v>
      </c>
      <c r="R713" t="s">
        <v>4282</v>
      </c>
      <c r="S713">
        <v>507.42</v>
      </c>
    </row>
    <row r="714" spans="1:19" x14ac:dyDescent="0.3">
      <c r="A714" t="s">
        <v>986</v>
      </c>
      <c r="B714" s="3">
        <v>45452</v>
      </c>
      <c r="C714" t="s">
        <v>2179</v>
      </c>
      <c r="D714" t="s">
        <v>2408</v>
      </c>
      <c r="E714">
        <v>1</v>
      </c>
      <c r="F714">
        <v>90.27</v>
      </c>
      <c r="G714" t="s">
        <v>2993</v>
      </c>
      <c r="H714" t="s">
        <v>3069</v>
      </c>
      <c r="I714" t="s">
        <v>3073</v>
      </c>
      <c r="J714" t="s">
        <v>4047</v>
      </c>
      <c r="K714">
        <v>5</v>
      </c>
      <c r="L714" t="s">
        <v>4275</v>
      </c>
      <c r="M714" t="s">
        <v>4281</v>
      </c>
      <c r="N714">
        <v>90.27</v>
      </c>
      <c r="O714" t="s">
        <v>4290</v>
      </c>
      <c r="P714" t="s">
        <v>2993</v>
      </c>
      <c r="Q714" t="s">
        <v>3069</v>
      </c>
      <c r="R714" t="s">
        <v>4281</v>
      </c>
      <c r="S714">
        <v>18.05</v>
      </c>
    </row>
    <row r="715" spans="1:19" x14ac:dyDescent="0.3">
      <c r="A715" t="s">
        <v>106</v>
      </c>
      <c r="B715" s="3">
        <v>45453</v>
      </c>
      <c r="C715" t="s">
        <v>1306</v>
      </c>
      <c r="D715" t="s">
        <v>2407</v>
      </c>
      <c r="E715">
        <v>4</v>
      </c>
      <c r="F715">
        <v>48.61</v>
      </c>
      <c r="G715" t="s">
        <v>2496</v>
      </c>
      <c r="H715" t="s">
        <v>3066</v>
      </c>
      <c r="I715" t="s">
        <v>3070</v>
      </c>
      <c r="J715" t="s">
        <v>3167</v>
      </c>
      <c r="K715">
        <v>7</v>
      </c>
      <c r="L715" t="s">
        <v>4276</v>
      </c>
      <c r="M715" t="s">
        <v>4281</v>
      </c>
      <c r="N715">
        <v>194.44</v>
      </c>
      <c r="O715" t="s">
        <v>4290</v>
      </c>
      <c r="P715" t="s">
        <v>2496</v>
      </c>
      <c r="Q715" t="s">
        <v>3066</v>
      </c>
      <c r="R715" t="s">
        <v>4281</v>
      </c>
      <c r="S715">
        <v>27.78</v>
      </c>
    </row>
    <row r="716" spans="1:19" x14ac:dyDescent="0.3">
      <c r="A716" t="s">
        <v>212</v>
      </c>
      <c r="B716" s="3">
        <v>45454</v>
      </c>
      <c r="C716" t="s">
        <v>1412</v>
      </c>
      <c r="D716" t="s">
        <v>2408</v>
      </c>
      <c r="E716">
        <v>4</v>
      </c>
      <c r="F716">
        <v>340.3</v>
      </c>
      <c r="G716" t="s">
        <v>2444</v>
      </c>
      <c r="H716" t="s">
        <v>3069</v>
      </c>
      <c r="I716" t="s">
        <v>3071</v>
      </c>
      <c r="J716" t="s">
        <v>3273</v>
      </c>
      <c r="K716">
        <v>8</v>
      </c>
      <c r="L716" t="s">
        <v>4275</v>
      </c>
      <c r="M716" t="s">
        <v>4279</v>
      </c>
      <c r="N716">
        <v>1361.2</v>
      </c>
      <c r="O716" t="s">
        <v>4290</v>
      </c>
      <c r="P716" t="s">
        <v>2444</v>
      </c>
      <c r="Q716" t="s">
        <v>3069</v>
      </c>
      <c r="R716" t="s">
        <v>4279</v>
      </c>
      <c r="S716">
        <v>170.15</v>
      </c>
    </row>
    <row r="717" spans="1:19" x14ac:dyDescent="0.3">
      <c r="A717" t="s">
        <v>1177</v>
      </c>
      <c r="B717" s="3">
        <v>45454</v>
      </c>
      <c r="C717" t="s">
        <v>2366</v>
      </c>
      <c r="D717" t="s">
        <v>2408</v>
      </c>
      <c r="E717">
        <v>3</v>
      </c>
      <c r="F71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>
        <v>7</v>
      </c>
      <c r="L717" t="s">
        <v>4277</v>
      </c>
      <c r="M717" t="s">
        <v>4278</v>
      </c>
      <c r="N717">
        <v>918.87000000000012</v>
      </c>
      <c r="O717" t="s">
        <v>4290</v>
      </c>
      <c r="P717" t="s">
        <v>3050</v>
      </c>
      <c r="Q717" t="s">
        <v>3067</v>
      </c>
      <c r="R717" t="s">
        <v>4278</v>
      </c>
      <c r="S717">
        <v>131.27000000000001</v>
      </c>
    </row>
    <row r="718" spans="1:19" x14ac:dyDescent="0.3">
      <c r="A718" t="s">
        <v>758</v>
      </c>
      <c r="B718" s="3">
        <v>45455</v>
      </c>
      <c r="C718" t="s">
        <v>1955</v>
      </c>
      <c r="D718" t="s">
        <v>2405</v>
      </c>
      <c r="E718">
        <v>2</v>
      </c>
      <c r="F718">
        <v>461.37</v>
      </c>
      <c r="G718" t="s">
        <v>2900</v>
      </c>
      <c r="H718" t="s">
        <v>3069</v>
      </c>
      <c r="I718" t="s">
        <v>3073</v>
      </c>
      <c r="J718" t="s">
        <v>3819</v>
      </c>
      <c r="K718">
        <v>5</v>
      </c>
      <c r="L718" t="s">
        <v>4275</v>
      </c>
      <c r="M718" t="s">
        <v>4282</v>
      </c>
      <c r="N718">
        <v>922.74</v>
      </c>
      <c r="O718" t="s">
        <v>4290</v>
      </c>
      <c r="P718" t="s">
        <v>2900</v>
      </c>
      <c r="Q718" t="s">
        <v>3069</v>
      </c>
      <c r="R718" t="s">
        <v>4282</v>
      </c>
      <c r="S718">
        <v>184.55</v>
      </c>
    </row>
    <row r="719" spans="1:19" x14ac:dyDescent="0.3">
      <c r="A719" t="s">
        <v>785</v>
      </c>
      <c r="B719" s="3">
        <v>45455</v>
      </c>
      <c r="C719" t="s">
        <v>1982</v>
      </c>
      <c r="D719" t="s">
        <v>2404</v>
      </c>
      <c r="E719">
        <v>3</v>
      </c>
      <c r="F719">
        <v>692.44</v>
      </c>
      <c r="G719" t="s">
        <v>2724</v>
      </c>
      <c r="H719" t="s">
        <v>3065</v>
      </c>
      <c r="I719" t="s">
        <v>3071</v>
      </c>
      <c r="J719" t="s">
        <v>3846</v>
      </c>
      <c r="K719">
        <v>8</v>
      </c>
      <c r="L719" t="s">
        <v>4276</v>
      </c>
      <c r="M719" t="s">
        <v>4282</v>
      </c>
      <c r="N719">
        <v>2077.3200000000002</v>
      </c>
      <c r="O719" t="s">
        <v>4290</v>
      </c>
      <c r="P719" t="s">
        <v>2724</v>
      </c>
      <c r="Q719" t="s">
        <v>3065</v>
      </c>
      <c r="R719" t="s">
        <v>4282</v>
      </c>
      <c r="S719">
        <v>259.66000000000003</v>
      </c>
    </row>
    <row r="720" spans="1:19" x14ac:dyDescent="0.3">
      <c r="A720" t="s">
        <v>157</v>
      </c>
      <c r="B720" s="3">
        <v>45456</v>
      </c>
      <c r="C720" t="s">
        <v>1357</v>
      </c>
      <c r="D720" t="s">
        <v>2406</v>
      </c>
      <c r="E720">
        <v>4</v>
      </c>
      <c r="F720">
        <v>400.07</v>
      </c>
      <c r="G720" t="s">
        <v>2543</v>
      </c>
      <c r="H720" t="s">
        <v>3066</v>
      </c>
      <c r="I720" t="s">
        <v>3070</v>
      </c>
      <c r="J720" t="s">
        <v>3218</v>
      </c>
      <c r="K720">
        <v>5</v>
      </c>
      <c r="L720" t="s">
        <v>4283</v>
      </c>
      <c r="M720" t="s">
        <v>4279</v>
      </c>
      <c r="N720">
        <v>1600.28</v>
      </c>
      <c r="O720" t="s">
        <v>4290</v>
      </c>
      <c r="P720" t="s">
        <v>2543</v>
      </c>
      <c r="Q720" t="s">
        <v>3066</v>
      </c>
      <c r="R720" t="s">
        <v>4279</v>
      </c>
      <c r="S720">
        <v>320.06</v>
      </c>
    </row>
    <row r="721" spans="1:19" x14ac:dyDescent="0.3">
      <c r="A721" t="s">
        <v>338</v>
      </c>
      <c r="B721" s="3">
        <v>45456</v>
      </c>
      <c r="C721" t="s">
        <v>1538</v>
      </c>
      <c r="D721" t="s">
        <v>2405</v>
      </c>
      <c r="E721">
        <v>3</v>
      </c>
      <c r="F721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>
        <v>5</v>
      </c>
      <c r="L721" t="s">
        <v>4283</v>
      </c>
      <c r="M721" t="s">
        <v>4279</v>
      </c>
      <c r="N721">
        <v>212.79</v>
      </c>
      <c r="O721" t="s">
        <v>4290</v>
      </c>
      <c r="P721" t="s">
        <v>2682</v>
      </c>
      <c r="Q721" t="s">
        <v>3065</v>
      </c>
      <c r="R721" t="s">
        <v>4279</v>
      </c>
      <c r="S721">
        <v>42.56</v>
      </c>
    </row>
    <row r="722" spans="1:19" x14ac:dyDescent="0.3">
      <c r="A722" t="s">
        <v>730</v>
      </c>
      <c r="B722" s="3">
        <v>45456</v>
      </c>
      <c r="C722" t="s">
        <v>1927</v>
      </c>
      <c r="D722" t="s">
        <v>2406</v>
      </c>
      <c r="E722">
        <v>3</v>
      </c>
      <c r="F722">
        <v>454.29</v>
      </c>
      <c r="G722" t="s">
        <v>2428</v>
      </c>
      <c r="H722" t="s">
        <v>3067</v>
      </c>
      <c r="I722" t="s">
        <v>3074</v>
      </c>
      <c r="J722" t="s">
        <v>3791</v>
      </c>
      <c r="K722">
        <v>4</v>
      </c>
      <c r="L722" t="s">
        <v>4277</v>
      </c>
      <c r="M722" t="s">
        <v>4282</v>
      </c>
      <c r="N722">
        <v>1362.87</v>
      </c>
      <c r="O722" t="s">
        <v>4290</v>
      </c>
      <c r="P722" t="s">
        <v>2428</v>
      </c>
      <c r="Q722" t="s">
        <v>3067</v>
      </c>
      <c r="R722" t="s">
        <v>4282</v>
      </c>
      <c r="S722">
        <v>340.72</v>
      </c>
    </row>
    <row r="723" spans="1:19" x14ac:dyDescent="0.3">
      <c r="A723" t="s">
        <v>753</v>
      </c>
      <c r="B723" s="3">
        <v>45456</v>
      </c>
      <c r="C723" t="s">
        <v>1950</v>
      </c>
      <c r="D723" t="s">
        <v>2404</v>
      </c>
      <c r="E723">
        <v>4</v>
      </c>
      <c r="F723">
        <v>386.73</v>
      </c>
      <c r="G723" t="s">
        <v>2532</v>
      </c>
      <c r="H723" t="s">
        <v>3069</v>
      </c>
      <c r="I723" t="s">
        <v>3073</v>
      </c>
      <c r="J723" t="s">
        <v>3814</v>
      </c>
      <c r="K723">
        <v>4</v>
      </c>
      <c r="L723" t="s">
        <v>4275</v>
      </c>
      <c r="M723" t="s">
        <v>4281</v>
      </c>
      <c r="N723">
        <v>1546.92</v>
      </c>
      <c r="O723" t="s">
        <v>4290</v>
      </c>
      <c r="P723" t="s">
        <v>2532</v>
      </c>
      <c r="Q723" t="s">
        <v>3069</v>
      </c>
      <c r="R723" t="s">
        <v>4281</v>
      </c>
      <c r="S723">
        <v>386.73</v>
      </c>
    </row>
    <row r="724" spans="1:19" x14ac:dyDescent="0.3">
      <c r="A724" t="s">
        <v>336</v>
      </c>
      <c r="B724" s="3">
        <v>45457</v>
      </c>
      <c r="C724" t="s">
        <v>1536</v>
      </c>
      <c r="D724" t="s">
        <v>2404</v>
      </c>
      <c r="E724">
        <v>5</v>
      </c>
      <c r="F724">
        <v>231.82</v>
      </c>
      <c r="G724" t="s">
        <v>2678</v>
      </c>
      <c r="H724" t="s">
        <v>3065</v>
      </c>
      <c r="I724" t="s">
        <v>3073</v>
      </c>
      <c r="J724" t="s">
        <v>3397</v>
      </c>
      <c r="K724">
        <v>6</v>
      </c>
      <c r="L724" t="s">
        <v>4275</v>
      </c>
      <c r="M724" t="s">
        <v>4281</v>
      </c>
      <c r="N724">
        <v>1159.0999999999999</v>
      </c>
      <c r="O724" t="s">
        <v>4290</v>
      </c>
      <c r="P724" t="s">
        <v>2678</v>
      </c>
      <c r="Q724" t="s">
        <v>3065</v>
      </c>
      <c r="R724" t="s">
        <v>4281</v>
      </c>
      <c r="S724">
        <v>193.18</v>
      </c>
    </row>
    <row r="725" spans="1:19" x14ac:dyDescent="0.3">
      <c r="A725" t="s">
        <v>1070</v>
      </c>
      <c r="B725" s="3">
        <v>45457</v>
      </c>
      <c r="C725" t="s">
        <v>2262</v>
      </c>
      <c r="D725" t="s">
        <v>2404</v>
      </c>
      <c r="E725">
        <v>2</v>
      </c>
      <c r="F725">
        <v>486.35</v>
      </c>
      <c r="G725" t="s">
        <v>2566</v>
      </c>
      <c r="H725" t="s">
        <v>3066</v>
      </c>
      <c r="I725" t="s">
        <v>3074</v>
      </c>
      <c r="J725" t="s">
        <v>4131</v>
      </c>
      <c r="K725">
        <v>6</v>
      </c>
      <c r="L725" t="s">
        <v>4275</v>
      </c>
      <c r="M725" t="s">
        <v>4279</v>
      </c>
      <c r="N725">
        <v>972.7</v>
      </c>
      <c r="O725" t="s">
        <v>4290</v>
      </c>
      <c r="P725" t="s">
        <v>2566</v>
      </c>
      <c r="Q725" t="s">
        <v>3066</v>
      </c>
      <c r="R725" t="s">
        <v>4279</v>
      </c>
      <c r="S725">
        <v>162.12</v>
      </c>
    </row>
    <row r="726" spans="1:19" x14ac:dyDescent="0.3">
      <c r="A726" t="s">
        <v>624</v>
      </c>
      <c r="B726" s="3">
        <v>45459</v>
      </c>
      <c r="C726" t="s">
        <v>1823</v>
      </c>
      <c r="D726" t="s">
        <v>2409</v>
      </c>
      <c r="E726">
        <v>5</v>
      </c>
      <c r="F726">
        <v>389.62</v>
      </c>
      <c r="G726" t="s">
        <v>2460</v>
      </c>
      <c r="H726" t="s">
        <v>3069</v>
      </c>
      <c r="I726" t="s">
        <v>3072</v>
      </c>
      <c r="J726" t="s">
        <v>3685</v>
      </c>
      <c r="K726">
        <v>7</v>
      </c>
      <c r="L726" t="s">
        <v>4276</v>
      </c>
      <c r="M726" t="s">
        <v>4281</v>
      </c>
      <c r="N726">
        <v>1948.1</v>
      </c>
      <c r="O726" t="s">
        <v>4290</v>
      </c>
      <c r="P726" t="s">
        <v>2460</v>
      </c>
      <c r="Q726" t="s">
        <v>3069</v>
      </c>
      <c r="R726" t="s">
        <v>4281</v>
      </c>
      <c r="S726">
        <v>278.3</v>
      </c>
    </row>
    <row r="727" spans="1:19" x14ac:dyDescent="0.3">
      <c r="A727" t="s">
        <v>1048</v>
      </c>
      <c r="B727" s="3">
        <v>45459</v>
      </c>
      <c r="C727" t="s">
        <v>2240</v>
      </c>
      <c r="D727" t="s">
        <v>2407</v>
      </c>
      <c r="E727">
        <v>4</v>
      </c>
      <c r="F727">
        <v>517.98</v>
      </c>
      <c r="G727" t="s">
        <v>3008</v>
      </c>
      <c r="H727" t="s">
        <v>3069</v>
      </c>
      <c r="I727" t="s">
        <v>3071</v>
      </c>
      <c r="J727" t="s">
        <v>4109</v>
      </c>
      <c r="K727">
        <v>8</v>
      </c>
      <c r="L727" t="s">
        <v>4276</v>
      </c>
      <c r="M727" t="s">
        <v>4281</v>
      </c>
      <c r="N727">
        <v>2071.92</v>
      </c>
      <c r="O727" t="s">
        <v>4290</v>
      </c>
      <c r="P727" t="s">
        <v>3008</v>
      </c>
      <c r="Q727" t="s">
        <v>3069</v>
      </c>
      <c r="R727" t="s">
        <v>4281</v>
      </c>
      <c r="S727">
        <v>258.99</v>
      </c>
    </row>
    <row r="728" spans="1:19" x14ac:dyDescent="0.3">
      <c r="A728" t="s">
        <v>936</v>
      </c>
      <c r="B728" s="3">
        <v>45460</v>
      </c>
      <c r="C728" t="s">
        <v>2132</v>
      </c>
      <c r="D728" t="s">
        <v>2409</v>
      </c>
      <c r="E728">
        <v>2</v>
      </c>
      <c r="F728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>
        <v>3</v>
      </c>
      <c r="L728" t="s">
        <v>4283</v>
      </c>
      <c r="M728" t="s">
        <v>4278</v>
      </c>
      <c r="N728">
        <v>1127.6400000000001</v>
      </c>
      <c r="O728" t="s">
        <v>4290</v>
      </c>
      <c r="P728" t="s">
        <v>2981</v>
      </c>
      <c r="Q728" t="s">
        <v>3067</v>
      </c>
      <c r="R728" t="s">
        <v>4278</v>
      </c>
      <c r="S728">
        <v>375.88</v>
      </c>
    </row>
    <row r="729" spans="1:19" x14ac:dyDescent="0.3">
      <c r="A729" t="s">
        <v>100</v>
      </c>
      <c r="B729" s="3">
        <v>45462</v>
      </c>
      <c r="C729" t="s">
        <v>1300</v>
      </c>
      <c r="D729" t="s">
        <v>2407</v>
      </c>
      <c r="E729">
        <v>5</v>
      </c>
      <c r="F729">
        <v>643.03</v>
      </c>
      <c r="G729" t="s">
        <v>2490</v>
      </c>
      <c r="H729" t="s">
        <v>3066</v>
      </c>
      <c r="I729" t="s">
        <v>3071</v>
      </c>
      <c r="J729" t="s">
        <v>3161</v>
      </c>
      <c r="K729">
        <v>5</v>
      </c>
      <c r="L729" t="s">
        <v>4276</v>
      </c>
      <c r="M729" t="s">
        <v>4279</v>
      </c>
      <c r="N729">
        <v>3215.15</v>
      </c>
      <c r="O729" t="s">
        <v>4290</v>
      </c>
      <c r="P729" t="s">
        <v>2490</v>
      </c>
      <c r="Q729" t="s">
        <v>3066</v>
      </c>
      <c r="R729" t="s">
        <v>4279</v>
      </c>
      <c r="S729">
        <v>643.03</v>
      </c>
    </row>
    <row r="730" spans="1:19" x14ac:dyDescent="0.3">
      <c r="A730" t="s">
        <v>310</v>
      </c>
      <c r="B730" s="3">
        <v>45462</v>
      </c>
      <c r="C730" t="s">
        <v>1510</v>
      </c>
      <c r="D730" t="s">
        <v>2409</v>
      </c>
      <c r="E730">
        <v>5</v>
      </c>
      <c r="F730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>
        <v>10</v>
      </c>
      <c r="L730" t="s">
        <v>4277</v>
      </c>
      <c r="M730" t="s">
        <v>4279</v>
      </c>
      <c r="N730">
        <v>3194</v>
      </c>
      <c r="O730" t="s">
        <v>4290</v>
      </c>
      <c r="P730" t="s">
        <v>2458</v>
      </c>
      <c r="Q730" t="s">
        <v>3065</v>
      </c>
      <c r="R730" t="s">
        <v>4279</v>
      </c>
      <c r="S730">
        <v>319.39999999999998</v>
      </c>
    </row>
    <row r="731" spans="1:19" x14ac:dyDescent="0.3">
      <c r="A731" t="s">
        <v>425</v>
      </c>
      <c r="B731" s="3">
        <v>45462</v>
      </c>
      <c r="C731" t="s">
        <v>1625</v>
      </c>
      <c r="D731" t="s">
        <v>2409</v>
      </c>
      <c r="E731">
        <v>2</v>
      </c>
      <c r="F731">
        <v>39.51</v>
      </c>
      <c r="G731" t="s">
        <v>2549</v>
      </c>
      <c r="H731" t="s">
        <v>3066</v>
      </c>
      <c r="I731" t="s">
        <v>3070</v>
      </c>
      <c r="J731" t="s">
        <v>3486</v>
      </c>
      <c r="K731">
        <v>5</v>
      </c>
      <c r="L731" t="s">
        <v>4283</v>
      </c>
      <c r="M731" t="s">
        <v>4281</v>
      </c>
      <c r="N731">
        <v>79.02</v>
      </c>
      <c r="O731" t="s">
        <v>4290</v>
      </c>
      <c r="P731" t="s">
        <v>2549</v>
      </c>
      <c r="Q731" t="s">
        <v>3066</v>
      </c>
      <c r="R731" t="s">
        <v>4281</v>
      </c>
      <c r="S731">
        <v>15.8</v>
      </c>
    </row>
    <row r="732" spans="1:19" x14ac:dyDescent="0.3">
      <c r="A732" t="s">
        <v>1077</v>
      </c>
      <c r="B732" s="3">
        <v>45462</v>
      </c>
      <c r="C732" t="s">
        <v>2269</v>
      </c>
      <c r="D732" t="s">
        <v>2409</v>
      </c>
      <c r="E732">
        <v>2</v>
      </c>
      <c r="F732">
        <v>320.68</v>
      </c>
      <c r="G732" t="s">
        <v>2564</v>
      </c>
      <c r="H732" t="s">
        <v>3067</v>
      </c>
      <c r="I732" t="s">
        <v>3070</v>
      </c>
      <c r="J732" t="s">
        <v>4138</v>
      </c>
      <c r="K732">
        <v>5</v>
      </c>
      <c r="L732" t="s">
        <v>4276</v>
      </c>
      <c r="M732" t="s">
        <v>4279</v>
      </c>
      <c r="N732">
        <v>641.36</v>
      </c>
      <c r="O732" t="s">
        <v>4290</v>
      </c>
      <c r="P732" t="s">
        <v>2564</v>
      </c>
      <c r="Q732" t="s">
        <v>3067</v>
      </c>
      <c r="R732" t="s">
        <v>4279</v>
      </c>
      <c r="S732">
        <v>128.27000000000001</v>
      </c>
    </row>
    <row r="733" spans="1:19" x14ac:dyDescent="0.3">
      <c r="A733" t="s">
        <v>1093</v>
      </c>
      <c r="B733" s="3">
        <v>45463</v>
      </c>
      <c r="C733" t="s">
        <v>2285</v>
      </c>
      <c r="D733" t="s">
        <v>2404</v>
      </c>
      <c r="E733">
        <v>5</v>
      </c>
      <c r="F733">
        <v>634</v>
      </c>
      <c r="G733" t="s">
        <v>2980</v>
      </c>
      <c r="H733" t="s">
        <v>3068</v>
      </c>
      <c r="I733" t="s">
        <v>3073</v>
      </c>
      <c r="J733" t="s">
        <v>4154</v>
      </c>
      <c r="K733">
        <v>8</v>
      </c>
      <c r="L733" t="s">
        <v>4283</v>
      </c>
      <c r="M733" t="s">
        <v>4280</v>
      </c>
      <c r="N733">
        <v>3170</v>
      </c>
      <c r="O733" t="s">
        <v>4290</v>
      </c>
      <c r="P733" t="s">
        <v>2980</v>
      </c>
      <c r="Q733" t="s">
        <v>3068</v>
      </c>
      <c r="R733" t="s">
        <v>4280</v>
      </c>
      <c r="S733">
        <v>396.25</v>
      </c>
    </row>
    <row r="734" spans="1:19" x14ac:dyDescent="0.3">
      <c r="A734" t="s">
        <v>1209</v>
      </c>
      <c r="B734" s="3">
        <v>45463</v>
      </c>
      <c r="C734" t="s">
        <v>2398</v>
      </c>
      <c r="D734" t="s">
        <v>2409</v>
      </c>
      <c r="E734">
        <v>1</v>
      </c>
      <c r="F734">
        <v>107.04</v>
      </c>
      <c r="G734" t="s">
        <v>3062</v>
      </c>
      <c r="H734" t="s">
        <v>3067</v>
      </c>
      <c r="I734" t="s">
        <v>3071</v>
      </c>
      <c r="J734" t="s">
        <v>4270</v>
      </c>
      <c r="K734">
        <v>6</v>
      </c>
      <c r="L734" t="s">
        <v>4276</v>
      </c>
      <c r="M734" t="s">
        <v>4282</v>
      </c>
      <c r="N734">
        <v>107.04</v>
      </c>
      <c r="O734" t="s">
        <v>4290</v>
      </c>
      <c r="P734" t="s">
        <v>3062</v>
      </c>
      <c r="Q734" t="s">
        <v>3067</v>
      </c>
      <c r="R734" t="s">
        <v>4282</v>
      </c>
      <c r="S734">
        <v>17.84</v>
      </c>
    </row>
    <row r="735" spans="1:19" x14ac:dyDescent="0.3">
      <c r="A735" t="s">
        <v>930</v>
      </c>
      <c r="B735" s="3">
        <v>45464</v>
      </c>
      <c r="C735" t="s">
        <v>2126</v>
      </c>
      <c r="D735" t="s">
        <v>2407</v>
      </c>
      <c r="E735">
        <v>5</v>
      </c>
      <c r="F735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>
        <v>6</v>
      </c>
      <c r="L735" t="s">
        <v>4283</v>
      </c>
      <c r="M735" t="s">
        <v>4279</v>
      </c>
      <c r="N735">
        <v>2894.15</v>
      </c>
      <c r="O735" t="s">
        <v>4290</v>
      </c>
      <c r="P735" t="s">
        <v>2913</v>
      </c>
      <c r="Q735" t="s">
        <v>3069</v>
      </c>
      <c r="R735" t="s">
        <v>4279</v>
      </c>
      <c r="S735">
        <v>482.36</v>
      </c>
    </row>
    <row r="736" spans="1:19" x14ac:dyDescent="0.3">
      <c r="A736" t="s">
        <v>962</v>
      </c>
      <c r="B736" s="3">
        <v>45464</v>
      </c>
      <c r="C736" t="s">
        <v>1659</v>
      </c>
      <c r="D736" t="s">
        <v>2404</v>
      </c>
      <c r="E736">
        <v>2</v>
      </c>
      <c r="F736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>
        <v>2</v>
      </c>
      <c r="L736" t="s">
        <v>4283</v>
      </c>
      <c r="M736" t="s">
        <v>4282</v>
      </c>
      <c r="N736">
        <v>1188.1400000000001</v>
      </c>
      <c r="O736" t="s">
        <v>4290</v>
      </c>
      <c r="P736" t="s">
        <v>2771</v>
      </c>
      <c r="Q736" t="s">
        <v>3068</v>
      </c>
      <c r="R736" t="s">
        <v>4282</v>
      </c>
      <c r="S736">
        <v>594.07000000000005</v>
      </c>
    </row>
    <row r="737" spans="1:19" x14ac:dyDescent="0.3">
      <c r="A737" t="s">
        <v>715</v>
      </c>
      <c r="B737" s="3">
        <v>45466</v>
      </c>
      <c r="C737" t="s">
        <v>1913</v>
      </c>
      <c r="D737" t="s">
        <v>2403</v>
      </c>
      <c r="E737">
        <v>3</v>
      </c>
      <c r="F737">
        <v>92.22</v>
      </c>
      <c r="G737" t="s">
        <v>2517</v>
      </c>
      <c r="H737" t="s">
        <v>3067</v>
      </c>
      <c r="I737" t="s">
        <v>3073</v>
      </c>
      <c r="J737" t="s">
        <v>3776</v>
      </c>
      <c r="K737">
        <v>5</v>
      </c>
      <c r="L737" t="s">
        <v>4276</v>
      </c>
      <c r="M737" t="s">
        <v>4280</v>
      </c>
      <c r="N737">
        <v>276.66000000000003</v>
      </c>
      <c r="O737" t="s">
        <v>4290</v>
      </c>
      <c r="P737" t="s">
        <v>2517</v>
      </c>
      <c r="Q737" t="s">
        <v>3067</v>
      </c>
      <c r="R737" t="s">
        <v>4280</v>
      </c>
      <c r="S737">
        <v>55.33</v>
      </c>
    </row>
    <row r="738" spans="1:19" x14ac:dyDescent="0.3">
      <c r="A738" t="s">
        <v>1154</v>
      </c>
      <c r="B738" s="3">
        <v>45467</v>
      </c>
      <c r="C738" t="s">
        <v>2343</v>
      </c>
      <c r="D738" t="s">
        <v>2407</v>
      </c>
      <c r="E738">
        <v>2</v>
      </c>
      <c r="F738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>
        <v>3</v>
      </c>
      <c r="L738" t="s">
        <v>4283</v>
      </c>
      <c r="M738" t="s">
        <v>4279</v>
      </c>
      <c r="N738">
        <v>1105.6600000000001</v>
      </c>
      <c r="O738" t="s">
        <v>4290</v>
      </c>
      <c r="P738" t="s">
        <v>2418</v>
      </c>
      <c r="Q738" t="s">
        <v>3067</v>
      </c>
      <c r="R738" t="s">
        <v>4279</v>
      </c>
      <c r="S738">
        <v>368.55</v>
      </c>
    </row>
    <row r="739" spans="1:19" x14ac:dyDescent="0.3">
      <c r="A739" t="s">
        <v>992</v>
      </c>
      <c r="B739" s="3">
        <v>45468</v>
      </c>
      <c r="C739" t="s">
        <v>2185</v>
      </c>
      <c r="D739" t="s">
        <v>2407</v>
      </c>
      <c r="E739">
        <v>4</v>
      </c>
      <c r="F739">
        <v>107.49</v>
      </c>
      <c r="G739" t="s">
        <v>2887</v>
      </c>
      <c r="H739" t="s">
        <v>3069</v>
      </c>
      <c r="I739" t="s">
        <v>3073</v>
      </c>
      <c r="J739" t="s">
        <v>4053</v>
      </c>
      <c r="K739">
        <v>5</v>
      </c>
      <c r="L739" t="s">
        <v>4283</v>
      </c>
      <c r="M739" t="s">
        <v>4282</v>
      </c>
      <c r="N739">
        <v>429.96</v>
      </c>
      <c r="O739" t="s">
        <v>4290</v>
      </c>
      <c r="P739" t="s">
        <v>2887</v>
      </c>
      <c r="Q739" t="s">
        <v>3069</v>
      </c>
      <c r="R739" t="s">
        <v>4282</v>
      </c>
      <c r="S739">
        <v>85.99</v>
      </c>
    </row>
    <row r="740" spans="1:19" x14ac:dyDescent="0.3">
      <c r="A740" t="s">
        <v>1162</v>
      </c>
      <c r="B740" s="3">
        <v>45468</v>
      </c>
      <c r="C740" t="s">
        <v>2351</v>
      </c>
      <c r="D740" t="s">
        <v>2404</v>
      </c>
      <c r="E740">
        <v>1</v>
      </c>
      <c r="F740">
        <v>355.15</v>
      </c>
      <c r="G740" t="s">
        <v>3045</v>
      </c>
      <c r="H740" t="s">
        <v>3069</v>
      </c>
      <c r="I740" t="s">
        <v>3072</v>
      </c>
      <c r="J740" t="s">
        <v>4223</v>
      </c>
      <c r="K740">
        <v>2</v>
      </c>
      <c r="L740" t="s">
        <v>4275</v>
      </c>
      <c r="M740" t="s">
        <v>4280</v>
      </c>
      <c r="N740">
        <v>355.15</v>
      </c>
      <c r="O740" t="s">
        <v>4290</v>
      </c>
      <c r="P740" t="s">
        <v>3045</v>
      </c>
      <c r="Q740" t="s">
        <v>3069</v>
      </c>
      <c r="R740" t="s">
        <v>4280</v>
      </c>
      <c r="S740">
        <v>177.58</v>
      </c>
    </row>
    <row r="741" spans="1:19" x14ac:dyDescent="0.3">
      <c r="A741" t="s">
        <v>60</v>
      </c>
      <c r="B741" s="3">
        <v>45469</v>
      </c>
      <c r="C741" t="s">
        <v>1260</v>
      </c>
      <c r="D741" t="s">
        <v>2403</v>
      </c>
      <c r="E741">
        <v>4</v>
      </c>
      <c r="F741">
        <v>550.14</v>
      </c>
      <c r="G741" t="s">
        <v>2454</v>
      </c>
      <c r="H741" t="s">
        <v>3065</v>
      </c>
      <c r="I741" t="s">
        <v>3074</v>
      </c>
      <c r="J741" t="s">
        <v>3121</v>
      </c>
      <c r="K741">
        <v>4</v>
      </c>
      <c r="L741" t="s">
        <v>4276</v>
      </c>
      <c r="M741" t="s">
        <v>4278</v>
      </c>
      <c r="N741">
        <v>2200.56</v>
      </c>
      <c r="O741" t="s">
        <v>4290</v>
      </c>
      <c r="P741" t="s">
        <v>2454</v>
      </c>
      <c r="Q741" t="s">
        <v>3065</v>
      </c>
      <c r="R741" t="s">
        <v>4278</v>
      </c>
      <c r="S741">
        <v>550.14</v>
      </c>
    </row>
    <row r="742" spans="1:19" x14ac:dyDescent="0.3">
      <c r="A742" t="s">
        <v>401</v>
      </c>
      <c r="B742" s="3">
        <v>45470</v>
      </c>
      <c r="C742" t="s">
        <v>1601</v>
      </c>
      <c r="D742" t="s">
        <v>2407</v>
      </c>
      <c r="E742">
        <v>2</v>
      </c>
      <c r="F742">
        <v>39.53</v>
      </c>
      <c r="G742" t="s">
        <v>2418</v>
      </c>
      <c r="H742" t="s">
        <v>3067</v>
      </c>
      <c r="I742" t="s">
        <v>3070</v>
      </c>
      <c r="J742" t="s">
        <v>3462</v>
      </c>
      <c r="K742">
        <v>3</v>
      </c>
      <c r="L742" t="s">
        <v>4277</v>
      </c>
      <c r="M742" t="s">
        <v>4282</v>
      </c>
      <c r="N742">
        <v>79.06</v>
      </c>
      <c r="O742" t="s">
        <v>4290</v>
      </c>
      <c r="P742" t="s">
        <v>2418</v>
      </c>
      <c r="Q742" t="s">
        <v>3067</v>
      </c>
      <c r="R742" t="s">
        <v>4282</v>
      </c>
      <c r="S742">
        <v>26.35</v>
      </c>
    </row>
    <row r="743" spans="1:19" x14ac:dyDescent="0.3">
      <c r="A743" t="s">
        <v>770</v>
      </c>
      <c r="B743" s="3">
        <v>45470</v>
      </c>
      <c r="C743" t="s">
        <v>1967</v>
      </c>
      <c r="D743" t="s">
        <v>2404</v>
      </c>
      <c r="E743">
        <v>1</v>
      </c>
      <c r="F743">
        <v>283.69</v>
      </c>
      <c r="G743" t="s">
        <v>2464</v>
      </c>
      <c r="H743" t="s">
        <v>3068</v>
      </c>
      <c r="I743" t="s">
        <v>3070</v>
      </c>
      <c r="J743" t="s">
        <v>3831</v>
      </c>
      <c r="K743">
        <v>6</v>
      </c>
      <c r="L743" t="s">
        <v>4283</v>
      </c>
      <c r="M743" t="s">
        <v>4282</v>
      </c>
      <c r="N743">
        <v>283.69</v>
      </c>
      <c r="O743" t="s">
        <v>4290</v>
      </c>
      <c r="P743" t="s">
        <v>2464</v>
      </c>
      <c r="Q743" t="s">
        <v>3068</v>
      </c>
      <c r="R743" t="s">
        <v>4282</v>
      </c>
      <c r="S743">
        <v>47.28</v>
      </c>
    </row>
    <row r="744" spans="1:19" x14ac:dyDescent="0.3">
      <c r="A744" t="s">
        <v>1008</v>
      </c>
      <c r="B744" s="3">
        <v>45470</v>
      </c>
      <c r="C744" t="s">
        <v>2201</v>
      </c>
      <c r="D744" t="s">
        <v>2405</v>
      </c>
      <c r="E744">
        <v>4</v>
      </c>
      <c r="F744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>
        <v>2462.6</v>
      </c>
      <c r="O744" t="s">
        <v>4290</v>
      </c>
      <c r="P744" t="s">
        <v>2486</v>
      </c>
      <c r="Q744" t="s">
        <v>3065</v>
      </c>
      <c r="R744" t="s">
        <v>4282</v>
      </c>
      <c r="S744">
        <v>273.62</v>
      </c>
    </row>
    <row r="745" spans="1:19" x14ac:dyDescent="0.3">
      <c r="A745" t="s">
        <v>749</v>
      </c>
      <c r="B745" s="3">
        <v>45471</v>
      </c>
      <c r="C745" t="s">
        <v>1946</v>
      </c>
      <c r="D745" t="s">
        <v>2403</v>
      </c>
      <c r="E745">
        <v>4</v>
      </c>
      <c r="F745">
        <v>44.07</v>
      </c>
      <c r="G745" t="s">
        <v>2729</v>
      </c>
      <c r="H745" t="s">
        <v>3065</v>
      </c>
      <c r="I745" t="s">
        <v>3074</v>
      </c>
      <c r="J745" t="s">
        <v>3810</v>
      </c>
      <c r="K745">
        <v>6</v>
      </c>
      <c r="L745" t="s">
        <v>4283</v>
      </c>
      <c r="M745" t="s">
        <v>4280</v>
      </c>
      <c r="N745">
        <v>176.28</v>
      </c>
      <c r="O745" t="s">
        <v>4290</v>
      </c>
      <c r="P745" t="s">
        <v>2729</v>
      </c>
      <c r="Q745" t="s">
        <v>3065</v>
      </c>
      <c r="R745" t="s">
        <v>4280</v>
      </c>
      <c r="S745">
        <v>29.38</v>
      </c>
    </row>
    <row r="746" spans="1:19" x14ac:dyDescent="0.3">
      <c r="A746" t="s">
        <v>375</v>
      </c>
      <c r="B746" s="3">
        <v>45472</v>
      </c>
      <c r="C746" t="s">
        <v>1575</v>
      </c>
      <c r="D746" t="s">
        <v>2407</v>
      </c>
      <c r="E746">
        <v>5</v>
      </c>
      <c r="F746">
        <v>659.85</v>
      </c>
      <c r="G746" t="s">
        <v>2713</v>
      </c>
      <c r="H746" t="s">
        <v>3067</v>
      </c>
      <c r="I746" t="s">
        <v>3073</v>
      </c>
      <c r="J746" t="s">
        <v>3436</v>
      </c>
      <c r="K746">
        <v>9</v>
      </c>
      <c r="L746" t="s">
        <v>4275</v>
      </c>
      <c r="M746" t="s">
        <v>4281</v>
      </c>
      <c r="N746">
        <v>3299.25</v>
      </c>
      <c r="O746" t="s">
        <v>4290</v>
      </c>
      <c r="P746" t="s">
        <v>2713</v>
      </c>
      <c r="Q746" t="s">
        <v>3067</v>
      </c>
      <c r="R746" t="s">
        <v>4281</v>
      </c>
      <c r="S746">
        <v>366.58</v>
      </c>
    </row>
    <row r="747" spans="1:19" x14ac:dyDescent="0.3">
      <c r="A747" t="s">
        <v>882</v>
      </c>
      <c r="B747" s="3">
        <v>45472</v>
      </c>
      <c r="C747" t="s">
        <v>2078</v>
      </c>
      <c r="D747" t="s">
        <v>2403</v>
      </c>
      <c r="E747">
        <v>4</v>
      </c>
      <c r="F747">
        <v>316.32</v>
      </c>
      <c r="G747" t="s">
        <v>2961</v>
      </c>
      <c r="H747" t="s">
        <v>3065</v>
      </c>
      <c r="I747" t="s">
        <v>3073</v>
      </c>
      <c r="J747" t="s">
        <v>3943</v>
      </c>
      <c r="K747">
        <v>7</v>
      </c>
      <c r="L747" t="s">
        <v>4283</v>
      </c>
      <c r="M747" t="s">
        <v>4281</v>
      </c>
      <c r="N747">
        <v>1265.28</v>
      </c>
      <c r="O747" t="s">
        <v>4290</v>
      </c>
      <c r="P747" t="s">
        <v>2961</v>
      </c>
      <c r="Q747" t="s">
        <v>3065</v>
      </c>
      <c r="R747" t="s">
        <v>4281</v>
      </c>
      <c r="S747">
        <v>180.75</v>
      </c>
    </row>
    <row r="748" spans="1:19" x14ac:dyDescent="0.3">
      <c r="A748" t="s">
        <v>655</v>
      </c>
      <c r="B748" s="3">
        <v>45473</v>
      </c>
      <c r="C748" t="s">
        <v>1854</v>
      </c>
      <c r="D748" t="s">
        <v>2407</v>
      </c>
      <c r="E748">
        <v>4</v>
      </c>
      <c r="F748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>
        <v>9</v>
      </c>
      <c r="L748" t="s">
        <v>4277</v>
      </c>
      <c r="M748" t="s">
        <v>4282</v>
      </c>
      <c r="N748">
        <v>2270.2800000000002</v>
      </c>
      <c r="O748" t="s">
        <v>4290</v>
      </c>
      <c r="P748" t="s">
        <v>2627</v>
      </c>
      <c r="Q748" t="s">
        <v>3065</v>
      </c>
      <c r="R748" t="s">
        <v>4282</v>
      </c>
      <c r="S748">
        <v>252.25</v>
      </c>
    </row>
    <row r="749" spans="1:19" x14ac:dyDescent="0.3">
      <c r="A749" t="s">
        <v>340</v>
      </c>
      <c r="B749" s="3">
        <v>45474</v>
      </c>
      <c r="C749" t="s">
        <v>1540</v>
      </c>
      <c r="D749" t="s">
        <v>2408</v>
      </c>
      <c r="E749">
        <v>5</v>
      </c>
      <c r="F749">
        <v>670.48</v>
      </c>
      <c r="G749" t="s">
        <v>2429</v>
      </c>
      <c r="H749" t="s">
        <v>3068</v>
      </c>
      <c r="I749" t="s">
        <v>3072</v>
      </c>
      <c r="J749" t="s">
        <v>3401</v>
      </c>
      <c r="K749">
        <v>5</v>
      </c>
      <c r="L749" t="s">
        <v>4275</v>
      </c>
      <c r="M749" t="s">
        <v>4281</v>
      </c>
      <c r="N749">
        <v>3352.4</v>
      </c>
      <c r="O749" t="s">
        <v>4290</v>
      </c>
      <c r="P749" t="s">
        <v>2429</v>
      </c>
      <c r="Q749" t="s">
        <v>3068</v>
      </c>
      <c r="R749" t="s">
        <v>4281</v>
      </c>
      <c r="S749">
        <v>670.48</v>
      </c>
    </row>
    <row r="750" spans="1:19" x14ac:dyDescent="0.3">
      <c r="A750" t="s">
        <v>472</v>
      </c>
      <c r="B750" s="3">
        <v>45475</v>
      </c>
      <c r="C750" t="s">
        <v>1672</v>
      </c>
      <c r="D750" t="s">
        <v>2403</v>
      </c>
      <c r="E750">
        <v>4</v>
      </c>
      <c r="F750">
        <v>510.58</v>
      </c>
      <c r="G750" t="s">
        <v>2495</v>
      </c>
      <c r="H750" t="s">
        <v>3067</v>
      </c>
      <c r="I750" t="s">
        <v>3072</v>
      </c>
      <c r="J750" t="s">
        <v>3533</v>
      </c>
      <c r="K750">
        <v>7</v>
      </c>
      <c r="L750" t="s">
        <v>4277</v>
      </c>
      <c r="M750" t="s">
        <v>4280</v>
      </c>
      <c r="N750">
        <v>2042.32</v>
      </c>
      <c r="O750" t="s">
        <v>4290</v>
      </c>
      <c r="P750" t="s">
        <v>2495</v>
      </c>
      <c r="Q750" t="s">
        <v>3067</v>
      </c>
      <c r="R750" t="s">
        <v>4280</v>
      </c>
      <c r="S750">
        <v>291.76</v>
      </c>
    </row>
    <row r="751" spans="1:19" x14ac:dyDescent="0.3">
      <c r="A751" t="s">
        <v>545</v>
      </c>
      <c r="B751" s="3">
        <v>45475</v>
      </c>
      <c r="C751" t="s">
        <v>1745</v>
      </c>
      <c r="D751" t="s">
        <v>2409</v>
      </c>
      <c r="E751">
        <v>5</v>
      </c>
      <c r="F751">
        <v>320.01</v>
      </c>
      <c r="G751" t="s">
        <v>2805</v>
      </c>
      <c r="H751" t="s">
        <v>3068</v>
      </c>
      <c r="I751" t="s">
        <v>3073</v>
      </c>
      <c r="J751" t="s">
        <v>3606</v>
      </c>
      <c r="K751">
        <v>6</v>
      </c>
      <c r="L751" t="s">
        <v>4283</v>
      </c>
      <c r="M751" t="s">
        <v>4279</v>
      </c>
      <c r="N751">
        <v>1600.05</v>
      </c>
      <c r="O751" t="s">
        <v>4290</v>
      </c>
      <c r="P751" t="s">
        <v>2805</v>
      </c>
      <c r="Q751" t="s">
        <v>3068</v>
      </c>
      <c r="R751" t="s">
        <v>4279</v>
      </c>
      <c r="S751">
        <v>266.68</v>
      </c>
    </row>
    <row r="752" spans="1:19" x14ac:dyDescent="0.3">
      <c r="A752" t="s">
        <v>346</v>
      </c>
      <c r="B752" s="3">
        <v>45476</v>
      </c>
      <c r="C752" t="s">
        <v>1546</v>
      </c>
      <c r="D752" t="s">
        <v>2409</v>
      </c>
      <c r="E752">
        <v>5</v>
      </c>
      <c r="F752">
        <v>125.02</v>
      </c>
      <c r="G752" t="s">
        <v>2686</v>
      </c>
      <c r="H752" t="s">
        <v>3065</v>
      </c>
      <c r="I752" t="s">
        <v>3074</v>
      </c>
      <c r="J752" t="s">
        <v>3407</v>
      </c>
      <c r="K752">
        <v>9</v>
      </c>
      <c r="L752" t="s">
        <v>4275</v>
      </c>
      <c r="M752" t="s">
        <v>4282</v>
      </c>
      <c r="N752">
        <v>625.1</v>
      </c>
      <c r="O752" t="s">
        <v>4290</v>
      </c>
      <c r="P752" t="s">
        <v>2686</v>
      </c>
      <c r="Q752" t="s">
        <v>3065</v>
      </c>
      <c r="R752" t="s">
        <v>4282</v>
      </c>
      <c r="S752">
        <v>69.459999999999994</v>
      </c>
    </row>
    <row r="753" spans="1:19" x14ac:dyDescent="0.3">
      <c r="A753" t="s">
        <v>725</v>
      </c>
      <c r="B753" s="3">
        <v>45477</v>
      </c>
      <c r="C753" t="s">
        <v>1923</v>
      </c>
      <c r="D753" t="s">
        <v>2405</v>
      </c>
      <c r="E753">
        <v>2</v>
      </c>
      <c r="F753">
        <v>475.78</v>
      </c>
      <c r="G753" t="s">
        <v>2886</v>
      </c>
      <c r="H753" t="s">
        <v>3066</v>
      </c>
      <c r="I753" t="s">
        <v>3070</v>
      </c>
      <c r="J753" t="s">
        <v>3786</v>
      </c>
      <c r="K753">
        <v>2</v>
      </c>
      <c r="L753" t="s">
        <v>4277</v>
      </c>
      <c r="M753" t="s">
        <v>4282</v>
      </c>
      <c r="N753">
        <v>951.56</v>
      </c>
      <c r="O753" t="s">
        <v>4290</v>
      </c>
      <c r="P753" t="s">
        <v>2886</v>
      </c>
      <c r="Q753" t="s">
        <v>3066</v>
      </c>
      <c r="R753" t="s">
        <v>4282</v>
      </c>
      <c r="S753">
        <v>475.78</v>
      </c>
    </row>
    <row r="754" spans="1:19" x14ac:dyDescent="0.3">
      <c r="A754" t="s">
        <v>860</v>
      </c>
      <c r="B754" s="3">
        <v>45477</v>
      </c>
      <c r="C754" t="s">
        <v>2056</v>
      </c>
      <c r="D754" t="s">
        <v>2409</v>
      </c>
      <c r="E754">
        <v>2</v>
      </c>
      <c r="F754">
        <v>359.86</v>
      </c>
      <c r="G754" t="s">
        <v>2954</v>
      </c>
      <c r="H754" t="s">
        <v>3065</v>
      </c>
      <c r="I754" t="s">
        <v>3071</v>
      </c>
      <c r="J754" t="s">
        <v>3921</v>
      </c>
      <c r="K754">
        <v>4</v>
      </c>
      <c r="L754" t="s">
        <v>4283</v>
      </c>
      <c r="M754" t="s">
        <v>4279</v>
      </c>
      <c r="N754">
        <v>719.72</v>
      </c>
      <c r="O754" t="s">
        <v>4290</v>
      </c>
      <c r="P754" t="s">
        <v>2954</v>
      </c>
      <c r="Q754" t="s">
        <v>3065</v>
      </c>
      <c r="R754" t="s">
        <v>4279</v>
      </c>
      <c r="S754">
        <v>179.93</v>
      </c>
    </row>
    <row r="755" spans="1:19" x14ac:dyDescent="0.3">
      <c r="A755" t="s">
        <v>682</v>
      </c>
      <c r="B755" s="3">
        <v>45478</v>
      </c>
      <c r="C755" t="s">
        <v>1880</v>
      </c>
      <c r="D755" t="s">
        <v>2403</v>
      </c>
      <c r="E755">
        <v>2</v>
      </c>
      <c r="F755">
        <v>253.67</v>
      </c>
      <c r="G755" t="s">
        <v>2549</v>
      </c>
      <c r="H755" t="s">
        <v>3069</v>
      </c>
      <c r="I755" t="s">
        <v>3072</v>
      </c>
      <c r="J755" t="s">
        <v>3743</v>
      </c>
      <c r="K755">
        <v>3</v>
      </c>
      <c r="L755" t="s">
        <v>4277</v>
      </c>
      <c r="M755" t="s">
        <v>4281</v>
      </c>
      <c r="N755">
        <v>507.34</v>
      </c>
      <c r="O755" t="s">
        <v>4290</v>
      </c>
      <c r="P755" t="s">
        <v>2549</v>
      </c>
      <c r="Q755" t="s">
        <v>3069</v>
      </c>
      <c r="R755" t="s">
        <v>4281</v>
      </c>
      <c r="S755">
        <v>169.11</v>
      </c>
    </row>
    <row r="756" spans="1:19" x14ac:dyDescent="0.3">
      <c r="A756" t="s">
        <v>1199</v>
      </c>
      <c r="B756" s="3">
        <v>45481</v>
      </c>
      <c r="C756" t="s">
        <v>2388</v>
      </c>
      <c r="D756" t="s">
        <v>2406</v>
      </c>
      <c r="E756">
        <v>1</v>
      </c>
      <c r="F756">
        <v>343.31</v>
      </c>
      <c r="G756" t="s">
        <v>3057</v>
      </c>
      <c r="H756" t="s">
        <v>3068</v>
      </c>
      <c r="I756" t="s">
        <v>3072</v>
      </c>
      <c r="J756" t="s">
        <v>4260</v>
      </c>
      <c r="K756">
        <v>6</v>
      </c>
      <c r="L756" t="s">
        <v>4275</v>
      </c>
      <c r="M756" t="s">
        <v>4282</v>
      </c>
      <c r="N756">
        <v>343.31</v>
      </c>
      <c r="O756" t="s">
        <v>4290</v>
      </c>
      <c r="P756" t="s">
        <v>3057</v>
      </c>
      <c r="Q756" t="s">
        <v>3068</v>
      </c>
      <c r="R756" t="s">
        <v>4282</v>
      </c>
      <c r="S756">
        <v>57.22</v>
      </c>
    </row>
    <row r="757" spans="1:19" x14ac:dyDescent="0.3">
      <c r="A757" t="s">
        <v>1097</v>
      </c>
      <c r="B757" s="3">
        <v>45482</v>
      </c>
      <c r="C757" t="s">
        <v>2289</v>
      </c>
      <c r="D757" t="s">
        <v>2406</v>
      </c>
      <c r="E757">
        <v>1</v>
      </c>
      <c r="F757">
        <v>123.28</v>
      </c>
      <c r="G757" t="s">
        <v>2440</v>
      </c>
      <c r="H757" t="s">
        <v>3067</v>
      </c>
      <c r="I757" t="s">
        <v>3073</v>
      </c>
      <c r="J757" t="s">
        <v>4158</v>
      </c>
      <c r="K757">
        <v>3</v>
      </c>
      <c r="L757" t="s">
        <v>4275</v>
      </c>
      <c r="M757" t="s">
        <v>4280</v>
      </c>
      <c r="N757">
        <v>123.28</v>
      </c>
      <c r="O757" t="s">
        <v>4290</v>
      </c>
      <c r="P757" t="s">
        <v>2440</v>
      </c>
      <c r="Q757" t="s">
        <v>3067</v>
      </c>
      <c r="R757" t="s">
        <v>4280</v>
      </c>
      <c r="S757">
        <v>41.09</v>
      </c>
    </row>
    <row r="758" spans="1:19" x14ac:dyDescent="0.3">
      <c r="A758" t="s">
        <v>704</v>
      </c>
      <c r="B758" s="3">
        <v>45485</v>
      </c>
      <c r="C758" t="s">
        <v>1902</v>
      </c>
      <c r="D758" t="s">
        <v>2403</v>
      </c>
      <c r="E758">
        <v>1</v>
      </c>
      <c r="F758">
        <v>24.48</v>
      </c>
      <c r="G758" t="s">
        <v>2445</v>
      </c>
      <c r="H758" t="s">
        <v>3068</v>
      </c>
      <c r="I758" t="s">
        <v>3072</v>
      </c>
      <c r="J758" t="s">
        <v>3765</v>
      </c>
      <c r="K758">
        <v>1</v>
      </c>
      <c r="L758" t="s">
        <v>4283</v>
      </c>
      <c r="M758" t="s">
        <v>4278</v>
      </c>
      <c r="N758">
        <v>24.48</v>
      </c>
      <c r="O758" t="s">
        <v>4290</v>
      </c>
      <c r="P758" t="s">
        <v>2445</v>
      </c>
      <c r="Q758" t="s">
        <v>3068</v>
      </c>
      <c r="R758" t="s">
        <v>4278</v>
      </c>
      <c r="S758">
        <v>24.48</v>
      </c>
    </row>
    <row r="759" spans="1:19" x14ac:dyDescent="0.3">
      <c r="A759" t="s">
        <v>916</v>
      </c>
      <c r="B759" s="3">
        <v>45486</v>
      </c>
      <c r="C759" t="s">
        <v>2112</v>
      </c>
      <c r="D759" t="s">
        <v>2403</v>
      </c>
      <c r="E759">
        <v>4</v>
      </c>
      <c r="F759">
        <v>180.25</v>
      </c>
      <c r="G759" t="s">
        <v>2469</v>
      </c>
      <c r="H759" t="s">
        <v>3065</v>
      </c>
      <c r="I759" t="s">
        <v>3071</v>
      </c>
      <c r="J759" t="s">
        <v>3977</v>
      </c>
      <c r="K759">
        <v>7</v>
      </c>
      <c r="L759" t="s">
        <v>4283</v>
      </c>
      <c r="M759" t="s">
        <v>4281</v>
      </c>
      <c r="N759">
        <v>721</v>
      </c>
      <c r="O759" t="s">
        <v>4290</v>
      </c>
      <c r="P759" t="s">
        <v>2469</v>
      </c>
      <c r="Q759" t="s">
        <v>3065</v>
      </c>
      <c r="R759" t="s">
        <v>4281</v>
      </c>
      <c r="S759">
        <v>103</v>
      </c>
    </row>
    <row r="760" spans="1:19" x14ac:dyDescent="0.3">
      <c r="A760" t="s">
        <v>407</v>
      </c>
      <c r="B760" s="3">
        <v>45487</v>
      </c>
      <c r="C760" t="s">
        <v>1607</v>
      </c>
      <c r="D760" t="s">
        <v>2407</v>
      </c>
      <c r="E760">
        <v>1</v>
      </c>
      <c r="F760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>
        <v>3</v>
      </c>
      <c r="L760" t="s">
        <v>4283</v>
      </c>
      <c r="M760" t="s">
        <v>4282</v>
      </c>
      <c r="N760">
        <v>75.010000000000005</v>
      </c>
      <c r="O760" t="s">
        <v>4290</v>
      </c>
      <c r="P760" t="s">
        <v>2728</v>
      </c>
      <c r="Q760" t="s">
        <v>3067</v>
      </c>
      <c r="R760" t="s">
        <v>4282</v>
      </c>
      <c r="S760">
        <v>25</v>
      </c>
    </row>
    <row r="761" spans="1:19" x14ac:dyDescent="0.3">
      <c r="A761" t="s">
        <v>762</v>
      </c>
      <c r="B761" s="3">
        <v>45488</v>
      </c>
      <c r="C761" t="s">
        <v>1959</v>
      </c>
      <c r="D761" t="s">
        <v>2405</v>
      </c>
      <c r="E761">
        <v>3</v>
      </c>
      <c r="F761">
        <v>70.81</v>
      </c>
      <c r="G761" t="s">
        <v>2789</v>
      </c>
      <c r="H761" t="s">
        <v>3067</v>
      </c>
      <c r="I761" t="s">
        <v>3070</v>
      </c>
      <c r="J761" t="s">
        <v>3823</v>
      </c>
      <c r="K761">
        <v>8</v>
      </c>
      <c r="L761" t="s">
        <v>4276</v>
      </c>
      <c r="M761" t="s">
        <v>4279</v>
      </c>
      <c r="N761">
        <v>212.43</v>
      </c>
      <c r="O761" t="s">
        <v>4290</v>
      </c>
      <c r="P761" t="s">
        <v>2789</v>
      </c>
      <c r="Q761" t="s">
        <v>3067</v>
      </c>
      <c r="R761" t="s">
        <v>4279</v>
      </c>
      <c r="S761">
        <v>26.55</v>
      </c>
    </row>
    <row r="762" spans="1:19" x14ac:dyDescent="0.3">
      <c r="A762" t="s">
        <v>572</v>
      </c>
      <c r="B762" s="3">
        <v>45489</v>
      </c>
      <c r="C762" t="s">
        <v>1772</v>
      </c>
      <c r="D762" t="s">
        <v>2404</v>
      </c>
      <c r="E762">
        <v>4</v>
      </c>
      <c r="F762">
        <v>628.12</v>
      </c>
      <c r="G762" t="s">
        <v>2819</v>
      </c>
      <c r="H762" t="s">
        <v>3066</v>
      </c>
      <c r="I762" t="s">
        <v>3073</v>
      </c>
      <c r="J762" t="s">
        <v>3633</v>
      </c>
      <c r="K762">
        <v>6</v>
      </c>
      <c r="L762" t="s">
        <v>4277</v>
      </c>
      <c r="M762" t="s">
        <v>4278</v>
      </c>
      <c r="N762">
        <v>2512.48</v>
      </c>
      <c r="O762" t="s">
        <v>4290</v>
      </c>
      <c r="P762" t="s">
        <v>2819</v>
      </c>
      <c r="Q762" t="s">
        <v>3066</v>
      </c>
      <c r="R762" t="s">
        <v>4278</v>
      </c>
      <c r="S762">
        <v>418.75</v>
      </c>
    </row>
    <row r="763" spans="1:19" x14ac:dyDescent="0.3">
      <c r="A763" t="s">
        <v>633</v>
      </c>
      <c r="B763" s="3">
        <v>45489</v>
      </c>
      <c r="C763" t="s">
        <v>1832</v>
      </c>
      <c r="D763" t="s">
        <v>2408</v>
      </c>
      <c r="E763">
        <v>1</v>
      </c>
      <c r="F763">
        <v>532.89</v>
      </c>
      <c r="G763" t="s">
        <v>2783</v>
      </c>
      <c r="H763" t="s">
        <v>3068</v>
      </c>
      <c r="I763" t="s">
        <v>3074</v>
      </c>
      <c r="J763" t="s">
        <v>3694</v>
      </c>
      <c r="K763">
        <v>2</v>
      </c>
      <c r="L763" t="s">
        <v>4283</v>
      </c>
      <c r="M763" t="s">
        <v>4279</v>
      </c>
      <c r="N763">
        <v>532.89</v>
      </c>
      <c r="O763" t="s">
        <v>4290</v>
      </c>
      <c r="P763" t="s">
        <v>2783</v>
      </c>
      <c r="Q763" t="s">
        <v>3068</v>
      </c>
      <c r="R763" t="s">
        <v>4279</v>
      </c>
      <c r="S763">
        <v>266.44</v>
      </c>
    </row>
    <row r="764" spans="1:19" x14ac:dyDescent="0.3">
      <c r="A764" t="s">
        <v>544</v>
      </c>
      <c r="B764" s="3">
        <v>45491</v>
      </c>
      <c r="C764" t="s">
        <v>1744</v>
      </c>
      <c r="D764" t="s">
        <v>2406</v>
      </c>
      <c r="E764">
        <v>4</v>
      </c>
      <c r="F764">
        <v>89.41</v>
      </c>
      <c r="G764" t="s">
        <v>2804</v>
      </c>
      <c r="H764" t="s">
        <v>3066</v>
      </c>
      <c r="I764" t="s">
        <v>3074</v>
      </c>
      <c r="J764" t="s">
        <v>3605</v>
      </c>
      <c r="K764">
        <v>9</v>
      </c>
      <c r="L764" t="s">
        <v>4283</v>
      </c>
      <c r="M764" t="s">
        <v>4282</v>
      </c>
      <c r="N764">
        <v>357.64</v>
      </c>
      <c r="O764" t="s">
        <v>4290</v>
      </c>
      <c r="P764" t="s">
        <v>2804</v>
      </c>
      <c r="Q764" t="s">
        <v>3066</v>
      </c>
      <c r="R764" t="s">
        <v>4282</v>
      </c>
      <c r="S764">
        <v>39.74</v>
      </c>
    </row>
    <row r="765" spans="1:19" x14ac:dyDescent="0.3">
      <c r="A765" t="s">
        <v>1063</v>
      </c>
      <c r="B765" s="3">
        <v>45491</v>
      </c>
      <c r="C765" t="s">
        <v>2255</v>
      </c>
      <c r="D765" t="s">
        <v>2409</v>
      </c>
      <c r="E765">
        <v>5</v>
      </c>
      <c r="F765">
        <v>391.86</v>
      </c>
      <c r="G765" t="s">
        <v>2430</v>
      </c>
      <c r="H765" t="s">
        <v>3067</v>
      </c>
      <c r="I765" t="s">
        <v>3070</v>
      </c>
      <c r="J765" t="s">
        <v>4124</v>
      </c>
      <c r="K765">
        <v>6</v>
      </c>
      <c r="L765" t="s">
        <v>4283</v>
      </c>
      <c r="M765" t="s">
        <v>4278</v>
      </c>
      <c r="N765">
        <v>1959.3</v>
      </c>
      <c r="O765" t="s">
        <v>4290</v>
      </c>
      <c r="P765" t="s">
        <v>2430</v>
      </c>
      <c r="Q765" t="s">
        <v>3067</v>
      </c>
      <c r="R765" t="s">
        <v>4278</v>
      </c>
      <c r="S765">
        <v>326.55</v>
      </c>
    </row>
    <row r="766" spans="1:19" x14ac:dyDescent="0.3">
      <c r="A766" t="s">
        <v>1145</v>
      </c>
      <c r="B766" s="3">
        <v>45491</v>
      </c>
      <c r="C766" t="s">
        <v>2335</v>
      </c>
      <c r="D766" t="s">
        <v>2404</v>
      </c>
      <c r="E766">
        <v>1</v>
      </c>
      <c r="F766">
        <v>694.5</v>
      </c>
      <c r="G766" t="s">
        <v>2651</v>
      </c>
      <c r="H766" t="s">
        <v>3067</v>
      </c>
      <c r="I766" t="s">
        <v>3074</v>
      </c>
      <c r="J766" t="s">
        <v>4206</v>
      </c>
      <c r="K766">
        <v>3</v>
      </c>
      <c r="L766" t="s">
        <v>4277</v>
      </c>
      <c r="M766" t="s">
        <v>4281</v>
      </c>
      <c r="N766">
        <v>694.5</v>
      </c>
      <c r="O766" t="s">
        <v>4290</v>
      </c>
      <c r="P766" t="s">
        <v>2651</v>
      </c>
      <c r="Q766" t="s">
        <v>3067</v>
      </c>
      <c r="R766" t="s">
        <v>4281</v>
      </c>
      <c r="S766">
        <v>231.5</v>
      </c>
    </row>
    <row r="767" spans="1:19" x14ac:dyDescent="0.3">
      <c r="A767" t="s">
        <v>437</v>
      </c>
      <c r="B767" s="3">
        <v>45493</v>
      </c>
      <c r="C767" t="s">
        <v>1637</v>
      </c>
      <c r="D767" t="s">
        <v>2407</v>
      </c>
      <c r="E767">
        <v>4</v>
      </c>
      <c r="F767">
        <v>685.2</v>
      </c>
      <c r="G767" t="s">
        <v>2651</v>
      </c>
      <c r="H767" t="s">
        <v>3068</v>
      </c>
      <c r="I767" t="s">
        <v>3071</v>
      </c>
      <c r="J767" t="s">
        <v>3498</v>
      </c>
      <c r="K767">
        <v>6</v>
      </c>
      <c r="L767" t="s">
        <v>4277</v>
      </c>
      <c r="M767" t="s">
        <v>4282</v>
      </c>
      <c r="N767">
        <v>2740.8</v>
      </c>
      <c r="O767" t="s">
        <v>4290</v>
      </c>
      <c r="P767" t="s">
        <v>2651</v>
      </c>
      <c r="Q767" t="s">
        <v>3068</v>
      </c>
      <c r="R767" t="s">
        <v>4282</v>
      </c>
      <c r="S767">
        <v>456.8</v>
      </c>
    </row>
    <row r="768" spans="1:19" x14ac:dyDescent="0.3">
      <c r="A768" t="s">
        <v>754</v>
      </c>
      <c r="B768" s="3">
        <v>45493</v>
      </c>
      <c r="C768" t="s">
        <v>1951</v>
      </c>
      <c r="D768" t="s">
        <v>2409</v>
      </c>
      <c r="E768">
        <v>2</v>
      </c>
      <c r="F768">
        <v>377.47</v>
      </c>
      <c r="G768" t="s">
        <v>2749</v>
      </c>
      <c r="H768" t="s">
        <v>3069</v>
      </c>
      <c r="I768" t="s">
        <v>3074</v>
      </c>
      <c r="J768" t="s">
        <v>3815</v>
      </c>
      <c r="K768">
        <v>7</v>
      </c>
      <c r="L768" t="s">
        <v>4283</v>
      </c>
      <c r="M768" t="s">
        <v>4282</v>
      </c>
      <c r="N768">
        <v>754.94</v>
      </c>
      <c r="O768" t="s">
        <v>4290</v>
      </c>
      <c r="P768" t="s">
        <v>2749</v>
      </c>
      <c r="Q768" t="s">
        <v>3069</v>
      </c>
      <c r="R768" t="s">
        <v>4282</v>
      </c>
      <c r="S768">
        <v>107.85</v>
      </c>
    </row>
    <row r="769" spans="1:19" x14ac:dyDescent="0.3">
      <c r="A769" t="s">
        <v>999</v>
      </c>
      <c r="B769" s="3">
        <v>45493</v>
      </c>
      <c r="C769" t="s">
        <v>2192</v>
      </c>
      <c r="D769" t="s">
        <v>2409</v>
      </c>
      <c r="E769">
        <v>1</v>
      </c>
      <c r="F769">
        <v>243.71</v>
      </c>
      <c r="G769" t="s">
        <v>2608</v>
      </c>
      <c r="H769" t="s">
        <v>3068</v>
      </c>
      <c r="I769" t="s">
        <v>3073</v>
      </c>
      <c r="J769" t="s">
        <v>4060</v>
      </c>
      <c r="K769">
        <v>6</v>
      </c>
      <c r="L769" t="s">
        <v>4275</v>
      </c>
      <c r="M769" t="s">
        <v>4282</v>
      </c>
      <c r="N769">
        <v>243.71</v>
      </c>
      <c r="O769" t="s">
        <v>4290</v>
      </c>
      <c r="P769" t="s">
        <v>2608</v>
      </c>
      <c r="Q769" t="s">
        <v>3068</v>
      </c>
      <c r="R769" t="s">
        <v>4282</v>
      </c>
      <c r="S769">
        <v>40.619999999999997</v>
      </c>
    </row>
    <row r="770" spans="1:19" x14ac:dyDescent="0.3">
      <c r="A770" t="s">
        <v>391</v>
      </c>
      <c r="B770" s="3">
        <v>45495</v>
      </c>
      <c r="C770" t="s">
        <v>1591</v>
      </c>
      <c r="D770" t="s">
        <v>2403</v>
      </c>
      <c r="E770">
        <v>1</v>
      </c>
      <c r="F770">
        <v>260.26</v>
      </c>
      <c r="G770" t="s">
        <v>2671</v>
      </c>
      <c r="H770" t="s">
        <v>3066</v>
      </c>
      <c r="I770" t="s">
        <v>3074</v>
      </c>
      <c r="J770" t="s">
        <v>3452</v>
      </c>
      <c r="K770">
        <v>5</v>
      </c>
      <c r="L770" t="s">
        <v>4277</v>
      </c>
      <c r="M770" t="s">
        <v>4278</v>
      </c>
      <c r="N770">
        <v>260.26</v>
      </c>
      <c r="O770" t="s">
        <v>4290</v>
      </c>
      <c r="P770" t="s">
        <v>2671</v>
      </c>
      <c r="Q770" t="s">
        <v>3066</v>
      </c>
      <c r="R770" t="s">
        <v>4278</v>
      </c>
      <c r="S770">
        <v>52.05</v>
      </c>
    </row>
    <row r="771" spans="1:19" x14ac:dyDescent="0.3">
      <c r="A771" t="s">
        <v>504</v>
      </c>
      <c r="B771" s="3">
        <v>45495</v>
      </c>
      <c r="C771" t="s">
        <v>1704</v>
      </c>
      <c r="D771" t="s">
        <v>2406</v>
      </c>
      <c r="E771">
        <v>5</v>
      </c>
      <c r="F771">
        <v>467.81</v>
      </c>
      <c r="G771" t="s">
        <v>2786</v>
      </c>
      <c r="H771" t="s">
        <v>3066</v>
      </c>
      <c r="I771" t="s">
        <v>3071</v>
      </c>
      <c r="J771" t="s">
        <v>3565</v>
      </c>
      <c r="K771">
        <v>10</v>
      </c>
      <c r="L771" t="s">
        <v>4283</v>
      </c>
      <c r="M771" t="s">
        <v>4281</v>
      </c>
      <c r="N771">
        <v>2339.0500000000002</v>
      </c>
      <c r="O771" t="s">
        <v>4290</v>
      </c>
      <c r="P771" t="s">
        <v>2786</v>
      </c>
      <c r="Q771" t="s">
        <v>3066</v>
      </c>
      <c r="R771" t="s">
        <v>4281</v>
      </c>
      <c r="S771">
        <v>233.9</v>
      </c>
    </row>
    <row r="772" spans="1:19" x14ac:dyDescent="0.3">
      <c r="A772" t="s">
        <v>724</v>
      </c>
      <c r="B772" s="3">
        <v>45495</v>
      </c>
      <c r="C772" t="s">
        <v>1922</v>
      </c>
      <c r="D772" t="s">
        <v>2408</v>
      </c>
      <c r="E772">
        <v>5</v>
      </c>
      <c r="F772">
        <v>21.54</v>
      </c>
      <c r="G772" t="s">
        <v>2885</v>
      </c>
      <c r="H772" t="s">
        <v>3068</v>
      </c>
      <c r="I772" t="s">
        <v>3072</v>
      </c>
      <c r="J772" t="s">
        <v>3785</v>
      </c>
      <c r="K772">
        <v>10</v>
      </c>
      <c r="L772" t="s">
        <v>4283</v>
      </c>
      <c r="M772" t="s">
        <v>4282</v>
      </c>
      <c r="N772">
        <v>107.7</v>
      </c>
      <c r="O772" t="s">
        <v>4290</v>
      </c>
      <c r="P772" t="s">
        <v>2885</v>
      </c>
      <c r="Q772" t="s">
        <v>3068</v>
      </c>
      <c r="R772" t="s">
        <v>4282</v>
      </c>
      <c r="S772">
        <v>10.77</v>
      </c>
    </row>
    <row r="773" spans="1:19" x14ac:dyDescent="0.3">
      <c r="A773" t="s">
        <v>965</v>
      </c>
      <c r="B773" s="3">
        <v>45495</v>
      </c>
      <c r="C773" t="s">
        <v>2159</v>
      </c>
      <c r="D773" t="s">
        <v>2407</v>
      </c>
      <c r="E773">
        <v>2</v>
      </c>
      <c r="F773">
        <v>306.24</v>
      </c>
      <c r="G773" t="s">
        <v>2637</v>
      </c>
      <c r="H773" t="s">
        <v>3066</v>
      </c>
      <c r="I773" t="s">
        <v>3072</v>
      </c>
      <c r="J773" t="s">
        <v>4026</v>
      </c>
      <c r="K773">
        <v>4</v>
      </c>
      <c r="L773" t="s">
        <v>4276</v>
      </c>
      <c r="M773" t="s">
        <v>4280</v>
      </c>
      <c r="N773">
        <v>612.48</v>
      </c>
      <c r="O773" t="s">
        <v>4290</v>
      </c>
      <c r="P773" t="s">
        <v>2637</v>
      </c>
      <c r="Q773" t="s">
        <v>3066</v>
      </c>
      <c r="R773" t="s">
        <v>4280</v>
      </c>
      <c r="S773">
        <v>153.12</v>
      </c>
    </row>
    <row r="774" spans="1:19" x14ac:dyDescent="0.3">
      <c r="A774" t="s">
        <v>1140</v>
      </c>
      <c r="B774" s="3">
        <v>45495</v>
      </c>
      <c r="C774" t="s">
        <v>2330</v>
      </c>
      <c r="D774" t="s">
        <v>2404</v>
      </c>
      <c r="E774">
        <v>5</v>
      </c>
      <c r="F774">
        <v>190.11</v>
      </c>
      <c r="G774" t="s">
        <v>3038</v>
      </c>
      <c r="H774" t="s">
        <v>3069</v>
      </c>
      <c r="I774" t="s">
        <v>3073</v>
      </c>
      <c r="J774" t="s">
        <v>4201</v>
      </c>
      <c r="K774">
        <v>7</v>
      </c>
      <c r="L774" t="s">
        <v>4275</v>
      </c>
      <c r="M774" t="s">
        <v>4282</v>
      </c>
      <c r="N774">
        <v>950.55000000000007</v>
      </c>
      <c r="O774" t="s">
        <v>4290</v>
      </c>
      <c r="P774" t="s">
        <v>3038</v>
      </c>
      <c r="Q774" t="s">
        <v>3069</v>
      </c>
      <c r="R774" t="s">
        <v>4282</v>
      </c>
      <c r="S774">
        <v>135.79</v>
      </c>
    </row>
    <row r="775" spans="1:19" x14ac:dyDescent="0.3">
      <c r="A775" t="s">
        <v>902</v>
      </c>
      <c r="B775" s="3">
        <v>45496</v>
      </c>
      <c r="C775" t="s">
        <v>2098</v>
      </c>
      <c r="D775" t="s">
        <v>2408</v>
      </c>
      <c r="E775">
        <v>2</v>
      </c>
      <c r="F775">
        <v>266.95</v>
      </c>
      <c r="G775" t="s">
        <v>2972</v>
      </c>
      <c r="H775" t="s">
        <v>3067</v>
      </c>
      <c r="I775" t="s">
        <v>3074</v>
      </c>
      <c r="J775" t="s">
        <v>3963</v>
      </c>
      <c r="K775">
        <v>3</v>
      </c>
      <c r="L775" t="s">
        <v>4283</v>
      </c>
      <c r="M775" t="s">
        <v>4278</v>
      </c>
      <c r="N775">
        <v>533.9</v>
      </c>
      <c r="O775" t="s">
        <v>4290</v>
      </c>
      <c r="P775" t="s">
        <v>2972</v>
      </c>
      <c r="Q775" t="s">
        <v>3067</v>
      </c>
      <c r="R775" t="s">
        <v>4278</v>
      </c>
      <c r="S775">
        <v>177.97</v>
      </c>
    </row>
    <row r="776" spans="1:19" x14ac:dyDescent="0.3">
      <c r="A776" t="s">
        <v>39</v>
      </c>
      <c r="B776" s="3">
        <v>45497</v>
      </c>
      <c r="C776" t="s">
        <v>1239</v>
      </c>
      <c r="D776" t="s">
        <v>2403</v>
      </c>
      <c r="E776">
        <v>1</v>
      </c>
      <c r="F776">
        <v>399.98</v>
      </c>
      <c r="G776" t="s">
        <v>2435</v>
      </c>
      <c r="H776" t="s">
        <v>3065</v>
      </c>
      <c r="I776" t="s">
        <v>3073</v>
      </c>
      <c r="J776" t="s">
        <v>3100</v>
      </c>
      <c r="K776">
        <v>3</v>
      </c>
      <c r="L776" t="s">
        <v>4277</v>
      </c>
      <c r="M776" t="s">
        <v>4280</v>
      </c>
      <c r="N776">
        <v>399.98</v>
      </c>
      <c r="O776" t="s">
        <v>4290</v>
      </c>
      <c r="P776" t="s">
        <v>2435</v>
      </c>
      <c r="Q776" t="s">
        <v>3065</v>
      </c>
      <c r="R776" t="s">
        <v>4280</v>
      </c>
      <c r="S776">
        <v>133.33000000000001</v>
      </c>
    </row>
    <row r="777" spans="1:19" x14ac:dyDescent="0.3">
      <c r="A777" t="s">
        <v>473</v>
      </c>
      <c r="B777" s="3">
        <v>45497</v>
      </c>
      <c r="C777" t="s">
        <v>1673</v>
      </c>
      <c r="D777" t="s">
        <v>2409</v>
      </c>
      <c r="E777">
        <v>1</v>
      </c>
      <c r="F777">
        <v>334.39</v>
      </c>
      <c r="G777" t="s">
        <v>2749</v>
      </c>
      <c r="H777" t="s">
        <v>3067</v>
      </c>
      <c r="I777" t="s">
        <v>3072</v>
      </c>
      <c r="J777" t="s">
        <v>3534</v>
      </c>
      <c r="K777">
        <v>2</v>
      </c>
      <c r="L777" t="s">
        <v>4283</v>
      </c>
      <c r="M777" t="s">
        <v>4278</v>
      </c>
      <c r="N777">
        <v>334.39</v>
      </c>
      <c r="O777" t="s">
        <v>4290</v>
      </c>
      <c r="P777" t="s">
        <v>2749</v>
      </c>
      <c r="Q777" t="s">
        <v>3067</v>
      </c>
      <c r="R777" t="s">
        <v>4278</v>
      </c>
      <c r="S777">
        <v>167.2</v>
      </c>
    </row>
    <row r="778" spans="1:19" x14ac:dyDescent="0.3">
      <c r="A778" t="s">
        <v>549</v>
      </c>
      <c r="B778" s="3">
        <v>45497</v>
      </c>
      <c r="C778" t="s">
        <v>1749</v>
      </c>
      <c r="D778" t="s">
        <v>2403</v>
      </c>
      <c r="E778">
        <v>3</v>
      </c>
      <c r="F778">
        <v>68.12</v>
      </c>
      <c r="G778" t="s">
        <v>2567</v>
      </c>
      <c r="H778" t="s">
        <v>3066</v>
      </c>
      <c r="I778" t="s">
        <v>3071</v>
      </c>
      <c r="J778" t="s">
        <v>3610</v>
      </c>
      <c r="K778">
        <v>3</v>
      </c>
      <c r="L778" t="s">
        <v>4276</v>
      </c>
      <c r="M778" t="s">
        <v>4280</v>
      </c>
      <c r="N778">
        <v>204.36</v>
      </c>
      <c r="O778" t="s">
        <v>4290</v>
      </c>
      <c r="P778" t="s">
        <v>2567</v>
      </c>
      <c r="Q778" t="s">
        <v>3066</v>
      </c>
      <c r="R778" t="s">
        <v>4280</v>
      </c>
      <c r="S778">
        <v>68.12</v>
      </c>
    </row>
    <row r="779" spans="1:19" x14ac:dyDescent="0.3">
      <c r="A779" t="s">
        <v>622</v>
      </c>
      <c r="B779" s="3">
        <v>45497</v>
      </c>
      <c r="C779" t="s">
        <v>1821</v>
      </c>
      <c r="D779" t="s">
        <v>2408</v>
      </c>
      <c r="E779">
        <v>5</v>
      </c>
      <c r="F779">
        <v>543.16</v>
      </c>
      <c r="G779" t="s">
        <v>2840</v>
      </c>
      <c r="H779" t="s">
        <v>3066</v>
      </c>
      <c r="I779" t="s">
        <v>3071</v>
      </c>
      <c r="J779" t="s">
        <v>3683</v>
      </c>
      <c r="K779">
        <v>6</v>
      </c>
      <c r="L779" t="s">
        <v>4275</v>
      </c>
      <c r="M779" t="s">
        <v>4278</v>
      </c>
      <c r="N779">
        <v>2715.8</v>
      </c>
      <c r="O779" t="s">
        <v>4290</v>
      </c>
      <c r="P779" t="s">
        <v>2840</v>
      </c>
      <c r="Q779" t="s">
        <v>3066</v>
      </c>
      <c r="R779" t="s">
        <v>4278</v>
      </c>
      <c r="S779">
        <v>452.63</v>
      </c>
    </row>
    <row r="780" spans="1:19" x14ac:dyDescent="0.3">
      <c r="A780" t="s">
        <v>842</v>
      </c>
      <c r="B780" s="3">
        <v>45497</v>
      </c>
      <c r="C780" t="s">
        <v>2038</v>
      </c>
      <c r="D780" t="s">
        <v>2406</v>
      </c>
      <c r="E780">
        <v>4</v>
      </c>
      <c r="F780">
        <v>404.58</v>
      </c>
      <c r="G780" t="s">
        <v>2945</v>
      </c>
      <c r="H780" t="s">
        <v>3069</v>
      </c>
      <c r="I780" t="s">
        <v>3070</v>
      </c>
      <c r="J780" t="s">
        <v>3903</v>
      </c>
      <c r="K780">
        <v>5</v>
      </c>
      <c r="L780" t="s">
        <v>4276</v>
      </c>
      <c r="M780" t="s">
        <v>4278</v>
      </c>
      <c r="N780">
        <v>1618.32</v>
      </c>
      <c r="O780" t="s">
        <v>4290</v>
      </c>
      <c r="P780" t="s">
        <v>2945</v>
      </c>
      <c r="Q780" t="s">
        <v>3069</v>
      </c>
      <c r="R780" t="s">
        <v>4278</v>
      </c>
      <c r="S780">
        <v>323.66000000000003</v>
      </c>
    </row>
    <row r="781" spans="1:19" x14ac:dyDescent="0.3">
      <c r="A781" t="s">
        <v>891</v>
      </c>
      <c r="B781" s="3">
        <v>45498</v>
      </c>
      <c r="C781" t="s">
        <v>2087</v>
      </c>
      <c r="D781" t="s">
        <v>2405</v>
      </c>
      <c r="E781">
        <v>1</v>
      </c>
      <c r="F781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>
        <v>3</v>
      </c>
      <c r="L781" t="s">
        <v>4276</v>
      </c>
      <c r="M781" t="s">
        <v>4280</v>
      </c>
      <c r="N781">
        <v>524.05999999999995</v>
      </c>
      <c r="O781" t="s">
        <v>4290</v>
      </c>
      <c r="P781" t="s">
        <v>2847</v>
      </c>
      <c r="Q781" t="s">
        <v>3065</v>
      </c>
      <c r="R781" t="s">
        <v>4280</v>
      </c>
      <c r="S781">
        <v>174.69</v>
      </c>
    </row>
    <row r="782" spans="1:19" x14ac:dyDescent="0.3">
      <c r="A782" t="s">
        <v>1118</v>
      </c>
      <c r="B782" s="3">
        <v>45498</v>
      </c>
      <c r="C782" t="s">
        <v>2309</v>
      </c>
      <c r="D782" t="s">
        <v>2405</v>
      </c>
      <c r="E782">
        <v>4</v>
      </c>
      <c r="F782">
        <v>314.76</v>
      </c>
      <c r="G782" t="s">
        <v>3033</v>
      </c>
      <c r="H782" t="s">
        <v>3066</v>
      </c>
      <c r="I782" t="s">
        <v>3070</v>
      </c>
      <c r="J782" t="s">
        <v>4179</v>
      </c>
      <c r="K782">
        <v>8</v>
      </c>
      <c r="L782" t="s">
        <v>4283</v>
      </c>
      <c r="M782" t="s">
        <v>4278</v>
      </c>
      <c r="N782">
        <v>1259.04</v>
      </c>
      <c r="O782" t="s">
        <v>4290</v>
      </c>
      <c r="P782" t="s">
        <v>3033</v>
      </c>
      <c r="Q782" t="s">
        <v>3066</v>
      </c>
      <c r="R782" t="s">
        <v>4278</v>
      </c>
      <c r="S782">
        <v>157.38</v>
      </c>
    </row>
    <row r="783" spans="1:19" x14ac:dyDescent="0.3">
      <c r="A783" t="s">
        <v>1163</v>
      </c>
      <c r="B783" s="3">
        <v>45498</v>
      </c>
      <c r="C783" t="s">
        <v>2352</v>
      </c>
      <c r="D783" t="s">
        <v>2406</v>
      </c>
      <c r="E783">
        <v>2</v>
      </c>
      <c r="F783">
        <v>695.29</v>
      </c>
      <c r="G783" t="s">
        <v>3046</v>
      </c>
      <c r="H783" t="s">
        <v>3067</v>
      </c>
      <c r="I783" t="s">
        <v>3074</v>
      </c>
      <c r="J783" t="s">
        <v>4224</v>
      </c>
      <c r="K783">
        <v>6</v>
      </c>
      <c r="L783" t="s">
        <v>4276</v>
      </c>
      <c r="M783" t="s">
        <v>4278</v>
      </c>
      <c r="N783">
        <v>1390.58</v>
      </c>
      <c r="O783" t="s">
        <v>4290</v>
      </c>
      <c r="P783" t="s">
        <v>3046</v>
      </c>
      <c r="Q783" t="s">
        <v>3067</v>
      </c>
      <c r="R783" t="s">
        <v>4278</v>
      </c>
      <c r="S783">
        <v>231.76</v>
      </c>
    </row>
    <row r="784" spans="1:19" x14ac:dyDescent="0.3">
      <c r="A784" t="s">
        <v>729</v>
      </c>
      <c r="B784" s="3">
        <v>45499</v>
      </c>
      <c r="C784" t="s">
        <v>1926</v>
      </c>
      <c r="D784" t="s">
        <v>2407</v>
      </c>
      <c r="E784">
        <v>3</v>
      </c>
      <c r="F784">
        <v>653.63</v>
      </c>
      <c r="G784" t="s">
        <v>2888</v>
      </c>
      <c r="H784" t="s">
        <v>3066</v>
      </c>
      <c r="I784" t="s">
        <v>3073</v>
      </c>
      <c r="J784" t="s">
        <v>3790</v>
      </c>
      <c r="K784">
        <v>7</v>
      </c>
      <c r="L784" t="s">
        <v>4276</v>
      </c>
      <c r="M784" t="s">
        <v>4280</v>
      </c>
      <c r="N784">
        <v>1960.89</v>
      </c>
      <c r="O784" t="s">
        <v>4290</v>
      </c>
      <c r="P784" t="s">
        <v>2888</v>
      </c>
      <c r="Q784" t="s">
        <v>3066</v>
      </c>
      <c r="R784" t="s">
        <v>4280</v>
      </c>
      <c r="S784">
        <v>280.13</v>
      </c>
    </row>
    <row r="785" spans="1:19" x14ac:dyDescent="0.3">
      <c r="A785" t="s">
        <v>880</v>
      </c>
      <c r="B785" s="3">
        <v>45499</v>
      </c>
      <c r="C785" t="s">
        <v>2076</v>
      </c>
      <c r="D785" t="s">
        <v>2409</v>
      </c>
      <c r="E785">
        <v>5</v>
      </c>
      <c r="F785">
        <v>189.25</v>
      </c>
      <c r="G785" t="s">
        <v>2959</v>
      </c>
      <c r="H785" t="s">
        <v>3065</v>
      </c>
      <c r="I785" t="s">
        <v>3071</v>
      </c>
      <c r="J785" t="s">
        <v>3941</v>
      </c>
      <c r="K785">
        <v>10</v>
      </c>
      <c r="L785" t="s">
        <v>4277</v>
      </c>
      <c r="M785" t="s">
        <v>4280</v>
      </c>
      <c r="N785">
        <v>946.25</v>
      </c>
      <c r="O785" t="s">
        <v>4290</v>
      </c>
      <c r="P785" t="s">
        <v>2959</v>
      </c>
      <c r="Q785" t="s">
        <v>3065</v>
      </c>
      <c r="R785" t="s">
        <v>4280</v>
      </c>
      <c r="S785">
        <v>94.62</v>
      </c>
    </row>
    <row r="786" spans="1:19" x14ac:dyDescent="0.3">
      <c r="A786" t="s">
        <v>332</v>
      </c>
      <c r="B786" s="3">
        <v>45500</v>
      </c>
      <c r="C786" t="s">
        <v>1532</v>
      </c>
      <c r="D786" t="s">
        <v>2406</v>
      </c>
      <c r="E786">
        <v>3</v>
      </c>
      <c r="F786">
        <v>148.72</v>
      </c>
      <c r="G786" t="s">
        <v>2596</v>
      </c>
      <c r="H786" t="s">
        <v>3065</v>
      </c>
      <c r="I786" t="s">
        <v>3071</v>
      </c>
      <c r="J786" t="s">
        <v>3393</v>
      </c>
      <c r="K786">
        <v>7</v>
      </c>
      <c r="L786" t="s">
        <v>4275</v>
      </c>
      <c r="M786" t="s">
        <v>4282</v>
      </c>
      <c r="N786">
        <v>446.16</v>
      </c>
      <c r="O786" t="s">
        <v>4290</v>
      </c>
      <c r="P786" t="s">
        <v>2596</v>
      </c>
      <c r="Q786" t="s">
        <v>3065</v>
      </c>
      <c r="R786" t="s">
        <v>4282</v>
      </c>
      <c r="S786">
        <v>63.74</v>
      </c>
    </row>
    <row r="787" spans="1:19" x14ac:dyDescent="0.3">
      <c r="A787" t="s">
        <v>138</v>
      </c>
      <c r="B787" s="3">
        <v>45501</v>
      </c>
      <c r="C787" t="s">
        <v>1338</v>
      </c>
      <c r="D787" t="s">
        <v>2407</v>
      </c>
      <c r="E787">
        <v>4</v>
      </c>
      <c r="F78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>
        <v>8</v>
      </c>
      <c r="L787" t="s">
        <v>4283</v>
      </c>
      <c r="M787" t="s">
        <v>4282</v>
      </c>
      <c r="N787">
        <v>1135.1600000000001</v>
      </c>
      <c r="O787" t="s">
        <v>4290</v>
      </c>
      <c r="P787" t="s">
        <v>2526</v>
      </c>
      <c r="Q787" t="s">
        <v>3066</v>
      </c>
      <c r="R787" t="s">
        <v>4282</v>
      </c>
      <c r="S787">
        <v>141.9</v>
      </c>
    </row>
    <row r="788" spans="1:19" x14ac:dyDescent="0.3">
      <c r="A788" t="s">
        <v>786</v>
      </c>
      <c r="B788" s="3">
        <v>45501</v>
      </c>
      <c r="C788" t="s">
        <v>1983</v>
      </c>
      <c r="D788" t="s">
        <v>2403</v>
      </c>
      <c r="E788">
        <v>1</v>
      </c>
      <c r="F788">
        <v>604.87</v>
      </c>
      <c r="G788" t="s">
        <v>2914</v>
      </c>
      <c r="H788" t="s">
        <v>3066</v>
      </c>
      <c r="I788" t="s">
        <v>3073</v>
      </c>
      <c r="J788" t="s">
        <v>3847</v>
      </c>
      <c r="K788">
        <v>4</v>
      </c>
      <c r="L788" t="s">
        <v>4283</v>
      </c>
      <c r="M788" t="s">
        <v>4278</v>
      </c>
      <c r="N788">
        <v>604.87</v>
      </c>
      <c r="O788" t="s">
        <v>4290</v>
      </c>
      <c r="P788" t="s">
        <v>2914</v>
      </c>
      <c r="Q788" t="s">
        <v>3066</v>
      </c>
      <c r="R788" t="s">
        <v>4278</v>
      </c>
      <c r="S788">
        <v>151.22</v>
      </c>
    </row>
    <row r="789" spans="1:19" x14ac:dyDescent="0.3">
      <c r="A789" t="s">
        <v>742</v>
      </c>
      <c r="B789" s="3">
        <v>45502</v>
      </c>
      <c r="C789" t="s">
        <v>1939</v>
      </c>
      <c r="D789" t="s">
        <v>2409</v>
      </c>
      <c r="E789">
        <v>4</v>
      </c>
      <c r="F789">
        <v>325.76</v>
      </c>
      <c r="G789" t="s">
        <v>2895</v>
      </c>
      <c r="H789" t="s">
        <v>3068</v>
      </c>
      <c r="I789" t="s">
        <v>3070</v>
      </c>
      <c r="J789" t="s">
        <v>3803</v>
      </c>
      <c r="K789">
        <v>8</v>
      </c>
      <c r="L789" t="s">
        <v>4277</v>
      </c>
      <c r="M789" t="s">
        <v>4280</v>
      </c>
      <c r="N789">
        <v>1303.04</v>
      </c>
      <c r="O789" t="s">
        <v>4290</v>
      </c>
      <c r="P789" t="s">
        <v>2895</v>
      </c>
      <c r="Q789" t="s">
        <v>3068</v>
      </c>
      <c r="R789" t="s">
        <v>4280</v>
      </c>
      <c r="S789">
        <v>162.88</v>
      </c>
    </row>
    <row r="790" spans="1:19" x14ac:dyDescent="0.3">
      <c r="A790" t="s">
        <v>1151</v>
      </c>
      <c r="B790" s="3">
        <v>45502</v>
      </c>
      <c r="C790" t="s">
        <v>2341</v>
      </c>
      <c r="D790" t="s">
        <v>2407</v>
      </c>
      <c r="E790">
        <v>4</v>
      </c>
      <c r="F790">
        <v>410.21</v>
      </c>
      <c r="G790" t="s">
        <v>3040</v>
      </c>
      <c r="H790" t="s">
        <v>3069</v>
      </c>
      <c r="I790" t="s">
        <v>3074</v>
      </c>
      <c r="J790" t="s">
        <v>4212</v>
      </c>
      <c r="K790">
        <v>5</v>
      </c>
      <c r="L790" t="s">
        <v>4277</v>
      </c>
      <c r="M790" t="s">
        <v>4278</v>
      </c>
      <c r="N790">
        <v>1640.84</v>
      </c>
      <c r="O790" t="s">
        <v>4290</v>
      </c>
      <c r="P790" t="s">
        <v>3040</v>
      </c>
      <c r="Q790" t="s">
        <v>3069</v>
      </c>
      <c r="R790" t="s">
        <v>4278</v>
      </c>
      <c r="S790">
        <v>328.17</v>
      </c>
    </row>
    <row r="791" spans="1:19" x14ac:dyDescent="0.3">
      <c r="A791" t="s">
        <v>118</v>
      </c>
      <c r="B791" s="3">
        <v>45503</v>
      </c>
      <c r="C791" t="s">
        <v>1318</v>
      </c>
      <c r="D791" t="s">
        <v>2404</v>
      </c>
      <c r="E791">
        <v>1</v>
      </c>
      <c r="F791">
        <v>582.04</v>
      </c>
      <c r="G791" t="s">
        <v>2507</v>
      </c>
      <c r="H791" t="s">
        <v>3068</v>
      </c>
      <c r="I791" t="s">
        <v>3073</v>
      </c>
      <c r="J791" t="s">
        <v>3179</v>
      </c>
      <c r="K791">
        <v>1</v>
      </c>
      <c r="L791" t="s">
        <v>4276</v>
      </c>
      <c r="M791" t="s">
        <v>4280</v>
      </c>
      <c r="N791">
        <v>582.04</v>
      </c>
      <c r="O791" t="s">
        <v>4290</v>
      </c>
      <c r="P791" t="s">
        <v>2507</v>
      </c>
      <c r="Q791" t="s">
        <v>3068</v>
      </c>
      <c r="R791" t="s">
        <v>4280</v>
      </c>
      <c r="S791">
        <v>582.04</v>
      </c>
    </row>
    <row r="792" spans="1:19" x14ac:dyDescent="0.3">
      <c r="A792" t="s">
        <v>278</v>
      </c>
      <c r="B792" s="3">
        <v>45507</v>
      </c>
      <c r="C792" t="s">
        <v>1478</v>
      </c>
      <c r="D792" t="s">
        <v>2405</v>
      </c>
      <c r="E792">
        <v>1</v>
      </c>
      <c r="F792">
        <v>436.77</v>
      </c>
      <c r="G792" t="s">
        <v>2635</v>
      </c>
      <c r="H792" t="s">
        <v>3069</v>
      </c>
      <c r="I792" t="s">
        <v>3072</v>
      </c>
      <c r="J792" t="s">
        <v>3339</v>
      </c>
      <c r="K792">
        <v>5</v>
      </c>
      <c r="L792" t="s">
        <v>4276</v>
      </c>
      <c r="M792" t="s">
        <v>4282</v>
      </c>
      <c r="N792">
        <v>436.77</v>
      </c>
      <c r="O792" t="s">
        <v>4290</v>
      </c>
      <c r="P792" t="s">
        <v>2635</v>
      </c>
      <c r="Q792" t="s">
        <v>3069</v>
      </c>
      <c r="R792" t="s">
        <v>4282</v>
      </c>
      <c r="S792">
        <v>87.35</v>
      </c>
    </row>
    <row r="793" spans="1:19" x14ac:dyDescent="0.3">
      <c r="A793" t="s">
        <v>1082</v>
      </c>
      <c r="B793" s="3">
        <v>45507</v>
      </c>
      <c r="C793" t="s">
        <v>2274</v>
      </c>
      <c r="D793" t="s">
        <v>2408</v>
      </c>
      <c r="E793">
        <v>1</v>
      </c>
      <c r="F793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>
        <v>2</v>
      </c>
      <c r="L793" t="s">
        <v>4275</v>
      </c>
      <c r="M793" t="s">
        <v>4279</v>
      </c>
      <c r="N793">
        <v>133.38999999999999</v>
      </c>
      <c r="O793" t="s">
        <v>4290</v>
      </c>
      <c r="P793" t="s">
        <v>3020</v>
      </c>
      <c r="Q793" t="s">
        <v>3065</v>
      </c>
      <c r="R793" t="s">
        <v>4279</v>
      </c>
      <c r="S793">
        <v>66.7</v>
      </c>
    </row>
    <row r="794" spans="1:19" x14ac:dyDescent="0.3">
      <c r="A794" t="s">
        <v>829</v>
      </c>
      <c r="B794" s="3">
        <v>45508</v>
      </c>
      <c r="C794" t="s">
        <v>2025</v>
      </c>
      <c r="D794" t="s">
        <v>2407</v>
      </c>
      <c r="E794">
        <v>3</v>
      </c>
      <c r="F794">
        <v>569.84</v>
      </c>
      <c r="G794" t="s">
        <v>2939</v>
      </c>
      <c r="H794" t="s">
        <v>3068</v>
      </c>
      <c r="I794" t="s">
        <v>3071</v>
      </c>
      <c r="J794" t="s">
        <v>3890</v>
      </c>
      <c r="K794">
        <v>8</v>
      </c>
      <c r="L794" t="s">
        <v>4277</v>
      </c>
      <c r="M794" t="s">
        <v>4278</v>
      </c>
      <c r="N794">
        <v>1709.52</v>
      </c>
      <c r="O794" t="s">
        <v>4290</v>
      </c>
      <c r="P794" t="s">
        <v>2939</v>
      </c>
      <c r="Q794" t="s">
        <v>3068</v>
      </c>
      <c r="R794" t="s">
        <v>4278</v>
      </c>
      <c r="S794">
        <v>213.69</v>
      </c>
    </row>
    <row r="795" spans="1:19" x14ac:dyDescent="0.3">
      <c r="A795" t="s">
        <v>921</v>
      </c>
      <c r="B795" s="3">
        <v>45508</v>
      </c>
      <c r="C795" t="s">
        <v>2117</v>
      </c>
      <c r="D795" t="s">
        <v>2409</v>
      </c>
      <c r="E795">
        <v>5</v>
      </c>
      <c r="F795">
        <v>298.39</v>
      </c>
      <c r="G795" t="s">
        <v>2534</v>
      </c>
      <c r="H795" t="s">
        <v>3068</v>
      </c>
      <c r="I795" t="s">
        <v>3071</v>
      </c>
      <c r="J795" t="s">
        <v>3982</v>
      </c>
      <c r="K795">
        <v>7</v>
      </c>
      <c r="L795" t="s">
        <v>4277</v>
      </c>
      <c r="M795" t="s">
        <v>4279</v>
      </c>
      <c r="N795">
        <v>1491.95</v>
      </c>
      <c r="O795" t="s">
        <v>4290</v>
      </c>
      <c r="P795" t="s">
        <v>2534</v>
      </c>
      <c r="Q795" t="s">
        <v>3068</v>
      </c>
      <c r="R795" t="s">
        <v>4279</v>
      </c>
      <c r="S795">
        <v>213.14</v>
      </c>
    </row>
    <row r="796" spans="1:19" x14ac:dyDescent="0.3">
      <c r="A796" t="s">
        <v>92</v>
      </c>
      <c r="B796" s="3">
        <v>45510</v>
      </c>
      <c r="C796" t="s">
        <v>1292</v>
      </c>
      <c r="D796" t="s">
        <v>2407</v>
      </c>
      <c r="E796">
        <v>4</v>
      </c>
      <c r="F796">
        <v>175.36</v>
      </c>
      <c r="G796" t="s">
        <v>2482</v>
      </c>
      <c r="H796" t="s">
        <v>3065</v>
      </c>
      <c r="I796" t="s">
        <v>3073</v>
      </c>
      <c r="J796" t="s">
        <v>3153</v>
      </c>
      <c r="K796">
        <v>4</v>
      </c>
      <c r="L796" t="s">
        <v>4276</v>
      </c>
      <c r="M796" t="s">
        <v>4278</v>
      </c>
      <c r="N796">
        <v>701.44</v>
      </c>
      <c r="O796" t="s">
        <v>4290</v>
      </c>
      <c r="P796" t="s">
        <v>2482</v>
      </c>
      <c r="Q796" t="s">
        <v>3065</v>
      </c>
      <c r="R796" t="s">
        <v>4278</v>
      </c>
      <c r="S796">
        <v>175.36</v>
      </c>
    </row>
    <row r="797" spans="1:19" x14ac:dyDescent="0.3">
      <c r="A797" t="s">
        <v>689</v>
      </c>
      <c r="B797" s="3">
        <v>45510</v>
      </c>
      <c r="C797" t="s">
        <v>1887</v>
      </c>
      <c r="D797" t="s">
        <v>2409</v>
      </c>
      <c r="E797">
        <v>3</v>
      </c>
      <c r="F797">
        <v>342.02</v>
      </c>
      <c r="G797" t="s">
        <v>2807</v>
      </c>
      <c r="H797" t="s">
        <v>3065</v>
      </c>
      <c r="I797" t="s">
        <v>3074</v>
      </c>
      <c r="J797" t="s">
        <v>3750</v>
      </c>
      <c r="K797">
        <v>5</v>
      </c>
      <c r="L797" t="s">
        <v>4283</v>
      </c>
      <c r="M797" t="s">
        <v>4280</v>
      </c>
      <c r="N797">
        <v>1026.06</v>
      </c>
      <c r="O797" t="s">
        <v>4290</v>
      </c>
      <c r="P797" t="s">
        <v>2807</v>
      </c>
      <c r="Q797" t="s">
        <v>3065</v>
      </c>
      <c r="R797" t="s">
        <v>4280</v>
      </c>
      <c r="S797">
        <v>205.21</v>
      </c>
    </row>
    <row r="798" spans="1:19" x14ac:dyDescent="0.3">
      <c r="A798" t="s">
        <v>796</v>
      </c>
      <c r="B798" s="3">
        <v>45515</v>
      </c>
      <c r="C798" t="s">
        <v>1993</v>
      </c>
      <c r="D798" t="s">
        <v>2403</v>
      </c>
      <c r="E798">
        <v>2</v>
      </c>
      <c r="F798">
        <v>493.63</v>
      </c>
      <c r="G798" t="s">
        <v>2824</v>
      </c>
      <c r="H798" t="s">
        <v>3066</v>
      </c>
      <c r="I798" t="s">
        <v>3072</v>
      </c>
      <c r="J798" t="s">
        <v>3857</v>
      </c>
      <c r="K798">
        <v>6</v>
      </c>
      <c r="L798" t="s">
        <v>4275</v>
      </c>
      <c r="M798" t="s">
        <v>4279</v>
      </c>
      <c r="N798">
        <v>987.26</v>
      </c>
      <c r="O798" t="s">
        <v>4290</v>
      </c>
      <c r="P798" t="s">
        <v>2824</v>
      </c>
      <c r="Q798" t="s">
        <v>3066</v>
      </c>
      <c r="R798" t="s">
        <v>4279</v>
      </c>
      <c r="S798">
        <v>164.54</v>
      </c>
    </row>
    <row r="799" spans="1:19" x14ac:dyDescent="0.3">
      <c r="A799" t="s">
        <v>925</v>
      </c>
      <c r="B799" s="3">
        <v>45517</v>
      </c>
      <c r="C799" t="s">
        <v>2121</v>
      </c>
      <c r="D799" t="s">
        <v>2409</v>
      </c>
      <c r="E799">
        <v>5</v>
      </c>
      <c r="F799">
        <v>396.86</v>
      </c>
      <c r="G799" t="s">
        <v>2520</v>
      </c>
      <c r="H799" t="s">
        <v>3069</v>
      </c>
      <c r="I799" t="s">
        <v>3071</v>
      </c>
      <c r="J799" t="s">
        <v>3986</v>
      </c>
      <c r="K799">
        <v>9</v>
      </c>
      <c r="L799" t="s">
        <v>4275</v>
      </c>
      <c r="M799" t="s">
        <v>4278</v>
      </c>
      <c r="N799">
        <v>1984.3</v>
      </c>
      <c r="O799" t="s">
        <v>4290</v>
      </c>
      <c r="P799" t="s">
        <v>2520</v>
      </c>
      <c r="Q799" t="s">
        <v>3069</v>
      </c>
      <c r="R799" t="s">
        <v>4278</v>
      </c>
      <c r="S799">
        <v>220.48</v>
      </c>
    </row>
    <row r="800" spans="1:19" x14ac:dyDescent="0.3">
      <c r="A800" t="s">
        <v>1203</v>
      </c>
      <c r="B800" s="3">
        <v>45521</v>
      </c>
      <c r="C800" t="s">
        <v>2392</v>
      </c>
      <c r="D800" t="s">
        <v>2405</v>
      </c>
      <c r="E800">
        <v>5</v>
      </c>
      <c r="F800">
        <v>389.22</v>
      </c>
      <c r="G800" t="s">
        <v>3060</v>
      </c>
      <c r="H800" t="s">
        <v>3069</v>
      </c>
      <c r="I800" t="s">
        <v>3071</v>
      </c>
      <c r="J800" t="s">
        <v>4264</v>
      </c>
      <c r="K800">
        <v>7</v>
      </c>
      <c r="L800" t="s">
        <v>4283</v>
      </c>
      <c r="M800" t="s">
        <v>4279</v>
      </c>
      <c r="N800">
        <v>1946.1</v>
      </c>
      <c r="O800" t="s">
        <v>4290</v>
      </c>
      <c r="P800" t="s">
        <v>3060</v>
      </c>
      <c r="Q800" t="s">
        <v>3069</v>
      </c>
      <c r="R800" t="s">
        <v>4279</v>
      </c>
      <c r="S800">
        <v>278.01</v>
      </c>
    </row>
    <row r="801" spans="1:19" x14ac:dyDescent="0.3">
      <c r="A801" t="s">
        <v>541</v>
      </c>
      <c r="B801" s="3">
        <v>45523</v>
      </c>
      <c r="C801" t="s">
        <v>1741</v>
      </c>
      <c r="D801" t="s">
        <v>2406</v>
      </c>
      <c r="E801">
        <v>5</v>
      </c>
      <c r="F801">
        <v>653.47</v>
      </c>
      <c r="G801" t="s">
        <v>2488</v>
      </c>
      <c r="H801" t="s">
        <v>3067</v>
      </c>
      <c r="I801" t="s">
        <v>3071</v>
      </c>
      <c r="J801" t="s">
        <v>3602</v>
      </c>
      <c r="K801">
        <v>10</v>
      </c>
      <c r="L801" t="s">
        <v>4275</v>
      </c>
      <c r="M801" t="s">
        <v>4279</v>
      </c>
      <c r="N801">
        <v>3267.35</v>
      </c>
      <c r="O801" t="s">
        <v>4290</v>
      </c>
      <c r="P801" t="s">
        <v>2488</v>
      </c>
      <c r="Q801" t="s">
        <v>3067</v>
      </c>
      <c r="R801" t="s">
        <v>4279</v>
      </c>
      <c r="S801">
        <v>326.74</v>
      </c>
    </row>
    <row r="802" spans="1:19" x14ac:dyDescent="0.3">
      <c r="A802" t="s">
        <v>74</v>
      </c>
      <c r="B802" s="3">
        <v>45525</v>
      </c>
      <c r="C802" t="s">
        <v>1274</v>
      </c>
      <c r="D802" t="s">
        <v>2409</v>
      </c>
      <c r="E802">
        <v>1</v>
      </c>
      <c r="F802">
        <v>417.1</v>
      </c>
      <c r="G802" t="s">
        <v>2466</v>
      </c>
      <c r="H802" t="s">
        <v>3065</v>
      </c>
      <c r="I802" t="s">
        <v>3072</v>
      </c>
      <c r="J802" t="s">
        <v>3135</v>
      </c>
      <c r="K802">
        <v>3</v>
      </c>
      <c r="L802" t="s">
        <v>4276</v>
      </c>
      <c r="M802" t="s">
        <v>4279</v>
      </c>
      <c r="N802">
        <v>417.1</v>
      </c>
      <c r="O802" t="s">
        <v>4290</v>
      </c>
      <c r="P802" t="s">
        <v>2466</v>
      </c>
      <c r="Q802" t="s">
        <v>3065</v>
      </c>
      <c r="R802" t="s">
        <v>4279</v>
      </c>
      <c r="S802">
        <v>139.03</v>
      </c>
    </row>
    <row r="803" spans="1:19" x14ac:dyDescent="0.3">
      <c r="A803" t="s">
        <v>228</v>
      </c>
      <c r="B803" s="3">
        <v>45525</v>
      </c>
      <c r="C803" t="s">
        <v>1428</v>
      </c>
      <c r="D803" t="s">
        <v>2409</v>
      </c>
      <c r="E803">
        <v>4</v>
      </c>
      <c r="F803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>
        <v>5</v>
      </c>
      <c r="L803" t="s">
        <v>4283</v>
      </c>
      <c r="M803" t="s">
        <v>4281</v>
      </c>
      <c r="N803">
        <v>1222.8800000000001</v>
      </c>
      <c r="O803" t="s">
        <v>4290</v>
      </c>
      <c r="P803" t="s">
        <v>2523</v>
      </c>
      <c r="Q803" t="s">
        <v>3066</v>
      </c>
      <c r="R803" t="s">
        <v>4281</v>
      </c>
      <c r="S803">
        <v>244.58</v>
      </c>
    </row>
    <row r="804" spans="1:19" x14ac:dyDescent="0.3">
      <c r="A804" t="s">
        <v>1212</v>
      </c>
      <c r="B804" s="3">
        <v>45526</v>
      </c>
      <c r="C804" t="s">
        <v>2401</v>
      </c>
      <c r="D804" t="s">
        <v>2406</v>
      </c>
      <c r="E804">
        <v>4</v>
      </c>
      <c r="F804">
        <v>262.52</v>
      </c>
      <c r="G804" t="s">
        <v>3063</v>
      </c>
      <c r="H804" t="s">
        <v>3065</v>
      </c>
      <c r="I804" t="s">
        <v>3071</v>
      </c>
      <c r="J804" t="s">
        <v>4273</v>
      </c>
      <c r="K804">
        <v>4</v>
      </c>
      <c r="L804" t="s">
        <v>4277</v>
      </c>
      <c r="M804" t="s">
        <v>4278</v>
      </c>
      <c r="N804">
        <v>1050.08</v>
      </c>
      <c r="O804" t="s">
        <v>4290</v>
      </c>
      <c r="P804" t="s">
        <v>3063</v>
      </c>
      <c r="Q804" t="s">
        <v>3065</v>
      </c>
      <c r="R804" t="s">
        <v>4278</v>
      </c>
      <c r="S804">
        <v>262.52</v>
      </c>
    </row>
    <row r="805" spans="1:19" x14ac:dyDescent="0.3">
      <c r="A805" t="s">
        <v>15</v>
      </c>
      <c r="B805" s="3">
        <v>45527</v>
      </c>
      <c r="C805" t="s">
        <v>1215</v>
      </c>
      <c r="D805" t="s">
        <v>2404</v>
      </c>
      <c r="E805">
        <v>2</v>
      </c>
      <c r="F805">
        <v>151.35</v>
      </c>
      <c r="G805" t="s">
        <v>2411</v>
      </c>
      <c r="H805" t="s">
        <v>3066</v>
      </c>
      <c r="I805" t="s">
        <v>3070</v>
      </c>
      <c r="J805" t="s">
        <v>3076</v>
      </c>
      <c r="K805">
        <v>3</v>
      </c>
      <c r="L805" t="s">
        <v>4275</v>
      </c>
      <c r="M805" t="s">
        <v>4279</v>
      </c>
      <c r="N805">
        <v>302.7</v>
      </c>
      <c r="O805" t="s">
        <v>4290</v>
      </c>
      <c r="P805" t="s">
        <v>2411</v>
      </c>
      <c r="Q805" t="s">
        <v>3066</v>
      </c>
      <c r="R805" t="s">
        <v>4279</v>
      </c>
      <c r="S805">
        <v>100.9</v>
      </c>
    </row>
    <row r="806" spans="1:19" x14ac:dyDescent="0.3">
      <c r="A806" t="s">
        <v>1156</v>
      </c>
      <c r="B806" s="3">
        <v>45527</v>
      </c>
      <c r="C806" t="s">
        <v>2345</v>
      </c>
      <c r="D806" t="s">
        <v>2404</v>
      </c>
      <c r="E806">
        <v>4</v>
      </c>
      <c r="F806">
        <v>695.1</v>
      </c>
      <c r="G806" t="s">
        <v>3041</v>
      </c>
      <c r="H806" t="s">
        <v>3065</v>
      </c>
      <c r="I806" t="s">
        <v>3072</v>
      </c>
      <c r="J806" t="s">
        <v>4217</v>
      </c>
      <c r="K806">
        <v>8</v>
      </c>
      <c r="L806" t="s">
        <v>4283</v>
      </c>
      <c r="M806" t="s">
        <v>4280</v>
      </c>
      <c r="N806">
        <v>2780.4</v>
      </c>
      <c r="O806" t="s">
        <v>4290</v>
      </c>
      <c r="P806" t="s">
        <v>3041</v>
      </c>
      <c r="Q806" t="s">
        <v>3065</v>
      </c>
      <c r="R806" t="s">
        <v>4280</v>
      </c>
      <c r="S806">
        <v>347.55</v>
      </c>
    </row>
    <row r="807" spans="1:19" x14ac:dyDescent="0.3">
      <c r="A807" t="s">
        <v>247</v>
      </c>
      <c r="B807" s="3">
        <v>45528</v>
      </c>
      <c r="C807" t="s">
        <v>1447</v>
      </c>
      <c r="D807" t="s">
        <v>2404</v>
      </c>
      <c r="E807">
        <v>3</v>
      </c>
      <c r="F807">
        <v>311.33</v>
      </c>
      <c r="G807" t="s">
        <v>2482</v>
      </c>
      <c r="H807" t="s">
        <v>3069</v>
      </c>
      <c r="I807" t="s">
        <v>3071</v>
      </c>
      <c r="J807" t="s">
        <v>3308</v>
      </c>
      <c r="K807">
        <v>3</v>
      </c>
      <c r="L807" t="s">
        <v>4277</v>
      </c>
      <c r="M807" t="s">
        <v>4278</v>
      </c>
      <c r="N807">
        <v>933.99</v>
      </c>
      <c r="O807" t="s">
        <v>4290</v>
      </c>
      <c r="P807" t="s">
        <v>2482</v>
      </c>
      <c r="Q807" t="s">
        <v>3069</v>
      </c>
      <c r="R807" t="s">
        <v>4278</v>
      </c>
      <c r="S807">
        <v>311.33</v>
      </c>
    </row>
    <row r="808" spans="1:19" x14ac:dyDescent="0.3">
      <c r="A808" t="s">
        <v>1031</v>
      </c>
      <c r="B808" s="3">
        <v>45529</v>
      </c>
      <c r="C808" t="s">
        <v>2223</v>
      </c>
      <c r="D808" t="s">
        <v>2406</v>
      </c>
      <c r="E808">
        <v>2</v>
      </c>
      <c r="F808">
        <v>680.85</v>
      </c>
      <c r="G808" t="s">
        <v>3003</v>
      </c>
      <c r="H808" t="s">
        <v>3068</v>
      </c>
      <c r="I808" t="s">
        <v>3073</v>
      </c>
      <c r="J808" t="s">
        <v>4092</v>
      </c>
      <c r="K808">
        <v>6</v>
      </c>
      <c r="L808" t="s">
        <v>4276</v>
      </c>
      <c r="M808" t="s">
        <v>4279</v>
      </c>
      <c r="N808">
        <v>1361.7</v>
      </c>
      <c r="O808" t="s">
        <v>4290</v>
      </c>
      <c r="P808" t="s">
        <v>3003</v>
      </c>
      <c r="Q808" t="s">
        <v>3068</v>
      </c>
      <c r="R808" t="s">
        <v>4279</v>
      </c>
      <c r="S808">
        <v>226.95</v>
      </c>
    </row>
    <row r="809" spans="1:19" x14ac:dyDescent="0.3">
      <c r="A809" t="s">
        <v>463</v>
      </c>
      <c r="B809" s="3">
        <v>45530</v>
      </c>
      <c r="C809" t="s">
        <v>1663</v>
      </c>
      <c r="D809" t="s">
        <v>2405</v>
      </c>
      <c r="E809">
        <v>3</v>
      </c>
      <c r="F809">
        <v>253.05</v>
      </c>
      <c r="G809" t="s">
        <v>2761</v>
      </c>
      <c r="H809" t="s">
        <v>3066</v>
      </c>
      <c r="I809" t="s">
        <v>3074</v>
      </c>
      <c r="J809" t="s">
        <v>3524</v>
      </c>
      <c r="K809">
        <v>3</v>
      </c>
      <c r="L809" t="s">
        <v>4283</v>
      </c>
      <c r="M809" t="s">
        <v>4278</v>
      </c>
      <c r="N809">
        <v>759.15000000000009</v>
      </c>
      <c r="O809" t="s">
        <v>4290</v>
      </c>
      <c r="P809" t="s">
        <v>2761</v>
      </c>
      <c r="Q809" t="s">
        <v>3066</v>
      </c>
      <c r="R809" t="s">
        <v>4278</v>
      </c>
      <c r="S809">
        <v>253.05</v>
      </c>
    </row>
    <row r="810" spans="1:19" x14ac:dyDescent="0.3">
      <c r="A810" t="s">
        <v>657</v>
      </c>
      <c r="B810" s="3">
        <v>45530</v>
      </c>
      <c r="C810" t="s">
        <v>1856</v>
      </c>
      <c r="D810" t="s">
        <v>2408</v>
      </c>
      <c r="E810">
        <v>1</v>
      </c>
      <c r="F810">
        <v>438.37</v>
      </c>
      <c r="G810" t="s">
        <v>2507</v>
      </c>
      <c r="H810" t="s">
        <v>3069</v>
      </c>
      <c r="I810" t="s">
        <v>3071</v>
      </c>
      <c r="J810" t="s">
        <v>3718</v>
      </c>
      <c r="K810">
        <v>4</v>
      </c>
      <c r="L810" t="s">
        <v>4275</v>
      </c>
      <c r="M810" t="s">
        <v>4279</v>
      </c>
      <c r="N810">
        <v>438.37</v>
      </c>
      <c r="O810" t="s">
        <v>4290</v>
      </c>
      <c r="P810" t="s">
        <v>2507</v>
      </c>
      <c r="Q810" t="s">
        <v>3069</v>
      </c>
      <c r="R810" t="s">
        <v>4279</v>
      </c>
      <c r="S810">
        <v>109.59</v>
      </c>
    </row>
    <row r="811" spans="1:19" x14ac:dyDescent="0.3">
      <c r="A811" t="s">
        <v>1006</v>
      </c>
      <c r="B811" s="3">
        <v>45531</v>
      </c>
      <c r="C811" t="s">
        <v>2199</v>
      </c>
      <c r="D811" t="s">
        <v>2407</v>
      </c>
      <c r="E811">
        <v>3</v>
      </c>
      <c r="F811">
        <v>586.21</v>
      </c>
      <c r="G811" t="s">
        <v>2543</v>
      </c>
      <c r="H811" t="s">
        <v>3068</v>
      </c>
      <c r="I811" t="s">
        <v>3074</v>
      </c>
      <c r="J811" t="s">
        <v>4067</v>
      </c>
      <c r="K811">
        <v>4</v>
      </c>
      <c r="L811" t="s">
        <v>4277</v>
      </c>
      <c r="M811" t="s">
        <v>4279</v>
      </c>
      <c r="N811">
        <v>1758.63</v>
      </c>
      <c r="O811" t="s">
        <v>4290</v>
      </c>
      <c r="P811" t="s">
        <v>2543</v>
      </c>
      <c r="Q811" t="s">
        <v>3068</v>
      </c>
      <c r="R811" t="s">
        <v>4279</v>
      </c>
      <c r="S811">
        <v>439.66</v>
      </c>
    </row>
    <row r="812" spans="1:19" x14ac:dyDescent="0.3">
      <c r="A812" t="s">
        <v>873</v>
      </c>
      <c r="B812" s="3">
        <v>45532</v>
      </c>
      <c r="C812" t="s">
        <v>2069</v>
      </c>
      <c r="D812" t="s">
        <v>2406</v>
      </c>
      <c r="E812">
        <v>5</v>
      </c>
      <c r="F812">
        <v>261.33</v>
      </c>
      <c r="G812" t="s">
        <v>2842</v>
      </c>
      <c r="H812" t="s">
        <v>3067</v>
      </c>
      <c r="I812" t="s">
        <v>3072</v>
      </c>
      <c r="J812" t="s">
        <v>3934</v>
      </c>
      <c r="K812">
        <v>5</v>
      </c>
      <c r="L812" t="s">
        <v>4275</v>
      </c>
      <c r="M812" t="s">
        <v>4279</v>
      </c>
      <c r="N812">
        <v>1306.6500000000001</v>
      </c>
      <c r="O812" t="s">
        <v>4290</v>
      </c>
      <c r="P812" t="s">
        <v>2842</v>
      </c>
      <c r="Q812" t="s">
        <v>3067</v>
      </c>
      <c r="R812" t="s">
        <v>4279</v>
      </c>
      <c r="S812">
        <v>261.33</v>
      </c>
    </row>
    <row r="813" spans="1:19" x14ac:dyDescent="0.3">
      <c r="A813" t="s">
        <v>260</v>
      </c>
      <c r="B813" s="3">
        <v>45534</v>
      </c>
      <c r="C813" t="s">
        <v>1460</v>
      </c>
      <c r="D813" t="s">
        <v>2409</v>
      </c>
      <c r="E813">
        <v>2</v>
      </c>
      <c r="F813">
        <v>342.11</v>
      </c>
      <c r="G813" t="s">
        <v>2623</v>
      </c>
      <c r="H813" t="s">
        <v>3068</v>
      </c>
      <c r="I813" t="s">
        <v>3070</v>
      </c>
      <c r="J813" t="s">
        <v>3321</v>
      </c>
      <c r="K813">
        <v>2</v>
      </c>
      <c r="L813" t="s">
        <v>4277</v>
      </c>
      <c r="M813" t="s">
        <v>4278</v>
      </c>
      <c r="N813">
        <v>684.22</v>
      </c>
      <c r="O813" t="s">
        <v>4290</v>
      </c>
      <c r="P813" t="s">
        <v>2623</v>
      </c>
      <c r="Q813" t="s">
        <v>3068</v>
      </c>
      <c r="R813" t="s">
        <v>4278</v>
      </c>
      <c r="S813">
        <v>342.11</v>
      </c>
    </row>
    <row r="814" spans="1:19" x14ac:dyDescent="0.3">
      <c r="A814" t="s">
        <v>481</v>
      </c>
      <c r="B814" s="3">
        <v>45534</v>
      </c>
      <c r="C814" t="s">
        <v>1681</v>
      </c>
      <c r="D814" t="s">
        <v>2409</v>
      </c>
      <c r="E814">
        <v>1</v>
      </c>
      <c r="F814">
        <v>45.94</v>
      </c>
      <c r="G814" t="s">
        <v>2577</v>
      </c>
      <c r="H814" t="s">
        <v>3069</v>
      </c>
      <c r="I814" t="s">
        <v>3071</v>
      </c>
      <c r="J814" t="s">
        <v>3542</v>
      </c>
      <c r="K814">
        <v>2</v>
      </c>
      <c r="L814" t="s">
        <v>4277</v>
      </c>
      <c r="M814" t="s">
        <v>4280</v>
      </c>
      <c r="N814">
        <v>45.94</v>
      </c>
      <c r="O814" t="s">
        <v>4290</v>
      </c>
      <c r="P814" t="s">
        <v>2577</v>
      </c>
      <c r="Q814" t="s">
        <v>3069</v>
      </c>
      <c r="R814" t="s">
        <v>4280</v>
      </c>
      <c r="S814">
        <v>22.97</v>
      </c>
    </row>
    <row r="815" spans="1:19" x14ac:dyDescent="0.3">
      <c r="A815" t="s">
        <v>195</v>
      </c>
      <c r="B815" s="3">
        <v>45535</v>
      </c>
      <c r="C815" t="s">
        <v>1395</v>
      </c>
      <c r="D815" t="s">
        <v>2407</v>
      </c>
      <c r="E815">
        <v>5</v>
      </c>
      <c r="F815">
        <v>404.39</v>
      </c>
      <c r="G815" t="s">
        <v>2573</v>
      </c>
      <c r="H815" t="s">
        <v>3066</v>
      </c>
      <c r="I815" t="s">
        <v>3070</v>
      </c>
      <c r="J815" t="s">
        <v>3256</v>
      </c>
      <c r="K815">
        <v>10</v>
      </c>
      <c r="L815" t="s">
        <v>4283</v>
      </c>
      <c r="M815" t="s">
        <v>4279</v>
      </c>
      <c r="N815">
        <v>2021.95</v>
      </c>
      <c r="O815" t="s">
        <v>4290</v>
      </c>
      <c r="P815" t="s">
        <v>2573</v>
      </c>
      <c r="Q815" t="s">
        <v>3066</v>
      </c>
      <c r="R815" t="s">
        <v>4279</v>
      </c>
      <c r="S815">
        <v>202.2</v>
      </c>
    </row>
    <row r="816" spans="1:19" x14ac:dyDescent="0.3">
      <c r="A816" t="s">
        <v>204</v>
      </c>
      <c r="B816" s="3">
        <v>45535</v>
      </c>
      <c r="C816" t="s">
        <v>1404</v>
      </c>
      <c r="D816" t="s">
        <v>2407</v>
      </c>
      <c r="E816">
        <v>3</v>
      </c>
      <c r="F816">
        <v>223.7</v>
      </c>
      <c r="G816" t="s">
        <v>2582</v>
      </c>
      <c r="H816" t="s">
        <v>3069</v>
      </c>
      <c r="I816" t="s">
        <v>3072</v>
      </c>
      <c r="J816" t="s">
        <v>3265</v>
      </c>
      <c r="K816">
        <v>3</v>
      </c>
      <c r="L816" t="s">
        <v>4275</v>
      </c>
      <c r="M816" t="s">
        <v>4280</v>
      </c>
      <c r="N816">
        <v>671.09999999999991</v>
      </c>
      <c r="O816" t="s">
        <v>4290</v>
      </c>
      <c r="P816" t="s">
        <v>2582</v>
      </c>
      <c r="Q816" t="s">
        <v>3069</v>
      </c>
      <c r="R816" t="s">
        <v>4280</v>
      </c>
      <c r="S816">
        <v>223.7</v>
      </c>
    </row>
    <row r="817" spans="1:19" x14ac:dyDescent="0.3">
      <c r="A817" t="s">
        <v>645</v>
      </c>
      <c r="B817" s="3">
        <v>45535</v>
      </c>
      <c r="C817" t="s">
        <v>1844</v>
      </c>
      <c r="D817" t="s">
        <v>2406</v>
      </c>
      <c r="E817">
        <v>3</v>
      </c>
      <c r="F817">
        <v>46.11</v>
      </c>
      <c r="G817" t="s">
        <v>2645</v>
      </c>
      <c r="H817" t="s">
        <v>3068</v>
      </c>
      <c r="I817" t="s">
        <v>3072</v>
      </c>
      <c r="J817" t="s">
        <v>3706</v>
      </c>
      <c r="K817">
        <v>5</v>
      </c>
      <c r="L817" t="s">
        <v>4277</v>
      </c>
      <c r="M817" t="s">
        <v>4279</v>
      </c>
      <c r="N817">
        <v>138.33000000000001</v>
      </c>
      <c r="O817" t="s">
        <v>4290</v>
      </c>
      <c r="P817" t="s">
        <v>2645</v>
      </c>
      <c r="Q817" t="s">
        <v>3068</v>
      </c>
      <c r="R817" t="s">
        <v>4279</v>
      </c>
      <c r="S817">
        <v>27.67</v>
      </c>
    </row>
    <row r="818" spans="1:19" x14ac:dyDescent="0.3">
      <c r="A818" t="s">
        <v>680</v>
      </c>
      <c r="B818" s="3">
        <v>45535</v>
      </c>
      <c r="C818" t="s">
        <v>1878</v>
      </c>
      <c r="D818" t="s">
        <v>2403</v>
      </c>
      <c r="E818">
        <v>4</v>
      </c>
      <c r="F818">
        <v>327.12</v>
      </c>
      <c r="G818" t="s">
        <v>2840</v>
      </c>
      <c r="H818" t="s">
        <v>3067</v>
      </c>
      <c r="I818" t="s">
        <v>3071</v>
      </c>
      <c r="J818" t="s">
        <v>3741</v>
      </c>
      <c r="K818">
        <v>4</v>
      </c>
      <c r="L818" t="s">
        <v>4283</v>
      </c>
      <c r="M818" t="s">
        <v>4280</v>
      </c>
      <c r="N818">
        <v>1308.48</v>
      </c>
      <c r="O818" t="s">
        <v>4290</v>
      </c>
      <c r="P818" t="s">
        <v>2840</v>
      </c>
      <c r="Q818" t="s">
        <v>3067</v>
      </c>
      <c r="R818" t="s">
        <v>4280</v>
      </c>
      <c r="S818">
        <v>327.12</v>
      </c>
    </row>
    <row r="819" spans="1:19" x14ac:dyDescent="0.3">
      <c r="A819" t="s">
        <v>1089</v>
      </c>
      <c r="B819" s="3">
        <v>45535</v>
      </c>
      <c r="C819" t="s">
        <v>2281</v>
      </c>
      <c r="D819" t="s">
        <v>2403</v>
      </c>
      <c r="E819">
        <v>2</v>
      </c>
      <c r="F819">
        <v>552.63</v>
      </c>
      <c r="G819" t="s">
        <v>2591</v>
      </c>
      <c r="H819" t="s">
        <v>3065</v>
      </c>
      <c r="I819" t="s">
        <v>3073</v>
      </c>
      <c r="J819" t="s">
        <v>4150</v>
      </c>
      <c r="K819">
        <v>7</v>
      </c>
      <c r="L819" t="s">
        <v>4277</v>
      </c>
      <c r="M819" t="s">
        <v>4278</v>
      </c>
      <c r="N819">
        <v>1105.26</v>
      </c>
      <c r="O819" t="s">
        <v>4290</v>
      </c>
      <c r="P819" t="s">
        <v>2591</v>
      </c>
      <c r="Q819" t="s">
        <v>3065</v>
      </c>
      <c r="R819" t="s">
        <v>4278</v>
      </c>
      <c r="S819">
        <v>157.88999999999999</v>
      </c>
    </row>
    <row r="820" spans="1:19" x14ac:dyDescent="0.3">
      <c r="A820" t="s">
        <v>314</v>
      </c>
      <c r="B820" s="3">
        <v>45537</v>
      </c>
      <c r="C820" t="s">
        <v>1514</v>
      </c>
      <c r="D820" t="s">
        <v>2404</v>
      </c>
      <c r="E820">
        <v>1</v>
      </c>
      <c r="F820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>
        <v>3</v>
      </c>
      <c r="L820" t="s">
        <v>4276</v>
      </c>
      <c r="M820" t="s">
        <v>4281</v>
      </c>
      <c r="N820">
        <v>287.45999999999998</v>
      </c>
      <c r="O820" t="s">
        <v>4290</v>
      </c>
      <c r="P820" t="s">
        <v>2663</v>
      </c>
      <c r="Q820" t="s">
        <v>3065</v>
      </c>
      <c r="R820" t="s">
        <v>4281</v>
      </c>
      <c r="S820">
        <v>95.82</v>
      </c>
    </row>
    <row r="821" spans="1:19" x14ac:dyDescent="0.3">
      <c r="A821" t="s">
        <v>632</v>
      </c>
      <c r="B821" s="3">
        <v>45538</v>
      </c>
      <c r="C821" t="s">
        <v>1831</v>
      </c>
      <c r="D821" t="s">
        <v>2405</v>
      </c>
      <c r="E821">
        <v>1</v>
      </c>
      <c r="F821">
        <v>411.34</v>
      </c>
      <c r="G821" t="s">
        <v>2845</v>
      </c>
      <c r="H821" t="s">
        <v>3065</v>
      </c>
      <c r="I821" t="s">
        <v>3072</v>
      </c>
      <c r="J821" t="s">
        <v>3693</v>
      </c>
      <c r="K821">
        <v>5</v>
      </c>
      <c r="L821" t="s">
        <v>4283</v>
      </c>
      <c r="M821" t="s">
        <v>4278</v>
      </c>
      <c r="N821">
        <v>411.34</v>
      </c>
      <c r="O821" t="s">
        <v>4290</v>
      </c>
      <c r="P821" t="s">
        <v>2845</v>
      </c>
      <c r="Q821" t="s">
        <v>3065</v>
      </c>
      <c r="R821" t="s">
        <v>4278</v>
      </c>
      <c r="S821">
        <v>82.27</v>
      </c>
    </row>
    <row r="822" spans="1:19" x14ac:dyDescent="0.3">
      <c r="A822" t="s">
        <v>911</v>
      </c>
      <c r="B822" s="3">
        <v>45538</v>
      </c>
      <c r="C822" t="s">
        <v>2107</v>
      </c>
      <c r="D822" t="s">
        <v>2408</v>
      </c>
      <c r="E822">
        <v>4</v>
      </c>
      <c r="F822">
        <v>481.48</v>
      </c>
      <c r="G822" t="s">
        <v>2589</v>
      </c>
      <c r="H822" t="s">
        <v>3068</v>
      </c>
      <c r="I822" t="s">
        <v>3073</v>
      </c>
      <c r="J822" t="s">
        <v>3972</v>
      </c>
      <c r="K822">
        <v>5</v>
      </c>
      <c r="L822" t="s">
        <v>4275</v>
      </c>
      <c r="M822" t="s">
        <v>4278</v>
      </c>
      <c r="N822">
        <v>1925.92</v>
      </c>
      <c r="O822" t="s">
        <v>4290</v>
      </c>
      <c r="P822" t="s">
        <v>2589</v>
      </c>
      <c r="Q822" t="s">
        <v>3068</v>
      </c>
      <c r="R822" t="s">
        <v>4278</v>
      </c>
      <c r="S822">
        <v>385.18</v>
      </c>
    </row>
    <row r="823" spans="1:19" x14ac:dyDescent="0.3">
      <c r="A823" t="s">
        <v>920</v>
      </c>
      <c r="B823" s="3">
        <v>45538</v>
      </c>
      <c r="C823" t="s">
        <v>2116</v>
      </c>
      <c r="D823" t="s">
        <v>2403</v>
      </c>
      <c r="E823">
        <v>1</v>
      </c>
      <c r="F823">
        <v>62.12</v>
      </c>
      <c r="G823" t="s">
        <v>2977</v>
      </c>
      <c r="H823" t="s">
        <v>3069</v>
      </c>
      <c r="I823" t="s">
        <v>3072</v>
      </c>
      <c r="J823" t="s">
        <v>3981</v>
      </c>
      <c r="K823">
        <v>2</v>
      </c>
      <c r="L823" t="s">
        <v>4283</v>
      </c>
      <c r="M823" t="s">
        <v>4280</v>
      </c>
      <c r="N823">
        <v>62.12</v>
      </c>
      <c r="O823" t="s">
        <v>4290</v>
      </c>
      <c r="P823" t="s">
        <v>2977</v>
      </c>
      <c r="Q823" t="s">
        <v>3069</v>
      </c>
      <c r="R823" t="s">
        <v>4280</v>
      </c>
      <c r="S823">
        <v>31.06</v>
      </c>
    </row>
    <row r="824" spans="1:19" x14ac:dyDescent="0.3">
      <c r="A824" t="s">
        <v>412</v>
      </c>
      <c r="B824" s="3">
        <v>45539</v>
      </c>
      <c r="C824" t="s">
        <v>1612</v>
      </c>
      <c r="D824" t="s">
        <v>2404</v>
      </c>
      <c r="E824">
        <v>5</v>
      </c>
      <c r="F824">
        <v>53.93</v>
      </c>
      <c r="G824" t="s">
        <v>2592</v>
      </c>
      <c r="H824" t="s">
        <v>3068</v>
      </c>
      <c r="I824" t="s">
        <v>3070</v>
      </c>
      <c r="J824" t="s">
        <v>3473</v>
      </c>
      <c r="K824">
        <v>7</v>
      </c>
      <c r="L824" t="s">
        <v>4275</v>
      </c>
      <c r="M824" t="s">
        <v>4278</v>
      </c>
      <c r="N824">
        <v>269.64999999999998</v>
      </c>
      <c r="O824" t="s">
        <v>4290</v>
      </c>
      <c r="P824" t="s">
        <v>2592</v>
      </c>
      <c r="Q824" t="s">
        <v>3068</v>
      </c>
      <c r="R824" t="s">
        <v>4278</v>
      </c>
      <c r="S824">
        <v>38.520000000000003</v>
      </c>
    </row>
    <row r="825" spans="1:19" x14ac:dyDescent="0.3">
      <c r="A825" t="s">
        <v>1174</v>
      </c>
      <c r="B825" s="3">
        <v>45539</v>
      </c>
      <c r="C825" t="s">
        <v>2363</v>
      </c>
      <c r="D825" t="s">
        <v>2409</v>
      </c>
      <c r="E825">
        <v>1</v>
      </c>
      <c r="F825">
        <v>541.64</v>
      </c>
      <c r="G825" t="s">
        <v>2777</v>
      </c>
      <c r="H825" t="s">
        <v>3065</v>
      </c>
      <c r="I825" t="s">
        <v>3070</v>
      </c>
      <c r="J825" t="s">
        <v>4235</v>
      </c>
      <c r="K825">
        <v>5</v>
      </c>
      <c r="L825" t="s">
        <v>4275</v>
      </c>
      <c r="M825" t="s">
        <v>4280</v>
      </c>
      <c r="N825">
        <v>541.64</v>
      </c>
      <c r="O825" t="s">
        <v>4290</v>
      </c>
      <c r="P825" t="s">
        <v>2777</v>
      </c>
      <c r="Q825" t="s">
        <v>3065</v>
      </c>
      <c r="R825" t="s">
        <v>4280</v>
      </c>
      <c r="S825">
        <v>108.33</v>
      </c>
    </row>
    <row r="826" spans="1:19" x14ac:dyDescent="0.3">
      <c r="A826" t="s">
        <v>976</v>
      </c>
      <c r="B826" s="3">
        <v>45541</v>
      </c>
      <c r="C826" t="s">
        <v>2169</v>
      </c>
      <c r="D826" t="s">
        <v>2404</v>
      </c>
      <c r="E826">
        <v>2</v>
      </c>
      <c r="F826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>
        <v>4</v>
      </c>
      <c r="L826" t="s">
        <v>4275</v>
      </c>
      <c r="M826" t="s">
        <v>4279</v>
      </c>
      <c r="N826">
        <v>284.16000000000003</v>
      </c>
      <c r="O826" t="s">
        <v>4290</v>
      </c>
      <c r="P826" t="s">
        <v>2621</v>
      </c>
      <c r="Q826" t="s">
        <v>3068</v>
      </c>
      <c r="R826" t="s">
        <v>4279</v>
      </c>
      <c r="S826">
        <v>71.040000000000006</v>
      </c>
    </row>
    <row r="827" spans="1:19" x14ac:dyDescent="0.3">
      <c r="A827" t="s">
        <v>996</v>
      </c>
      <c r="B827" s="3">
        <v>45541</v>
      </c>
      <c r="C827" t="s">
        <v>2189</v>
      </c>
      <c r="D827" t="s">
        <v>2403</v>
      </c>
      <c r="E827">
        <v>1</v>
      </c>
      <c r="F827">
        <v>304.11</v>
      </c>
      <c r="G827" t="s">
        <v>2889</v>
      </c>
      <c r="H827" t="s">
        <v>3068</v>
      </c>
      <c r="I827" t="s">
        <v>3070</v>
      </c>
      <c r="J827" t="s">
        <v>4057</v>
      </c>
      <c r="K827">
        <v>2</v>
      </c>
      <c r="L827" t="s">
        <v>4275</v>
      </c>
      <c r="M827" t="s">
        <v>4279</v>
      </c>
      <c r="N827">
        <v>304.11</v>
      </c>
      <c r="O827" t="s">
        <v>4290</v>
      </c>
      <c r="P827" t="s">
        <v>2889</v>
      </c>
      <c r="Q827" t="s">
        <v>3068</v>
      </c>
      <c r="R827" t="s">
        <v>4279</v>
      </c>
      <c r="S827">
        <v>152.06</v>
      </c>
    </row>
    <row r="828" spans="1:19" x14ac:dyDescent="0.3">
      <c r="A828" t="s">
        <v>1084</v>
      </c>
      <c r="B828" s="3">
        <v>45541</v>
      </c>
      <c r="C828" t="s">
        <v>2276</v>
      </c>
      <c r="D828" t="s">
        <v>2409</v>
      </c>
      <c r="E828">
        <v>4</v>
      </c>
      <c r="F828">
        <v>491.29</v>
      </c>
      <c r="G828" t="s">
        <v>2485</v>
      </c>
      <c r="H828" t="s">
        <v>3065</v>
      </c>
      <c r="I828" t="s">
        <v>3074</v>
      </c>
      <c r="J828" t="s">
        <v>4145</v>
      </c>
      <c r="K828">
        <v>6</v>
      </c>
      <c r="L828" t="s">
        <v>4283</v>
      </c>
      <c r="M828" t="s">
        <v>4280</v>
      </c>
      <c r="N828">
        <v>1965.16</v>
      </c>
      <c r="O828" t="s">
        <v>4290</v>
      </c>
      <c r="P828" t="s">
        <v>2485</v>
      </c>
      <c r="Q828" t="s">
        <v>3065</v>
      </c>
      <c r="R828" t="s">
        <v>4280</v>
      </c>
      <c r="S828">
        <v>327.52999999999997</v>
      </c>
    </row>
    <row r="829" spans="1:19" x14ac:dyDescent="0.3">
      <c r="A829" t="s">
        <v>984</v>
      </c>
      <c r="B829" s="3">
        <v>45542</v>
      </c>
      <c r="C829" t="s">
        <v>2177</v>
      </c>
      <c r="D829" t="s">
        <v>2409</v>
      </c>
      <c r="E829">
        <v>1</v>
      </c>
      <c r="F829">
        <v>627.15</v>
      </c>
      <c r="G829" t="s">
        <v>2992</v>
      </c>
      <c r="H829" t="s">
        <v>3069</v>
      </c>
      <c r="I829" t="s">
        <v>3073</v>
      </c>
      <c r="J829" t="s">
        <v>4045</v>
      </c>
      <c r="K829">
        <v>5</v>
      </c>
      <c r="L829" t="s">
        <v>4275</v>
      </c>
      <c r="M829" t="s">
        <v>4278</v>
      </c>
      <c r="N829">
        <v>627.15</v>
      </c>
      <c r="O829" t="s">
        <v>4290</v>
      </c>
      <c r="P829" t="s">
        <v>2992</v>
      </c>
      <c r="Q829" t="s">
        <v>3069</v>
      </c>
      <c r="R829" t="s">
        <v>4278</v>
      </c>
      <c r="S829">
        <v>125.43</v>
      </c>
    </row>
    <row r="830" spans="1:19" x14ac:dyDescent="0.3">
      <c r="A830" t="s">
        <v>1000</v>
      </c>
      <c r="B830" s="3">
        <v>45542</v>
      </c>
      <c r="C830" t="s">
        <v>2193</v>
      </c>
      <c r="D830" t="s">
        <v>2408</v>
      </c>
      <c r="E830">
        <v>4</v>
      </c>
      <c r="F830">
        <v>644.96</v>
      </c>
      <c r="G830" t="s">
        <v>2501</v>
      </c>
      <c r="H830" t="s">
        <v>3067</v>
      </c>
      <c r="I830" t="s">
        <v>3074</v>
      </c>
      <c r="J830" t="s">
        <v>4061</v>
      </c>
      <c r="K830">
        <v>7</v>
      </c>
      <c r="L830" t="s">
        <v>4276</v>
      </c>
      <c r="M830" t="s">
        <v>4280</v>
      </c>
      <c r="N830">
        <v>2579.84</v>
      </c>
      <c r="O830" t="s">
        <v>4290</v>
      </c>
      <c r="P830" t="s">
        <v>2501</v>
      </c>
      <c r="Q830" t="s">
        <v>3067</v>
      </c>
      <c r="R830" t="s">
        <v>4280</v>
      </c>
      <c r="S830">
        <v>368.55</v>
      </c>
    </row>
    <row r="831" spans="1:19" x14ac:dyDescent="0.3">
      <c r="A831" t="s">
        <v>66</v>
      </c>
      <c r="B831" s="3">
        <v>45543</v>
      </c>
      <c r="C831" t="s">
        <v>1266</v>
      </c>
      <c r="D831" t="s">
        <v>2405</v>
      </c>
      <c r="E831">
        <v>1</v>
      </c>
      <c r="F831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>
        <v>5</v>
      </c>
      <c r="L831" t="s">
        <v>4275</v>
      </c>
      <c r="M831" t="s">
        <v>4281</v>
      </c>
      <c r="N831">
        <v>586.44000000000005</v>
      </c>
      <c r="O831" t="s">
        <v>4290</v>
      </c>
      <c r="P831" t="s">
        <v>2459</v>
      </c>
      <c r="Q831" t="s">
        <v>3066</v>
      </c>
      <c r="R831" t="s">
        <v>4281</v>
      </c>
      <c r="S831">
        <v>117.29</v>
      </c>
    </row>
    <row r="832" spans="1:19" x14ac:dyDescent="0.3">
      <c r="A832" t="s">
        <v>453</v>
      </c>
      <c r="B832" s="3">
        <v>45543</v>
      </c>
      <c r="C832" t="s">
        <v>1653</v>
      </c>
      <c r="D832" t="s">
        <v>2405</v>
      </c>
      <c r="E832">
        <v>1</v>
      </c>
      <c r="F832">
        <v>146.32</v>
      </c>
      <c r="G832" t="s">
        <v>2753</v>
      </c>
      <c r="H832" t="s">
        <v>3066</v>
      </c>
      <c r="I832" t="s">
        <v>3070</v>
      </c>
      <c r="J832" t="s">
        <v>3514</v>
      </c>
      <c r="K832">
        <v>4</v>
      </c>
      <c r="L832" t="s">
        <v>4277</v>
      </c>
      <c r="M832" t="s">
        <v>4281</v>
      </c>
      <c r="N832">
        <v>146.32</v>
      </c>
      <c r="O832" t="s">
        <v>4290</v>
      </c>
      <c r="P832" t="s">
        <v>2753</v>
      </c>
      <c r="Q832" t="s">
        <v>3066</v>
      </c>
      <c r="R832" t="s">
        <v>4281</v>
      </c>
      <c r="S832">
        <v>36.58</v>
      </c>
    </row>
    <row r="833" spans="1:19" x14ac:dyDescent="0.3">
      <c r="A833" t="s">
        <v>1192</v>
      </c>
      <c r="B833" s="3">
        <v>45543</v>
      </c>
      <c r="C833" t="s">
        <v>2381</v>
      </c>
      <c r="D833" t="s">
        <v>2403</v>
      </c>
      <c r="E833">
        <v>1</v>
      </c>
      <c r="F833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>
        <v>4</v>
      </c>
      <c r="L833" t="s">
        <v>4276</v>
      </c>
      <c r="M833" t="s">
        <v>4282</v>
      </c>
      <c r="N833">
        <v>70.239999999999995</v>
      </c>
      <c r="O833" t="s">
        <v>4290</v>
      </c>
      <c r="P833" t="s">
        <v>2616</v>
      </c>
      <c r="Q833" t="s">
        <v>3067</v>
      </c>
      <c r="R833" t="s">
        <v>4282</v>
      </c>
      <c r="S833">
        <v>17.559999999999999</v>
      </c>
    </row>
    <row r="834" spans="1:19" x14ac:dyDescent="0.3">
      <c r="A834" t="s">
        <v>99</v>
      </c>
      <c r="B834" s="3">
        <v>45544</v>
      </c>
      <c r="C834" t="s">
        <v>1299</v>
      </c>
      <c r="D834" t="s">
        <v>2405</v>
      </c>
      <c r="E834">
        <v>3</v>
      </c>
      <c r="F834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>
        <v>8</v>
      </c>
      <c r="L834" t="s">
        <v>4276</v>
      </c>
      <c r="M834" t="s">
        <v>4280</v>
      </c>
      <c r="N834">
        <v>440.18999999999988</v>
      </c>
      <c r="O834" t="s">
        <v>4290</v>
      </c>
      <c r="P834" t="s">
        <v>2489</v>
      </c>
      <c r="Q834" t="s">
        <v>3069</v>
      </c>
      <c r="R834" t="s">
        <v>4280</v>
      </c>
      <c r="S834">
        <v>55.02</v>
      </c>
    </row>
    <row r="835" spans="1:19" x14ac:dyDescent="0.3">
      <c r="A835" t="s">
        <v>291</v>
      </c>
      <c r="B835" s="3">
        <v>45544</v>
      </c>
      <c r="C835" t="s">
        <v>1491</v>
      </c>
      <c r="D835" t="s">
        <v>2406</v>
      </c>
      <c r="E835">
        <v>5</v>
      </c>
      <c r="F835">
        <v>90.92</v>
      </c>
      <c r="G835" t="s">
        <v>2647</v>
      </c>
      <c r="H835" t="s">
        <v>3067</v>
      </c>
      <c r="I835" t="s">
        <v>3073</v>
      </c>
      <c r="J835" t="s">
        <v>3352</v>
      </c>
      <c r="K835">
        <v>9</v>
      </c>
      <c r="L835" t="s">
        <v>4275</v>
      </c>
      <c r="M835" t="s">
        <v>4281</v>
      </c>
      <c r="N835">
        <v>454.6</v>
      </c>
      <c r="O835" t="s">
        <v>4290</v>
      </c>
      <c r="P835" t="s">
        <v>2647</v>
      </c>
      <c r="Q835" t="s">
        <v>3067</v>
      </c>
      <c r="R835" t="s">
        <v>4281</v>
      </c>
      <c r="S835">
        <v>50.51</v>
      </c>
    </row>
    <row r="836" spans="1:19" x14ac:dyDescent="0.3">
      <c r="A836" t="s">
        <v>1062</v>
      </c>
      <c r="B836" s="3">
        <v>45544</v>
      </c>
      <c r="C836" t="s">
        <v>2254</v>
      </c>
      <c r="D836" t="s">
        <v>2403</v>
      </c>
      <c r="E836">
        <v>4</v>
      </c>
      <c r="F836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>
        <v>9</v>
      </c>
      <c r="L836" t="s">
        <v>4283</v>
      </c>
      <c r="M836" t="s">
        <v>4282</v>
      </c>
      <c r="N836">
        <v>294.60000000000002</v>
      </c>
      <c r="O836" t="s">
        <v>4290</v>
      </c>
      <c r="P836" t="s">
        <v>3016</v>
      </c>
      <c r="Q836" t="s">
        <v>3065</v>
      </c>
      <c r="R836" t="s">
        <v>4282</v>
      </c>
      <c r="S836">
        <v>32.729999999999997</v>
      </c>
    </row>
    <row r="837" spans="1:19" x14ac:dyDescent="0.3">
      <c r="A837" t="s">
        <v>1189</v>
      </c>
      <c r="B837" s="3">
        <v>45545</v>
      </c>
      <c r="C837" t="s">
        <v>2378</v>
      </c>
      <c r="D837" t="s">
        <v>2407</v>
      </c>
      <c r="E837">
        <v>3</v>
      </c>
      <c r="F837">
        <v>91.74</v>
      </c>
      <c r="G837" t="s">
        <v>2666</v>
      </c>
      <c r="H837" t="s">
        <v>3065</v>
      </c>
      <c r="I837" t="s">
        <v>3072</v>
      </c>
      <c r="J837" t="s">
        <v>4250</v>
      </c>
      <c r="K837">
        <v>8</v>
      </c>
      <c r="L837" t="s">
        <v>4276</v>
      </c>
      <c r="M837" t="s">
        <v>4279</v>
      </c>
      <c r="N837">
        <v>275.22000000000003</v>
      </c>
      <c r="O837" t="s">
        <v>4290</v>
      </c>
      <c r="P837" t="s">
        <v>2666</v>
      </c>
      <c r="Q837" t="s">
        <v>3065</v>
      </c>
      <c r="R837" t="s">
        <v>4279</v>
      </c>
      <c r="S837">
        <v>34.4</v>
      </c>
    </row>
    <row r="838" spans="1:19" x14ac:dyDescent="0.3">
      <c r="A838" t="s">
        <v>73</v>
      </c>
      <c r="B838" s="3">
        <v>45546</v>
      </c>
      <c r="C838" t="s">
        <v>1273</v>
      </c>
      <c r="D838" t="s">
        <v>2406</v>
      </c>
      <c r="E838">
        <v>4</v>
      </c>
      <c r="F838">
        <v>593.27</v>
      </c>
      <c r="G838" t="s">
        <v>2465</v>
      </c>
      <c r="H838" t="s">
        <v>3066</v>
      </c>
      <c r="I838" t="s">
        <v>3070</v>
      </c>
      <c r="J838" t="s">
        <v>3134</v>
      </c>
      <c r="K838">
        <v>5</v>
      </c>
      <c r="L838" t="s">
        <v>4283</v>
      </c>
      <c r="M838" t="s">
        <v>4281</v>
      </c>
      <c r="N838">
        <v>2373.08</v>
      </c>
      <c r="O838" t="s">
        <v>4290</v>
      </c>
      <c r="P838" t="s">
        <v>2465</v>
      </c>
      <c r="Q838" t="s">
        <v>3066</v>
      </c>
      <c r="R838" t="s">
        <v>4281</v>
      </c>
      <c r="S838">
        <v>474.62</v>
      </c>
    </row>
    <row r="839" spans="1:19" x14ac:dyDescent="0.3">
      <c r="A839" t="s">
        <v>237</v>
      </c>
      <c r="B839" s="3">
        <v>45546</v>
      </c>
      <c r="C839" t="s">
        <v>1437</v>
      </c>
      <c r="D839" t="s">
        <v>2404</v>
      </c>
      <c r="E839">
        <v>4</v>
      </c>
      <c r="F839">
        <v>692.91</v>
      </c>
      <c r="G839" t="s">
        <v>2523</v>
      </c>
      <c r="H839" t="s">
        <v>3067</v>
      </c>
      <c r="I839" t="s">
        <v>3074</v>
      </c>
      <c r="J839" t="s">
        <v>3298</v>
      </c>
      <c r="K839">
        <v>9</v>
      </c>
      <c r="L839" t="s">
        <v>4275</v>
      </c>
      <c r="M839" t="s">
        <v>4278</v>
      </c>
      <c r="N839">
        <v>2771.64</v>
      </c>
      <c r="O839" t="s">
        <v>4290</v>
      </c>
      <c r="P839" t="s">
        <v>2523</v>
      </c>
      <c r="Q839" t="s">
        <v>3067</v>
      </c>
      <c r="R839" t="s">
        <v>4278</v>
      </c>
      <c r="S839">
        <v>307.95999999999998</v>
      </c>
    </row>
    <row r="840" spans="1:19" x14ac:dyDescent="0.3">
      <c r="A840" t="s">
        <v>179</v>
      </c>
      <c r="B840" s="3">
        <v>45549</v>
      </c>
      <c r="C840" t="s">
        <v>1379</v>
      </c>
      <c r="D840" t="s">
        <v>2403</v>
      </c>
      <c r="E840">
        <v>2</v>
      </c>
      <c r="F840">
        <v>500.29</v>
      </c>
      <c r="G840" t="s">
        <v>2559</v>
      </c>
      <c r="H840" t="s">
        <v>3066</v>
      </c>
      <c r="I840" t="s">
        <v>3072</v>
      </c>
      <c r="J840" t="s">
        <v>3240</v>
      </c>
      <c r="K840">
        <v>7</v>
      </c>
      <c r="L840" t="s">
        <v>4277</v>
      </c>
      <c r="M840" t="s">
        <v>4282</v>
      </c>
      <c r="N840">
        <v>1000.58</v>
      </c>
      <c r="O840" t="s">
        <v>4290</v>
      </c>
      <c r="P840" t="s">
        <v>2559</v>
      </c>
      <c r="Q840" t="s">
        <v>3066</v>
      </c>
      <c r="R840" t="s">
        <v>4282</v>
      </c>
      <c r="S840">
        <v>142.94</v>
      </c>
    </row>
    <row r="841" spans="1:19" x14ac:dyDescent="0.3">
      <c r="A841" t="s">
        <v>804</v>
      </c>
      <c r="B841" s="3">
        <v>45549</v>
      </c>
      <c r="C841" t="s">
        <v>2001</v>
      </c>
      <c r="D841" t="s">
        <v>2408</v>
      </c>
      <c r="E841">
        <v>4</v>
      </c>
      <c r="F841">
        <v>417.89</v>
      </c>
      <c r="G841" t="s">
        <v>2925</v>
      </c>
      <c r="H841" t="s">
        <v>3068</v>
      </c>
      <c r="I841" t="s">
        <v>3074</v>
      </c>
      <c r="J841" t="s">
        <v>3865</v>
      </c>
      <c r="K841">
        <v>4</v>
      </c>
      <c r="L841" t="s">
        <v>4283</v>
      </c>
      <c r="M841" t="s">
        <v>4282</v>
      </c>
      <c r="N841">
        <v>1671.56</v>
      </c>
      <c r="O841" t="s">
        <v>4290</v>
      </c>
      <c r="P841" t="s">
        <v>2925</v>
      </c>
      <c r="Q841" t="s">
        <v>3068</v>
      </c>
      <c r="R841" t="s">
        <v>4282</v>
      </c>
      <c r="S841">
        <v>417.89</v>
      </c>
    </row>
    <row r="842" spans="1:19" x14ac:dyDescent="0.3">
      <c r="A842" t="s">
        <v>1067</v>
      </c>
      <c r="B842" s="3">
        <v>45550</v>
      </c>
      <c r="C842" t="s">
        <v>2259</v>
      </c>
      <c r="D842" t="s">
        <v>2404</v>
      </c>
      <c r="E842">
        <v>2</v>
      </c>
      <c r="F842">
        <v>496.62</v>
      </c>
      <c r="G842" t="s">
        <v>2984</v>
      </c>
      <c r="H842" t="s">
        <v>3066</v>
      </c>
      <c r="I842" t="s">
        <v>3074</v>
      </c>
      <c r="J842" t="s">
        <v>4128</v>
      </c>
      <c r="K842">
        <v>2</v>
      </c>
      <c r="L842" t="s">
        <v>4275</v>
      </c>
      <c r="M842" t="s">
        <v>4278</v>
      </c>
      <c r="N842">
        <v>993.24</v>
      </c>
      <c r="O842" t="s">
        <v>4290</v>
      </c>
      <c r="P842" t="s">
        <v>2984</v>
      </c>
      <c r="Q842" t="s">
        <v>3066</v>
      </c>
      <c r="R842" t="s">
        <v>4278</v>
      </c>
      <c r="S842">
        <v>496.62</v>
      </c>
    </row>
    <row r="843" spans="1:19" x14ac:dyDescent="0.3">
      <c r="A843" t="s">
        <v>388</v>
      </c>
      <c r="B843" s="3">
        <v>45551</v>
      </c>
      <c r="C843" t="s">
        <v>1588</v>
      </c>
      <c r="D843" t="s">
        <v>2403</v>
      </c>
      <c r="E843">
        <v>1</v>
      </c>
      <c r="F843">
        <v>571.9</v>
      </c>
      <c r="G843" t="s">
        <v>2477</v>
      </c>
      <c r="H843" t="s">
        <v>3068</v>
      </c>
      <c r="I843" t="s">
        <v>3074</v>
      </c>
      <c r="J843" t="s">
        <v>3449</v>
      </c>
      <c r="K843">
        <v>1</v>
      </c>
      <c r="L843" t="s">
        <v>4277</v>
      </c>
      <c r="M843" t="s">
        <v>4278</v>
      </c>
      <c r="N843">
        <v>571.9</v>
      </c>
      <c r="O843" t="s">
        <v>4290</v>
      </c>
      <c r="P843" t="s">
        <v>2477</v>
      </c>
      <c r="Q843" t="s">
        <v>3068</v>
      </c>
      <c r="R843" t="s">
        <v>4278</v>
      </c>
      <c r="S843">
        <v>571.9</v>
      </c>
    </row>
    <row r="844" spans="1:19" x14ac:dyDescent="0.3">
      <c r="A844" t="s">
        <v>776</v>
      </c>
      <c r="B844" s="3">
        <v>45552</v>
      </c>
      <c r="C844" t="s">
        <v>1973</v>
      </c>
      <c r="D844" t="s">
        <v>2404</v>
      </c>
      <c r="E844">
        <v>3</v>
      </c>
      <c r="F844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>
        <v>8</v>
      </c>
      <c r="L844" t="s">
        <v>4276</v>
      </c>
      <c r="M844" t="s">
        <v>4280</v>
      </c>
      <c r="N844">
        <v>230.88</v>
      </c>
      <c r="O844" t="s">
        <v>4290</v>
      </c>
      <c r="P844" t="s">
        <v>2494</v>
      </c>
      <c r="Q844" t="s">
        <v>3069</v>
      </c>
      <c r="R844" t="s">
        <v>4280</v>
      </c>
      <c r="S844">
        <v>28.86</v>
      </c>
    </row>
    <row r="845" spans="1:19" x14ac:dyDescent="0.3">
      <c r="A845" t="s">
        <v>855</v>
      </c>
      <c r="B845" s="3">
        <v>45554</v>
      </c>
      <c r="C845" t="s">
        <v>2051</v>
      </c>
      <c r="D845" t="s">
        <v>2407</v>
      </c>
      <c r="E845">
        <v>2</v>
      </c>
      <c r="F845">
        <v>443.22</v>
      </c>
      <c r="G845" t="s">
        <v>2950</v>
      </c>
      <c r="H845" t="s">
        <v>3067</v>
      </c>
      <c r="I845" t="s">
        <v>3073</v>
      </c>
      <c r="J845" t="s">
        <v>3916</v>
      </c>
      <c r="K845">
        <v>5</v>
      </c>
      <c r="L845" t="s">
        <v>4283</v>
      </c>
      <c r="M845" t="s">
        <v>4281</v>
      </c>
      <c r="N845">
        <v>886.44</v>
      </c>
      <c r="O845" t="s">
        <v>4290</v>
      </c>
      <c r="P845" t="s">
        <v>2950</v>
      </c>
      <c r="Q845" t="s">
        <v>3067</v>
      </c>
      <c r="R845" t="s">
        <v>4281</v>
      </c>
      <c r="S845">
        <v>177.29</v>
      </c>
    </row>
    <row r="846" spans="1:19" x14ac:dyDescent="0.3">
      <c r="A846" t="s">
        <v>1113</v>
      </c>
      <c r="B846" s="3">
        <v>45554</v>
      </c>
      <c r="C846" t="s">
        <v>2305</v>
      </c>
      <c r="D846" t="s">
        <v>2408</v>
      </c>
      <c r="E846">
        <v>2</v>
      </c>
      <c r="F846">
        <v>125.23</v>
      </c>
      <c r="G846" t="s">
        <v>2724</v>
      </c>
      <c r="H846" t="s">
        <v>3069</v>
      </c>
      <c r="I846" t="s">
        <v>3071</v>
      </c>
      <c r="J846" t="s">
        <v>4174</v>
      </c>
      <c r="K846">
        <v>3</v>
      </c>
      <c r="L846" t="s">
        <v>4276</v>
      </c>
      <c r="M846" t="s">
        <v>4280</v>
      </c>
      <c r="N846">
        <v>250.46</v>
      </c>
      <c r="O846" t="s">
        <v>4290</v>
      </c>
      <c r="P846" t="s">
        <v>2724</v>
      </c>
      <c r="Q846" t="s">
        <v>3069</v>
      </c>
      <c r="R846" t="s">
        <v>4280</v>
      </c>
      <c r="S846">
        <v>83.49</v>
      </c>
    </row>
    <row r="847" spans="1:19" x14ac:dyDescent="0.3">
      <c r="A847" t="s">
        <v>43</v>
      </c>
      <c r="B847" s="3">
        <v>45555</v>
      </c>
      <c r="C847" t="s">
        <v>1243</v>
      </c>
      <c r="D847" t="s">
        <v>2409</v>
      </c>
      <c r="E847">
        <v>3</v>
      </c>
      <c r="F847">
        <v>423.53</v>
      </c>
      <c r="G847" t="s">
        <v>2439</v>
      </c>
      <c r="H847" t="s">
        <v>3067</v>
      </c>
      <c r="I847" t="s">
        <v>3073</v>
      </c>
      <c r="J847" t="s">
        <v>3104</v>
      </c>
      <c r="K847">
        <v>6</v>
      </c>
      <c r="L847" t="s">
        <v>4275</v>
      </c>
      <c r="M847" t="s">
        <v>4279</v>
      </c>
      <c r="N847">
        <v>1270.5899999999999</v>
      </c>
      <c r="O847" t="s">
        <v>4290</v>
      </c>
      <c r="P847" t="s">
        <v>2439</v>
      </c>
      <c r="Q847" t="s">
        <v>3067</v>
      </c>
      <c r="R847" t="s">
        <v>4279</v>
      </c>
      <c r="S847">
        <v>211.76</v>
      </c>
    </row>
    <row r="848" spans="1:19" x14ac:dyDescent="0.3">
      <c r="A848" t="s">
        <v>266</v>
      </c>
      <c r="B848" s="3">
        <v>45555</v>
      </c>
      <c r="C848" t="s">
        <v>1466</v>
      </c>
      <c r="D848" t="s">
        <v>2404</v>
      </c>
      <c r="E848">
        <v>4</v>
      </c>
      <c r="F848">
        <v>668.36</v>
      </c>
      <c r="G848" t="s">
        <v>2628</v>
      </c>
      <c r="H848" t="s">
        <v>3068</v>
      </c>
      <c r="I848" t="s">
        <v>3071</v>
      </c>
      <c r="J848" t="s">
        <v>3327</v>
      </c>
      <c r="K848">
        <v>5</v>
      </c>
      <c r="L848" t="s">
        <v>4276</v>
      </c>
      <c r="M848" t="s">
        <v>4281</v>
      </c>
      <c r="N848">
        <v>2673.44</v>
      </c>
      <c r="O848" t="s">
        <v>4290</v>
      </c>
      <c r="P848" t="s">
        <v>2628</v>
      </c>
      <c r="Q848" t="s">
        <v>3068</v>
      </c>
      <c r="R848" t="s">
        <v>4281</v>
      </c>
      <c r="S848">
        <v>534.69000000000005</v>
      </c>
    </row>
    <row r="849" spans="1:19" x14ac:dyDescent="0.3">
      <c r="A849" t="s">
        <v>1059</v>
      </c>
      <c r="B849" s="3">
        <v>45555</v>
      </c>
      <c r="C849" t="s">
        <v>2251</v>
      </c>
      <c r="D849" t="s">
        <v>2408</v>
      </c>
      <c r="E849">
        <v>5</v>
      </c>
      <c r="F849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>
        <v>7</v>
      </c>
      <c r="L849" t="s">
        <v>4283</v>
      </c>
      <c r="M849" t="s">
        <v>4280</v>
      </c>
      <c r="N849">
        <v>1582</v>
      </c>
      <c r="O849" t="s">
        <v>4290</v>
      </c>
      <c r="P849" t="s">
        <v>3013</v>
      </c>
      <c r="Q849" t="s">
        <v>3068</v>
      </c>
      <c r="R849" t="s">
        <v>4280</v>
      </c>
      <c r="S849">
        <v>226</v>
      </c>
    </row>
    <row r="850" spans="1:19" x14ac:dyDescent="0.3">
      <c r="A850" t="s">
        <v>393</v>
      </c>
      <c r="B850" s="3">
        <v>45556</v>
      </c>
      <c r="C850" t="s">
        <v>1593</v>
      </c>
      <c r="D850" t="s">
        <v>2404</v>
      </c>
      <c r="E850">
        <v>3</v>
      </c>
      <c r="F850">
        <v>297.67</v>
      </c>
      <c r="G850" t="s">
        <v>2571</v>
      </c>
      <c r="H850" t="s">
        <v>3066</v>
      </c>
      <c r="I850" t="s">
        <v>3070</v>
      </c>
      <c r="J850" t="s">
        <v>3454</v>
      </c>
      <c r="K850">
        <v>6</v>
      </c>
      <c r="L850" t="s">
        <v>4283</v>
      </c>
      <c r="M850" t="s">
        <v>4282</v>
      </c>
      <c r="N850">
        <v>893.01</v>
      </c>
      <c r="O850" t="s">
        <v>4290</v>
      </c>
      <c r="P850" t="s">
        <v>2571</v>
      </c>
      <c r="Q850" t="s">
        <v>3066</v>
      </c>
      <c r="R850" t="s">
        <v>4282</v>
      </c>
      <c r="S850">
        <v>148.84</v>
      </c>
    </row>
    <row r="851" spans="1:19" x14ac:dyDescent="0.3">
      <c r="A851" t="s">
        <v>698</v>
      </c>
      <c r="B851" s="3">
        <v>45557</v>
      </c>
      <c r="C851" t="s">
        <v>1896</v>
      </c>
      <c r="D851" t="s">
        <v>2407</v>
      </c>
      <c r="E851">
        <v>4</v>
      </c>
      <c r="F851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>
        <v>8</v>
      </c>
      <c r="L851" t="s">
        <v>4283</v>
      </c>
      <c r="M851" t="s">
        <v>4280</v>
      </c>
      <c r="N851">
        <v>139.36000000000001</v>
      </c>
      <c r="O851" t="s">
        <v>4290</v>
      </c>
      <c r="P851" t="s">
        <v>2872</v>
      </c>
      <c r="Q851" t="s">
        <v>3067</v>
      </c>
      <c r="R851" t="s">
        <v>4280</v>
      </c>
      <c r="S851">
        <v>17.420000000000002</v>
      </c>
    </row>
    <row r="852" spans="1:19" x14ac:dyDescent="0.3">
      <c r="A852" t="s">
        <v>1073</v>
      </c>
      <c r="B852" s="3">
        <v>45557</v>
      </c>
      <c r="C852" t="s">
        <v>2265</v>
      </c>
      <c r="D852" t="s">
        <v>2409</v>
      </c>
      <c r="E852">
        <v>1</v>
      </c>
      <c r="F852">
        <v>265.64</v>
      </c>
      <c r="G852" t="s">
        <v>3019</v>
      </c>
      <c r="H852" t="s">
        <v>3067</v>
      </c>
      <c r="I852" t="s">
        <v>3072</v>
      </c>
      <c r="J852" t="s">
        <v>4134</v>
      </c>
      <c r="K852">
        <v>3</v>
      </c>
      <c r="L852" t="s">
        <v>4277</v>
      </c>
      <c r="M852" t="s">
        <v>4278</v>
      </c>
      <c r="N852">
        <v>265.64</v>
      </c>
      <c r="O852" t="s">
        <v>4290</v>
      </c>
      <c r="P852" t="s">
        <v>3019</v>
      </c>
      <c r="Q852" t="s">
        <v>3067</v>
      </c>
      <c r="R852" t="s">
        <v>4278</v>
      </c>
      <c r="S852">
        <v>88.55</v>
      </c>
    </row>
    <row r="853" spans="1:19" x14ac:dyDescent="0.3">
      <c r="A853" t="s">
        <v>355</v>
      </c>
      <c r="B853" s="3">
        <v>45558</v>
      </c>
      <c r="C853" t="s">
        <v>1555</v>
      </c>
      <c r="D853" t="s">
        <v>2405</v>
      </c>
      <c r="E853">
        <v>1</v>
      </c>
      <c r="F853">
        <v>167.15</v>
      </c>
      <c r="G853" t="s">
        <v>2694</v>
      </c>
      <c r="H853" t="s">
        <v>3068</v>
      </c>
      <c r="I853" t="s">
        <v>3070</v>
      </c>
      <c r="J853" t="s">
        <v>3416</v>
      </c>
      <c r="K853">
        <v>5</v>
      </c>
      <c r="L853" t="s">
        <v>4277</v>
      </c>
      <c r="M853" t="s">
        <v>4280</v>
      </c>
      <c r="N853">
        <v>167.15</v>
      </c>
      <c r="O853" t="s">
        <v>4290</v>
      </c>
      <c r="P853" t="s">
        <v>2694</v>
      </c>
      <c r="Q853" t="s">
        <v>3068</v>
      </c>
      <c r="R853" t="s">
        <v>4280</v>
      </c>
      <c r="S853">
        <v>33.43</v>
      </c>
    </row>
    <row r="854" spans="1:19" x14ac:dyDescent="0.3">
      <c r="A854" t="s">
        <v>1037</v>
      </c>
      <c r="B854" s="3">
        <v>45558</v>
      </c>
      <c r="C854" t="s">
        <v>2229</v>
      </c>
      <c r="D854" t="s">
        <v>2408</v>
      </c>
      <c r="E854">
        <v>5</v>
      </c>
      <c r="F854">
        <v>233.67</v>
      </c>
      <c r="G854" t="s">
        <v>2493</v>
      </c>
      <c r="H854" t="s">
        <v>3069</v>
      </c>
      <c r="I854" t="s">
        <v>3070</v>
      </c>
      <c r="J854" t="s">
        <v>4098</v>
      </c>
      <c r="K854">
        <v>10</v>
      </c>
      <c r="L854" t="s">
        <v>4283</v>
      </c>
      <c r="M854" t="s">
        <v>4279</v>
      </c>
      <c r="N854">
        <v>1168.3499999999999</v>
      </c>
      <c r="O854" t="s">
        <v>4290</v>
      </c>
      <c r="P854" t="s">
        <v>2493</v>
      </c>
      <c r="Q854" t="s">
        <v>3069</v>
      </c>
      <c r="R854" t="s">
        <v>4279</v>
      </c>
      <c r="S854">
        <v>116.84</v>
      </c>
    </row>
    <row r="855" spans="1:19" x14ac:dyDescent="0.3">
      <c r="A855" t="s">
        <v>1071</v>
      </c>
      <c r="B855" s="3">
        <v>45559</v>
      </c>
      <c r="C855" t="s">
        <v>2263</v>
      </c>
      <c r="D855" t="s">
        <v>2408</v>
      </c>
      <c r="E855">
        <v>3</v>
      </c>
      <c r="F855">
        <v>428.88</v>
      </c>
      <c r="G855" t="s">
        <v>2563</v>
      </c>
      <c r="H855" t="s">
        <v>3065</v>
      </c>
      <c r="I855" t="s">
        <v>3070</v>
      </c>
      <c r="J855" t="s">
        <v>4132</v>
      </c>
      <c r="K855">
        <v>3</v>
      </c>
      <c r="L855" t="s">
        <v>4277</v>
      </c>
      <c r="M855" t="s">
        <v>4281</v>
      </c>
      <c r="N855">
        <v>1286.6400000000001</v>
      </c>
      <c r="O855" t="s">
        <v>4290</v>
      </c>
      <c r="P855" t="s">
        <v>2563</v>
      </c>
      <c r="Q855" t="s">
        <v>3065</v>
      </c>
      <c r="R855" t="s">
        <v>4281</v>
      </c>
      <c r="S855">
        <v>428.88</v>
      </c>
    </row>
    <row r="856" spans="1:19" x14ac:dyDescent="0.3">
      <c r="A856" t="s">
        <v>714</v>
      </c>
      <c r="B856" s="3">
        <v>45560</v>
      </c>
      <c r="C856" t="s">
        <v>1912</v>
      </c>
      <c r="D856" t="s">
        <v>2408</v>
      </c>
      <c r="E856">
        <v>2</v>
      </c>
      <c r="F856">
        <v>92.91</v>
      </c>
      <c r="G856" t="s">
        <v>2881</v>
      </c>
      <c r="H856" t="s">
        <v>3069</v>
      </c>
      <c r="I856" t="s">
        <v>3072</v>
      </c>
      <c r="J856" t="s">
        <v>3775</v>
      </c>
      <c r="K856">
        <v>3</v>
      </c>
      <c r="L856" t="s">
        <v>4277</v>
      </c>
      <c r="M856" t="s">
        <v>4278</v>
      </c>
      <c r="N856">
        <v>185.82</v>
      </c>
      <c r="O856" t="s">
        <v>4290</v>
      </c>
      <c r="P856" t="s">
        <v>2881</v>
      </c>
      <c r="Q856" t="s">
        <v>3069</v>
      </c>
      <c r="R856" t="s">
        <v>4278</v>
      </c>
      <c r="S856">
        <v>61.94</v>
      </c>
    </row>
    <row r="857" spans="1:19" x14ac:dyDescent="0.3">
      <c r="A857" t="s">
        <v>526</v>
      </c>
      <c r="B857" s="3">
        <v>45562</v>
      </c>
      <c r="C857" t="s">
        <v>1726</v>
      </c>
      <c r="D857" t="s">
        <v>2409</v>
      </c>
      <c r="E857">
        <v>3</v>
      </c>
      <c r="F857">
        <v>568.02</v>
      </c>
      <c r="G857" t="s">
        <v>2662</v>
      </c>
      <c r="H857" t="s">
        <v>3066</v>
      </c>
      <c r="I857" t="s">
        <v>3074</v>
      </c>
      <c r="J857" t="s">
        <v>3587</v>
      </c>
      <c r="K857">
        <v>3</v>
      </c>
      <c r="L857" t="s">
        <v>4276</v>
      </c>
      <c r="M857" t="s">
        <v>4278</v>
      </c>
      <c r="N857">
        <v>1704.06</v>
      </c>
      <c r="O857" t="s">
        <v>4290</v>
      </c>
      <c r="P857" t="s">
        <v>2662</v>
      </c>
      <c r="Q857" t="s">
        <v>3066</v>
      </c>
      <c r="R857" t="s">
        <v>4278</v>
      </c>
      <c r="S857">
        <v>568.02</v>
      </c>
    </row>
    <row r="858" spans="1:19" x14ac:dyDescent="0.3">
      <c r="A858" t="s">
        <v>414</v>
      </c>
      <c r="B858" s="3">
        <v>45563</v>
      </c>
      <c r="C858" t="s">
        <v>1614</v>
      </c>
      <c r="D858" t="s">
        <v>2409</v>
      </c>
      <c r="E858">
        <v>4</v>
      </c>
      <c r="F858">
        <v>160.22</v>
      </c>
      <c r="G858" t="s">
        <v>2733</v>
      </c>
      <c r="H858" t="s">
        <v>3065</v>
      </c>
      <c r="I858" t="s">
        <v>3072</v>
      </c>
      <c r="J858" t="s">
        <v>3475</v>
      </c>
      <c r="K858">
        <v>9</v>
      </c>
      <c r="L858" t="s">
        <v>4277</v>
      </c>
      <c r="M858" t="s">
        <v>4278</v>
      </c>
      <c r="N858">
        <v>640.88</v>
      </c>
      <c r="O858" t="s">
        <v>4290</v>
      </c>
      <c r="P858" t="s">
        <v>2733</v>
      </c>
      <c r="Q858" t="s">
        <v>3065</v>
      </c>
      <c r="R858" t="s">
        <v>4278</v>
      </c>
      <c r="S858">
        <v>71.209999999999994</v>
      </c>
    </row>
    <row r="859" spans="1:19" x14ac:dyDescent="0.3">
      <c r="A859" t="s">
        <v>833</v>
      </c>
      <c r="B859" s="3">
        <v>45563</v>
      </c>
      <c r="C859" t="s">
        <v>2029</v>
      </c>
      <c r="D859" t="s">
        <v>2404</v>
      </c>
      <c r="E859">
        <v>2</v>
      </c>
      <c r="F859">
        <v>398.45</v>
      </c>
      <c r="G859" t="s">
        <v>2941</v>
      </c>
      <c r="H859" t="s">
        <v>3065</v>
      </c>
      <c r="I859" t="s">
        <v>3071</v>
      </c>
      <c r="J859" t="s">
        <v>3894</v>
      </c>
      <c r="K859">
        <v>7</v>
      </c>
      <c r="L859" t="s">
        <v>4275</v>
      </c>
      <c r="M859" t="s">
        <v>4282</v>
      </c>
      <c r="N859">
        <v>796.9</v>
      </c>
      <c r="O859" t="s">
        <v>4290</v>
      </c>
      <c r="P859" t="s">
        <v>2941</v>
      </c>
      <c r="Q859" t="s">
        <v>3065</v>
      </c>
      <c r="R859" t="s">
        <v>4282</v>
      </c>
      <c r="S859">
        <v>113.84</v>
      </c>
    </row>
    <row r="860" spans="1:19" x14ac:dyDescent="0.3">
      <c r="A860" t="s">
        <v>651</v>
      </c>
      <c r="B860" s="3">
        <v>45564</v>
      </c>
      <c r="C860" t="s">
        <v>1850</v>
      </c>
      <c r="D860" t="s">
        <v>2406</v>
      </c>
      <c r="E860">
        <v>4</v>
      </c>
      <c r="F860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>
        <v>7</v>
      </c>
      <c r="L860" t="s">
        <v>4277</v>
      </c>
      <c r="M860" t="s">
        <v>4279</v>
      </c>
      <c r="N860">
        <v>1225.4000000000001</v>
      </c>
      <c r="O860" t="s">
        <v>4290</v>
      </c>
      <c r="P860" t="s">
        <v>2853</v>
      </c>
      <c r="Q860" t="s">
        <v>3068</v>
      </c>
      <c r="R860" t="s">
        <v>4279</v>
      </c>
      <c r="S860">
        <v>175.06</v>
      </c>
    </row>
    <row r="861" spans="1:19" x14ac:dyDescent="0.3">
      <c r="A861" t="s">
        <v>741</v>
      </c>
      <c r="B861" s="3">
        <v>45564</v>
      </c>
      <c r="C861" t="s">
        <v>1938</v>
      </c>
      <c r="D861" t="s">
        <v>2406</v>
      </c>
      <c r="E861">
        <v>5</v>
      </c>
      <c r="F861">
        <v>95.75</v>
      </c>
      <c r="G861" t="s">
        <v>2748</v>
      </c>
      <c r="H861" t="s">
        <v>3066</v>
      </c>
      <c r="I861" t="s">
        <v>3070</v>
      </c>
      <c r="J861" t="s">
        <v>3802</v>
      </c>
      <c r="K861">
        <v>8</v>
      </c>
      <c r="L861" t="s">
        <v>4275</v>
      </c>
      <c r="M861" t="s">
        <v>4278</v>
      </c>
      <c r="N861">
        <v>478.75</v>
      </c>
      <c r="O861" t="s">
        <v>4290</v>
      </c>
      <c r="P861" t="s">
        <v>2748</v>
      </c>
      <c r="Q861" t="s">
        <v>3066</v>
      </c>
      <c r="R861" t="s">
        <v>4278</v>
      </c>
      <c r="S861">
        <v>59.84</v>
      </c>
    </row>
    <row r="862" spans="1:19" x14ac:dyDescent="0.3">
      <c r="A862" t="s">
        <v>581</v>
      </c>
      <c r="B862" s="3">
        <v>45565</v>
      </c>
      <c r="C862" t="s">
        <v>1781</v>
      </c>
      <c r="D862" t="s">
        <v>2406</v>
      </c>
      <c r="E862">
        <v>5</v>
      </c>
      <c r="F862">
        <v>492.94</v>
      </c>
      <c r="G862" t="s">
        <v>2632</v>
      </c>
      <c r="H862" t="s">
        <v>3069</v>
      </c>
      <c r="I862" t="s">
        <v>3070</v>
      </c>
      <c r="J862" t="s">
        <v>3642</v>
      </c>
      <c r="K862">
        <v>10</v>
      </c>
      <c r="L862" t="s">
        <v>4276</v>
      </c>
      <c r="M862" t="s">
        <v>4280</v>
      </c>
      <c r="N862">
        <v>2464.6999999999998</v>
      </c>
      <c r="O862" t="s">
        <v>4290</v>
      </c>
      <c r="P862" t="s">
        <v>2632</v>
      </c>
      <c r="Q862" t="s">
        <v>3069</v>
      </c>
      <c r="R862" t="s">
        <v>4280</v>
      </c>
      <c r="S862">
        <v>246.47</v>
      </c>
    </row>
    <row r="863" spans="1:19" x14ac:dyDescent="0.3">
      <c r="A863" t="s">
        <v>757</v>
      </c>
      <c r="B863" s="3">
        <v>45565</v>
      </c>
      <c r="C863" t="s">
        <v>1954</v>
      </c>
      <c r="D863" t="s">
        <v>2403</v>
      </c>
      <c r="E863">
        <v>1</v>
      </c>
      <c r="F863">
        <v>576.35</v>
      </c>
      <c r="G863" t="s">
        <v>2448</v>
      </c>
      <c r="H863" t="s">
        <v>3068</v>
      </c>
      <c r="I863" t="s">
        <v>3072</v>
      </c>
      <c r="J863" t="s">
        <v>3818</v>
      </c>
      <c r="K863">
        <v>1</v>
      </c>
      <c r="L863" t="s">
        <v>4277</v>
      </c>
      <c r="M863" t="s">
        <v>4278</v>
      </c>
      <c r="N863">
        <v>576.35</v>
      </c>
      <c r="O863" t="s">
        <v>4290</v>
      </c>
      <c r="P863" t="s">
        <v>2448</v>
      </c>
      <c r="Q863" t="s">
        <v>3068</v>
      </c>
      <c r="R863" t="s">
        <v>4278</v>
      </c>
      <c r="S863">
        <v>576.35</v>
      </c>
    </row>
    <row r="864" spans="1:19" x14ac:dyDescent="0.3">
      <c r="A864" t="s">
        <v>766</v>
      </c>
      <c r="B864" s="3">
        <v>45568</v>
      </c>
      <c r="C864" t="s">
        <v>1963</v>
      </c>
      <c r="D864" t="s">
        <v>2404</v>
      </c>
      <c r="E864">
        <v>4</v>
      </c>
      <c r="F864">
        <v>429.37</v>
      </c>
      <c r="G864" t="s">
        <v>2648</v>
      </c>
      <c r="H864" t="s">
        <v>3067</v>
      </c>
      <c r="I864" t="s">
        <v>3073</v>
      </c>
      <c r="J864" t="s">
        <v>3827</v>
      </c>
      <c r="K864">
        <v>8</v>
      </c>
      <c r="L864" t="s">
        <v>4276</v>
      </c>
      <c r="M864" t="s">
        <v>4282</v>
      </c>
      <c r="N864">
        <v>1717.48</v>
      </c>
      <c r="O864" t="s">
        <v>4290</v>
      </c>
      <c r="P864" t="s">
        <v>2648</v>
      </c>
      <c r="Q864" t="s">
        <v>3067</v>
      </c>
      <c r="R864" t="s">
        <v>4282</v>
      </c>
      <c r="S864">
        <v>214.68</v>
      </c>
    </row>
    <row r="865" spans="1:19" x14ac:dyDescent="0.3">
      <c r="A865" t="s">
        <v>1160</v>
      </c>
      <c r="B865" s="3">
        <v>45568</v>
      </c>
      <c r="C865" t="s">
        <v>2349</v>
      </c>
      <c r="D865" t="s">
        <v>2403</v>
      </c>
      <c r="E865">
        <v>5</v>
      </c>
      <c r="F865">
        <v>421.44</v>
      </c>
      <c r="G865" t="s">
        <v>2761</v>
      </c>
      <c r="H865" t="s">
        <v>3069</v>
      </c>
      <c r="I865" t="s">
        <v>3074</v>
      </c>
      <c r="J865" t="s">
        <v>4221</v>
      </c>
      <c r="K865">
        <v>5</v>
      </c>
      <c r="L865" t="s">
        <v>4275</v>
      </c>
      <c r="M865" t="s">
        <v>4278</v>
      </c>
      <c r="N865">
        <v>2107.1999999999998</v>
      </c>
      <c r="O865" t="s">
        <v>4290</v>
      </c>
      <c r="P865" t="s">
        <v>2761</v>
      </c>
      <c r="Q865" t="s">
        <v>3069</v>
      </c>
      <c r="R865" t="s">
        <v>4278</v>
      </c>
      <c r="S865">
        <v>421.44</v>
      </c>
    </row>
    <row r="866" spans="1:19" x14ac:dyDescent="0.3">
      <c r="A866" t="s">
        <v>617</v>
      </c>
      <c r="B866" s="3">
        <v>45569</v>
      </c>
      <c r="C866" t="s">
        <v>1816</v>
      </c>
      <c r="D866" t="s">
        <v>2405</v>
      </c>
      <c r="E866">
        <v>1</v>
      </c>
      <c r="F866">
        <v>657.07</v>
      </c>
      <c r="G866" t="s">
        <v>2837</v>
      </c>
      <c r="H866" t="s">
        <v>3069</v>
      </c>
      <c r="I866" t="s">
        <v>3074</v>
      </c>
      <c r="J866" t="s">
        <v>3678</v>
      </c>
      <c r="K866">
        <v>4</v>
      </c>
      <c r="L866" t="s">
        <v>4275</v>
      </c>
      <c r="M866" t="s">
        <v>4282</v>
      </c>
      <c r="N866">
        <v>657.07</v>
      </c>
      <c r="O866" t="s">
        <v>4290</v>
      </c>
      <c r="P866" t="s">
        <v>2837</v>
      </c>
      <c r="Q866" t="s">
        <v>3069</v>
      </c>
      <c r="R866" t="s">
        <v>4282</v>
      </c>
      <c r="S866">
        <v>164.27</v>
      </c>
    </row>
    <row r="867" spans="1:19" x14ac:dyDescent="0.3">
      <c r="A867" t="s">
        <v>1187</v>
      </c>
      <c r="B867" s="3">
        <v>45569</v>
      </c>
      <c r="C867" t="s">
        <v>2376</v>
      </c>
      <c r="D867" t="s">
        <v>2403</v>
      </c>
      <c r="E867">
        <v>1</v>
      </c>
      <c r="F867">
        <v>208.36</v>
      </c>
      <c r="G867" t="s">
        <v>2891</v>
      </c>
      <c r="H867" t="s">
        <v>3066</v>
      </c>
      <c r="I867" t="s">
        <v>3070</v>
      </c>
      <c r="J867" t="s">
        <v>4248</v>
      </c>
      <c r="K867">
        <v>4</v>
      </c>
      <c r="L867" t="s">
        <v>4276</v>
      </c>
      <c r="M867" t="s">
        <v>4280</v>
      </c>
      <c r="N867">
        <v>208.36</v>
      </c>
      <c r="O867" t="s">
        <v>4290</v>
      </c>
      <c r="P867" t="s">
        <v>2891</v>
      </c>
      <c r="Q867" t="s">
        <v>3066</v>
      </c>
      <c r="R867" t="s">
        <v>4280</v>
      </c>
      <c r="S867">
        <v>52.09</v>
      </c>
    </row>
    <row r="868" spans="1:19" x14ac:dyDescent="0.3">
      <c r="A868" t="s">
        <v>445</v>
      </c>
      <c r="B868" s="3">
        <v>45571</v>
      </c>
      <c r="C868" t="s">
        <v>1645</v>
      </c>
      <c r="D868" t="s">
        <v>2407</v>
      </c>
      <c r="E868">
        <v>1</v>
      </c>
      <c r="F868">
        <v>52.54</v>
      </c>
      <c r="G868" t="s">
        <v>2553</v>
      </c>
      <c r="H868" t="s">
        <v>3065</v>
      </c>
      <c r="I868" t="s">
        <v>3071</v>
      </c>
      <c r="J868" t="s">
        <v>3506</v>
      </c>
      <c r="K868">
        <v>6</v>
      </c>
      <c r="L868" t="s">
        <v>4277</v>
      </c>
      <c r="M868" t="s">
        <v>4281</v>
      </c>
      <c r="N868">
        <v>52.54</v>
      </c>
      <c r="O868" t="s">
        <v>4290</v>
      </c>
      <c r="P868" t="s">
        <v>2553</v>
      </c>
      <c r="Q868" t="s">
        <v>3065</v>
      </c>
      <c r="R868" t="s">
        <v>4281</v>
      </c>
      <c r="S868">
        <v>8.76</v>
      </c>
    </row>
    <row r="869" spans="1:19" x14ac:dyDescent="0.3">
      <c r="A869" t="s">
        <v>474</v>
      </c>
      <c r="B869" s="3">
        <v>45571</v>
      </c>
      <c r="C869" t="s">
        <v>1674</v>
      </c>
      <c r="D869" t="s">
        <v>2408</v>
      </c>
      <c r="E869">
        <v>1</v>
      </c>
      <c r="F869">
        <v>144.25</v>
      </c>
      <c r="G869" t="s">
        <v>2768</v>
      </c>
      <c r="H869" t="s">
        <v>3069</v>
      </c>
      <c r="I869" t="s">
        <v>3072</v>
      </c>
      <c r="J869" t="s">
        <v>3535</v>
      </c>
      <c r="K869">
        <v>2</v>
      </c>
      <c r="L869" t="s">
        <v>4277</v>
      </c>
      <c r="M869" t="s">
        <v>4279</v>
      </c>
      <c r="N869">
        <v>144.25</v>
      </c>
      <c r="O869" t="s">
        <v>4290</v>
      </c>
      <c r="P869" t="s">
        <v>2768</v>
      </c>
      <c r="Q869" t="s">
        <v>3069</v>
      </c>
      <c r="R869" t="s">
        <v>4279</v>
      </c>
      <c r="S869">
        <v>72.12</v>
      </c>
    </row>
    <row r="870" spans="1:19" x14ac:dyDescent="0.3">
      <c r="A870" t="s">
        <v>837</v>
      </c>
      <c r="B870" s="3">
        <v>45572</v>
      </c>
      <c r="C870" t="s">
        <v>2033</v>
      </c>
      <c r="D870" t="s">
        <v>2408</v>
      </c>
      <c r="E870">
        <v>4</v>
      </c>
      <c r="F870">
        <v>653.13</v>
      </c>
      <c r="G870" t="s">
        <v>2942</v>
      </c>
      <c r="H870" t="s">
        <v>3067</v>
      </c>
      <c r="I870" t="s">
        <v>3070</v>
      </c>
      <c r="J870" t="s">
        <v>3898</v>
      </c>
      <c r="K870">
        <v>8</v>
      </c>
      <c r="L870" t="s">
        <v>4277</v>
      </c>
      <c r="M870" t="s">
        <v>4278</v>
      </c>
      <c r="N870">
        <v>2612.52</v>
      </c>
      <c r="O870" t="s">
        <v>4290</v>
      </c>
      <c r="P870" t="s">
        <v>2942</v>
      </c>
      <c r="Q870" t="s">
        <v>3067</v>
      </c>
      <c r="R870" t="s">
        <v>4278</v>
      </c>
      <c r="S870">
        <v>326.56</v>
      </c>
    </row>
    <row r="871" spans="1:19" x14ac:dyDescent="0.3">
      <c r="A871" t="s">
        <v>1060</v>
      </c>
      <c r="B871" s="3">
        <v>45572</v>
      </c>
      <c r="C871" t="s">
        <v>2252</v>
      </c>
      <c r="D871" t="s">
        <v>2405</v>
      </c>
      <c r="E871">
        <v>3</v>
      </c>
      <c r="F871">
        <v>547.15</v>
      </c>
      <c r="G871" t="s">
        <v>3014</v>
      </c>
      <c r="H871" t="s">
        <v>3066</v>
      </c>
      <c r="I871" t="s">
        <v>3070</v>
      </c>
      <c r="J871" t="s">
        <v>4121</v>
      </c>
      <c r="K871">
        <v>4</v>
      </c>
      <c r="L871" t="s">
        <v>4277</v>
      </c>
      <c r="M871" t="s">
        <v>4278</v>
      </c>
      <c r="N871">
        <v>1641.45</v>
      </c>
      <c r="O871" t="s">
        <v>4290</v>
      </c>
      <c r="P871" t="s">
        <v>3014</v>
      </c>
      <c r="Q871" t="s">
        <v>3066</v>
      </c>
      <c r="R871" t="s">
        <v>4278</v>
      </c>
      <c r="S871">
        <v>410.36</v>
      </c>
    </row>
    <row r="872" spans="1:19" x14ac:dyDescent="0.3">
      <c r="A872" t="s">
        <v>222</v>
      </c>
      <c r="B872" s="3">
        <v>45573</v>
      </c>
      <c r="C872" t="s">
        <v>1422</v>
      </c>
      <c r="D872" t="s">
        <v>2409</v>
      </c>
      <c r="E872">
        <v>2</v>
      </c>
      <c r="F872">
        <v>408.32</v>
      </c>
      <c r="G872" t="s">
        <v>2581</v>
      </c>
      <c r="H872" t="s">
        <v>3066</v>
      </c>
      <c r="I872" t="s">
        <v>3070</v>
      </c>
      <c r="J872" t="s">
        <v>3283</v>
      </c>
      <c r="K872">
        <v>3</v>
      </c>
      <c r="L872" t="s">
        <v>4276</v>
      </c>
      <c r="M872" t="s">
        <v>4281</v>
      </c>
      <c r="N872">
        <v>816.64</v>
      </c>
      <c r="O872" t="s">
        <v>4290</v>
      </c>
      <c r="P872" t="s">
        <v>2581</v>
      </c>
      <c r="Q872" t="s">
        <v>3066</v>
      </c>
      <c r="R872" t="s">
        <v>4281</v>
      </c>
      <c r="S872">
        <v>272.20999999999998</v>
      </c>
    </row>
    <row r="873" spans="1:19" x14ac:dyDescent="0.3">
      <c r="A873" t="s">
        <v>1105</v>
      </c>
      <c r="B873" s="3">
        <v>45573</v>
      </c>
      <c r="C873" t="s">
        <v>2297</v>
      </c>
      <c r="D873" t="s">
        <v>2408</v>
      </c>
      <c r="E873">
        <v>3</v>
      </c>
      <c r="F873">
        <v>209.48</v>
      </c>
      <c r="G873" t="s">
        <v>2739</v>
      </c>
      <c r="H873" t="s">
        <v>3065</v>
      </c>
      <c r="I873" t="s">
        <v>3074</v>
      </c>
      <c r="J873" t="s">
        <v>4166</v>
      </c>
      <c r="K873">
        <v>4</v>
      </c>
      <c r="L873" t="s">
        <v>4283</v>
      </c>
      <c r="M873" t="s">
        <v>4280</v>
      </c>
      <c r="N873">
        <v>628.43999999999994</v>
      </c>
      <c r="O873" t="s">
        <v>4290</v>
      </c>
      <c r="P873" t="s">
        <v>2739</v>
      </c>
      <c r="Q873" t="s">
        <v>3065</v>
      </c>
      <c r="R873" t="s">
        <v>4280</v>
      </c>
      <c r="S873">
        <v>157.11000000000001</v>
      </c>
    </row>
    <row r="874" spans="1:19" x14ac:dyDescent="0.3">
      <c r="A874" t="s">
        <v>101</v>
      </c>
      <c r="B874" s="3">
        <v>45575</v>
      </c>
      <c r="C874" t="s">
        <v>1301</v>
      </c>
      <c r="D874" t="s">
        <v>2405</v>
      </c>
      <c r="E874">
        <v>3</v>
      </c>
      <c r="F874">
        <v>225.11</v>
      </c>
      <c r="G874" t="s">
        <v>2491</v>
      </c>
      <c r="H874" t="s">
        <v>3069</v>
      </c>
      <c r="I874" t="s">
        <v>3070</v>
      </c>
      <c r="J874" t="s">
        <v>3162</v>
      </c>
      <c r="K874">
        <v>4</v>
      </c>
      <c r="L874" t="s">
        <v>4275</v>
      </c>
      <c r="M874" t="s">
        <v>4281</v>
      </c>
      <c r="N874">
        <v>675.33</v>
      </c>
      <c r="O874" t="s">
        <v>4290</v>
      </c>
      <c r="P874" t="s">
        <v>2491</v>
      </c>
      <c r="Q874" t="s">
        <v>3069</v>
      </c>
      <c r="R874" t="s">
        <v>4281</v>
      </c>
      <c r="S874">
        <v>168.83</v>
      </c>
    </row>
    <row r="875" spans="1:19" x14ac:dyDescent="0.3">
      <c r="A875" t="s">
        <v>592</v>
      </c>
      <c r="B875" s="3">
        <v>45575</v>
      </c>
      <c r="C875" t="s">
        <v>1792</v>
      </c>
      <c r="D875" t="s">
        <v>2403</v>
      </c>
      <c r="E875">
        <v>5</v>
      </c>
      <c r="F875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>
        <v>6</v>
      </c>
      <c r="L875" t="s">
        <v>4275</v>
      </c>
      <c r="M875" t="s">
        <v>4278</v>
      </c>
      <c r="N875">
        <v>2830.35</v>
      </c>
      <c r="O875" t="s">
        <v>4290</v>
      </c>
      <c r="P875" t="s">
        <v>2430</v>
      </c>
      <c r="Q875" t="s">
        <v>3067</v>
      </c>
      <c r="R875" t="s">
        <v>4278</v>
      </c>
      <c r="S875">
        <v>471.72</v>
      </c>
    </row>
    <row r="876" spans="1:19" x14ac:dyDescent="0.3">
      <c r="A876" t="s">
        <v>1087</v>
      </c>
      <c r="B876" s="3">
        <v>45576</v>
      </c>
      <c r="C876" t="s">
        <v>2279</v>
      </c>
      <c r="D876" t="s">
        <v>2405</v>
      </c>
      <c r="E876">
        <v>4</v>
      </c>
      <c r="F876">
        <v>362.06</v>
      </c>
      <c r="G876" t="s">
        <v>2631</v>
      </c>
      <c r="H876" t="s">
        <v>3065</v>
      </c>
      <c r="I876" t="s">
        <v>3072</v>
      </c>
      <c r="J876" t="s">
        <v>4148</v>
      </c>
      <c r="K876">
        <v>4</v>
      </c>
      <c r="L876" t="s">
        <v>4283</v>
      </c>
      <c r="M876" t="s">
        <v>4281</v>
      </c>
      <c r="N876">
        <v>1448.24</v>
      </c>
      <c r="O876" t="s">
        <v>4290</v>
      </c>
      <c r="P876" t="s">
        <v>2631</v>
      </c>
      <c r="Q876" t="s">
        <v>3065</v>
      </c>
      <c r="R876" t="s">
        <v>4281</v>
      </c>
      <c r="S876">
        <v>362.06</v>
      </c>
    </row>
    <row r="877" spans="1:19" x14ac:dyDescent="0.3">
      <c r="A877" t="s">
        <v>51</v>
      </c>
      <c r="B877" s="3">
        <v>45579</v>
      </c>
      <c r="C877" t="s">
        <v>1251</v>
      </c>
      <c r="D877" t="s">
        <v>2408</v>
      </c>
      <c r="E877">
        <v>2</v>
      </c>
      <c r="F87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>
        <v>7</v>
      </c>
      <c r="L877" t="s">
        <v>4275</v>
      </c>
      <c r="M877" t="s">
        <v>4278</v>
      </c>
      <c r="N877">
        <v>153.47999999999999</v>
      </c>
      <c r="O877" t="s">
        <v>4290</v>
      </c>
      <c r="P877" t="s">
        <v>2447</v>
      </c>
      <c r="Q877" t="s">
        <v>3069</v>
      </c>
      <c r="R877" t="s">
        <v>4278</v>
      </c>
      <c r="S877">
        <v>21.93</v>
      </c>
    </row>
    <row r="878" spans="1:19" x14ac:dyDescent="0.3">
      <c r="A878" t="s">
        <v>26</v>
      </c>
      <c r="B878" s="3">
        <v>45580</v>
      </c>
      <c r="C878" t="s">
        <v>1226</v>
      </c>
      <c r="D878" t="s">
        <v>2403</v>
      </c>
      <c r="E878">
        <v>2</v>
      </c>
      <c r="F878">
        <v>180.5</v>
      </c>
      <c r="G878" t="s">
        <v>2422</v>
      </c>
      <c r="H878" t="s">
        <v>3065</v>
      </c>
      <c r="I878" t="s">
        <v>3074</v>
      </c>
      <c r="J878" t="s">
        <v>3087</v>
      </c>
      <c r="K878">
        <v>6</v>
      </c>
      <c r="L878" t="s">
        <v>4276</v>
      </c>
      <c r="M878" t="s">
        <v>4279</v>
      </c>
      <c r="N878">
        <v>361</v>
      </c>
      <c r="O878" t="s">
        <v>4290</v>
      </c>
      <c r="P878" t="s">
        <v>2422</v>
      </c>
      <c r="Q878" t="s">
        <v>3065</v>
      </c>
      <c r="R878" t="s">
        <v>4279</v>
      </c>
      <c r="S878">
        <v>60.17</v>
      </c>
    </row>
    <row r="879" spans="1:19" x14ac:dyDescent="0.3">
      <c r="A879" t="s">
        <v>819</v>
      </c>
      <c r="B879" s="3">
        <v>45580</v>
      </c>
      <c r="C879" t="s">
        <v>2015</v>
      </c>
      <c r="D879" t="s">
        <v>2408</v>
      </c>
      <c r="E879">
        <v>5</v>
      </c>
      <c r="F879">
        <v>472.01</v>
      </c>
      <c r="G879" t="s">
        <v>2934</v>
      </c>
      <c r="H879" t="s">
        <v>3068</v>
      </c>
      <c r="I879" t="s">
        <v>3071</v>
      </c>
      <c r="J879" t="s">
        <v>3880</v>
      </c>
      <c r="K879">
        <v>10</v>
      </c>
      <c r="L879" t="s">
        <v>4275</v>
      </c>
      <c r="M879" t="s">
        <v>4280</v>
      </c>
      <c r="N879">
        <v>2360.0500000000002</v>
      </c>
      <c r="O879" t="s">
        <v>4290</v>
      </c>
      <c r="P879" t="s">
        <v>2934</v>
      </c>
      <c r="Q879" t="s">
        <v>3068</v>
      </c>
      <c r="R879" t="s">
        <v>4280</v>
      </c>
      <c r="S879">
        <v>236</v>
      </c>
    </row>
    <row r="880" spans="1:19" x14ac:dyDescent="0.3">
      <c r="A880" t="s">
        <v>943</v>
      </c>
      <c r="B880" s="3">
        <v>45581</v>
      </c>
      <c r="C880" t="s">
        <v>2139</v>
      </c>
      <c r="D880" t="s">
        <v>2405</v>
      </c>
      <c r="E880">
        <v>2</v>
      </c>
      <c r="F880">
        <v>536.25</v>
      </c>
      <c r="G880" t="s">
        <v>2568</v>
      </c>
      <c r="H880" t="s">
        <v>3065</v>
      </c>
      <c r="I880" t="s">
        <v>3074</v>
      </c>
      <c r="J880" t="s">
        <v>4004</v>
      </c>
      <c r="K880">
        <v>3</v>
      </c>
      <c r="L880" t="s">
        <v>4283</v>
      </c>
      <c r="M880" t="s">
        <v>4280</v>
      </c>
      <c r="N880">
        <v>1072.5</v>
      </c>
      <c r="O880" t="s">
        <v>4290</v>
      </c>
      <c r="P880" t="s">
        <v>2568</v>
      </c>
      <c r="Q880" t="s">
        <v>3065</v>
      </c>
      <c r="R880" t="s">
        <v>4280</v>
      </c>
      <c r="S880">
        <v>357.5</v>
      </c>
    </row>
    <row r="881" spans="1:19" x14ac:dyDescent="0.3">
      <c r="A881" t="s">
        <v>630</v>
      </c>
      <c r="B881" s="3">
        <v>45582</v>
      </c>
      <c r="C881" t="s">
        <v>1829</v>
      </c>
      <c r="D881" t="s">
        <v>2405</v>
      </c>
      <c r="E881">
        <v>3</v>
      </c>
      <c r="F881">
        <v>601.6</v>
      </c>
      <c r="G881" t="s">
        <v>2843</v>
      </c>
      <c r="H881" t="s">
        <v>3067</v>
      </c>
      <c r="I881" t="s">
        <v>3071</v>
      </c>
      <c r="J881" t="s">
        <v>3691</v>
      </c>
      <c r="K881">
        <v>7</v>
      </c>
      <c r="L881" t="s">
        <v>4275</v>
      </c>
      <c r="M881" t="s">
        <v>4281</v>
      </c>
      <c r="N881">
        <v>1804.8</v>
      </c>
      <c r="O881" t="s">
        <v>4290</v>
      </c>
      <c r="P881" t="s">
        <v>2843</v>
      </c>
      <c r="Q881" t="s">
        <v>3067</v>
      </c>
      <c r="R881" t="s">
        <v>4281</v>
      </c>
      <c r="S881">
        <v>257.83</v>
      </c>
    </row>
    <row r="882" spans="1:19" x14ac:dyDescent="0.3">
      <c r="A882" t="s">
        <v>318</v>
      </c>
      <c r="B882" s="3">
        <v>45583</v>
      </c>
      <c r="C882" t="s">
        <v>1518</v>
      </c>
      <c r="D882" t="s">
        <v>2403</v>
      </c>
      <c r="E882">
        <v>5</v>
      </c>
      <c r="F882">
        <v>408.73</v>
      </c>
      <c r="G882" t="s">
        <v>2667</v>
      </c>
      <c r="H882" t="s">
        <v>3068</v>
      </c>
      <c r="I882" t="s">
        <v>3073</v>
      </c>
      <c r="J882" t="s">
        <v>3379</v>
      </c>
      <c r="K882">
        <v>10</v>
      </c>
      <c r="L882" t="s">
        <v>4276</v>
      </c>
      <c r="M882" t="s">
        <v>4278</v>
      </c>
      <c r="N882">
        <v>2043.65</v>
      </c>
      <c r="O882" t="s">
        <v>4290</v>
      </c>
      <c r="P882" t="s">
        <v>2667</v>
      </c>
      <c r="Q882" t="s">
        <v>3068</v>
      </c>
      <c r="R882" t="s">
        <v>4278</v>
      </c>
      <c r="S882">
        <v>204.36</v>
      </c>
    </row>
    <row r="883" spans="1:19" x14ac:dyDescent="0.3">
      <c r="A883" t="s">
        <v>738</v>
      </c>
      <c r="B883" s="3">
        <v>45583</v>
      </c>
      <c r="C883" t="s">
        <v>1935</v>
      </c>
      <c r="D883" t="s">
        <v>2407</v>
      </c>
      <c r="E883">
        <v>3</v>
      </c>
      <c r="F883">
        <v>136.97</v>
      </c>
      <c r="G883" t="s">
        <v>2667</v>
      </c>
      <c r="H883" t="s">
        <v>3067</v>
      </c>
      <c r="I883" t="s">
        <v>3072</v>
      </c>
      <c r="J883" t="s">
        <v>3799</v>
      </c>
      <c r="K883">
        <v>4</v>
      </c>
      <c r="L883" t="s">
        <v>4276</v>
      </c>
      <c r="M883" t="s">
        <v>4279</v>
      </c>
      <c r="N883">
        <v>410.91</v>
      </c>
      <c r="O883" t="s">
        <v>4290</v>
      </c>
      <c r="P883" t="s">
        <v>2667</v>
      </c>
      <c r="Q883" t="s">
        <v>3067</v>
      </c>
      <c r="R883" t="s">
        <v>4279</v>
      </c>
      <c r="S883">
        <v>102.73</v>
      </c>
    </row>
    <row r="884" spans="1:19" x14ac:dyDescent="0.3">
      <c r="A884" t="s">
        <v>910</v>
      </c>
      <c r="B884" s="3">
        <v>45583</v>
      </c>
      <c r="C884" t="s">
        <v>2106</v>
      </c>
      <c r="D884" t="s">
        <v>2409</v>
      </c>
      <c r="E884">
        <v>3</v>
      </c>
      <c r="F884">
        <v>147.29</v>
      </c>
      <c r="G884" t="s">
        <v>2419</v>
      </c>
      <c r="H884" t="s">
        <v>3068</v>
      </c>
      <c r="I884" t="s">
        <v>3070</v>
      </c>
      <c r="J884" t="s">
        <v>3971</v>
      </c>
      <c r="K884">
        <v>3</v>
      </c>
      <c r="L884" t="s">
        <v>4276</v>
      </c>
      <c r="M884" t="s">
        <v>4282</v>
      </c>
      <c r="N884">
        <v>441.87</v>
      </c>
      <c r="O884" t="s">
        <v>4290</v>
      </c>
      <c r="P884" t="s">
        <v>2419</v>
      </c>
      <c r="Q884" t="s">
        <v>3068</v>
      </c>
      <c r="R884" t="s">
        <v>4282</v>
      </c>
      <c r="S884">
        <v>147.29</v>
      </c>
    </row>
    <row r="885" spans="1:19" x14ac:dyDescent="0.3">
      <c r="A885" t="s">
        <v>674</v>
      </c>
      <c r="B885" s="3">
        <v>45584</v>
      </c>
      <c r="C885" t="s">
        <v>1873</v>
      </c>
      <c r="D885" t="s">
        <v>2406</v>
      </c>
      <c r="E885">
        <v>2</v>
      </c>
      <c r="F885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>
        <v>7</v>
      </c>
      <c r="L885" t="s">
        <v>4277</v>
      </c>
      <c r="M885" t="s">
        <v>4281</v>
      </c>
      <c r="N885">
        <v>1303.1400000000001</v>
      </c>
      <c r="O885" t="s">
        <v>4290</v>
      </c>
      <c r="P885" t="s">
        <v>2543</v>
      </c>
      <c r="Q885" t="s">
        <v>3065</v>
      </c>
      <c r="R885" t="s">
        <v>4281</v>
      </c>
      <c r="S885">
        <v>186.16</v>
      </c>
    </row>
    <row r="886" spans="1:19" x14ac:dyDescent="0.3">
      <c r="A886" t="s">
        <v>968</v>
      </c>
      <c r="B886" s="3">
        <v>45587</v>
      </c>
      <c r="C886" t="s">
        <v>2162</v>
      </c>
      <c r="D886" t="s">
        <v>2406</v>
      </c>
      <c r="E886">
        <v>3</v>
      </c>
      <c r="F886">
        <v>443.44</v>
      </c>
      <c r="G886" t="s">
        <v>2556</v>
      </c>
      <c r="H886" t="s">
        <v>3068</v>
      </c>
      <c r="I886" t="s">
        <v>3070</v>
      </c>
      <c r="J886" t="s">
        <v>4029</v>
      </c>
      <c r="K886">
        <v>3</v>
      </c>
      <c r="L886" t="s">
        <v>4276</v>
      </c>
      <c r="M886" t="s">
        <v>4282</v>
      </c>
      <c r="N886">
        <v>1330.32</v>
      </c>
      <c r="O886" t="s">
        <v>4290</v>
      </c>
      <c r="P886" t="s">
        <v>2556</v>
      </c>
      <c r="Q886" t="s">
        <v>3068</v>
      </c>
      <c r="R886" t="s">
        <v>4282</v>
      </c>
      <c r="S886">
        <v>443.44</v>
      </c>
    </row>
    <row r="887" spans="1:19" x14ac:dyDescent="0.3">
      <c r="A887" t="s">
        <v>119</v>
      </c>
      <c r="B887" s="3">
        <v>45589</v>
      </c>
      <c r="C887" t="s">
        <v>1319</v>
      </c>
      <c r="D887" t="s">
        <v>2407</v>
      </c>
      <c r="E887">
        <v>3</v>
      </c>
      <c r="F887">
        <v>185.4</v>
      </c>
      <c r="G887" t="s">
        <v>2508</v>
      </c>
      <c r="H887" t="s">
        <v>3068</v>
      </c>
      <c r="I887" t="s">
        <v>3071</v>
      </c>
      <c r="J887" t="s">
        <v>3180</v>
      </c>
      <c r="K887">
        <v>7</v>
      </c>
      <c r="L887" t="s">
        <v>4283</v>
      </c>
      <c r="M887" t="s">
        <v>4281</v>
      </c>
      <c r="N887">
        <v>556.20000000000005</v>
      </c>
      <c r="O887" t="s">
        <v>4290</v>
      </c>
      <c r="P887" t="s">
        <v>2508</v>
      </c>
      <c r="Q887" t="s">
        <v>3068</v>
      </c>
      <c r="R887" t="s">
        <v>4281</v>
      </c>
      <c r="S887">
        <v>79.459999999999994</v>
      </c>
    </row>
    <row r="888" spans="1:19" x14ac:dyDescent="0.3">
      <c r="A888" t="s">
        <v>511</v>
      </c>
      <c r="B888" s="3">
        <v>45589</v>
      </c>
      <c r="C888" t="s">
        <v>1711</v>
      </c>
      <c r="D888" t="s">
        <v>2407</v>
      </c>
      <c r="E888">
        <v>3</v>
      </c>
      <c r="F888">
        <v>112.29</v>
      </c>
      <c r="G888" t="s">
        <v>2790</v>
      </c>
      <c r="H888" t="s">
        <v>3068</v>
      </c>
      <c r="I888" t="s">
        <v>3070</v>
      </c>
      <c r="J888" t="s">
        <v>3572</v>
      </c>
      <c r="K888">
        <v>6</v>
      </c>
      <c r="L888" t="s">
        <v>4283</v>
      </c>
      <c r="M888" t="s">
        <v>4282</v>
      </c>
      <c r="N888">
        <v>336.87</v>
      </c>
      <c r="O888" t="s">
        <v>4290</v>
      </c>
      <c r="P888" t="s">
        <v>2790</v>
      </c>
      <c r="Q888" t="s">
        <v>3068</v>
      </c>
      <c r="R888" t="s">
        <v>4282</v>
      </c>
      <c r="S888">
        <v>56.14</v>
      </c>
    </row>
    <row r="889" spans="1:19" x14ac:dyDescent="0.3">
      <c r="A889" t="s">
        <v>866</v>
      </c>
      <c r="B889" s="3">
        <v>45589</v>
      </c>
      <c r="C889" t="s">
        <v>2062</v>
      </c>
      <c r="D889" t="s">
        <v>2409</v>
      </c>
      <c r="E889">
        <v>3</v>
      </c>
      <c r="F889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>
        <v>6</v>
      </c>
      <c r="L889" t="s">
        <v>4275</v>
      </c>
      <c r="M889" t="s">
        <v>4282</v>
      </c>
      <c r="N889">
        <v>1704.15</v>
      </c>
      <c r="O889" t="s">
        <v>4290</v>
      </c>
      <c r="P889" t="s">
        <v>2955</v>
      </c>
      <c r="Q889" t="s">
        <v>3068</v>
      </c>
      <c r="R889" t="s">
        <v>4282</v>
      </c>
      <c r="S889">
        <v>284.02</v>
      </c>
    </row>
    <row r="890" spans="1:19" x14ac:dyDescent="0.3">
      <c r="A890" t="s">
        <v>740</v>
      </c>
      <c r="B890" s="3">
        <v>45590</v>
      </c>
      <c r="C890" t="s">
        <v>1937</v>
      </c>
      <c r="D890" t="s">
        <v>2408</v>
      </c>
      <c r="E890">
        <v>4</v>
      </c>
      <c r="F890">
        <v>583.02</v>
      </c>
      <c r="G890" t="s">
        <v>2894</v>
      </c>
      <c r="H890" t="s">
        <v>3066</v>
      </c>
      <c r="I890" t="s">
        <v>3073</v>
      </c>
      <c r="J890" t="s">
        <v>3801</v>
      </c>
      <c r="K890">
        <v>4</v>
      </c>
      <c r="L890" t="s">
        <v>4276</v>
      </c>
      <c r="M890" t="s">
        <v>4281</v>
      </c>
      <c r="N890">
        <v>2332.08</v>
      </c>
      <c r="O890" t="s">
        <v>4290</v>
      </c>
      <c r="P890" t="s">
        <v>2894</v>
      </c>
      <c r="Q890" t="s">
        <v>3066</v>
      </c>
      <c r="R890" t="s">
        <v>4281</v>
      </c>
      <c r="S890">
        <v>583.02</v>
      </c>
    </row>
    <row r="891" spans="1:19" x14ac:dyDescent="0.3">
      <c r="A891" t="s">
        <v>673</v>
      </c>
      <c r="B891" s="3">
        <v>45591</v>
      </c>
      <c r="C891" t="s">
        <v>1872</v>
      </c>
      <c r="D891" t="s">
        <v>2404</v>
      </c>
      <c r="E891">
        <v>2</v>
      </c>
      <c r="F891">
        <v>642.04</v>
      </c>
      <c r="G891" t="s">
        <v>2813</v>
      </c>
      <c r="H891" t="s">
        <v>3068</v>
      </c>
      <c r="I891" t="s">
        <v>3073</v>
      </c>
      <c r="J891" t="s">
        <v>3734</v>
      </c>
      <c r="K891">
        <v>4</v>
      </c>
      <c r="L891" t="s">
        <v>4277</v>
      </c>
      <c r="M891" t="s">
        <v>4280</v>
      </c>
      <c r="N891">
        <v>1284.08</v>
      </c>
      <c r="O891" t="s">
        <v>4290</v>
      </c>
      <c r="P891" t="s">
        <v>2813</v>
      </c>
      <c r="Q891" t="s">
        <v>3068</v>
      </c>
      <c r="R891" t="s">
        <v>4280</v>
      </c>
      <c r="S891">
        <v>321.02</v>
      </c>
    </row>
    <row r="892" spans="1:19" x14ac:dyDescent="0.3">
      <c r="A892" t="s">
        <v>287</v>
      </c>
      <c r="B892" s="3">
        <v>45592</v>
      </c>
      <c r="C892" t="s">
        <v>1487</v>
      </c>
      <c r="D892" t="s">
        <v>2405</v>
      </c>
      <c r="E892">
        <v>2</v>
      </c>
      <c r="F892">
        <v>238.25</v>
      </c>
      <c r="G892" t="s">
        <v>2643</v>
      </c>
      <c r="H892" t="s">
        <v>3066</v>
      </c>
      <c r="I892" t="s">
        <v>3071</v>
      </c>
      <c r="J892" t="s">
        <v>3348</v>
      </c>
      <c r="K892">
        <v>7</v>
      </c>
      <c r="L892" t="s">
        <v>4276</v>
      </c>
      <c r="M892" t="s">
        <v>4280</v>
      </c>
      <c r="N892">
        <v>476.5</v>
      </c>
      <c r="O892" t="s">
        <v>4290</v>
      </c>
      <c r="P892" t="s">
        <v>2643</v>
      </c>
      <c r="Q892" t="s">
        <v>3066</v>
      </c>
      <c r="R892" t="s">
        <v>4280</v>
      </c>
      <c r="S892">
        <v>68.069999999999993</v>
      </c>
    </row>
    <row r="893" spans="1:19" x14ac:dyDescent="0.3">
      <c r="A893" t="s">
        <v>903</v>
      </c>
      <c r="B893" s="3">
        <v>45592</v>
      </c>
      <c r="C893" t="s">
        <v>2099</v>
      </c>
      <c r="D893" t="s">
        <v>2403</v>
      </c>
      <c r="E893">
        <v>5</v>
      </c>
      <c r="F893">
        <v>650.72</v>
      </c>
      <c r="G893" t="s">
        <v>2973</v>
      </c>
      <c r="H893" t="s">
        <v>3067</v>
      </c>
      <c r="I893" t="s">
        <v>3071</v>
      </c>
      <c r="J893" t="s">
        <v>3964</v>
      </c>
      <c r="K893">
        <v>8</v>
      </c>
      <c r="L893" t="s">
        <v>4277</v>
      </c>
      <c r="M893" t="s">
        <v>4280</v>
      </c>
      <c r="N893">
        <v>3253.6</v>
      </c>
      <c r="O893" t="s">
        <v>4290</v>
      </c>
      <c r="P893" t="s">
        <v>2973</v>
      </c>
      <c r="Q893" t="s">
        <v>3067</v>
      </c>
      <c r="R893" t="s">
        <v>4280</v>
      </c>
      <c r="S893">
        <v>406.7</v>
      </c>
    </row>
    <row r="894" spans="1:19" x14ac:dyDescent="0.3">
      <c r="A894" t="s">
        <v>38</v>
      </c>
      <c r="B894" s="3">
        <v>45595</v>
      </c>
      <c r="C894" t="s">
        <v>1238</v>
      </c>
      <c r="D894" t="s">
        <v>2408</v>
      </c>
      <c r="E894">
        <v>2</v>
      </c>
      <c r="F894">
        <v>230.95</v>
      </c>
      <c r="G894" t="s">
        <v>2434</v>
      </c>
      <c r="H894" t="s">
        <v>3066</v>
      </c>
      <c r="I894" t="s">
        <v>3073</v>
      </c>
      <c r="J894" t="s">
        <v>3099</v>
      </c>
      <c r="K894">
        <v>3</v>
      </c>
      <c r="L894" t="s">
        <v>4277</v>
      </c>
      <c r="M894" t="s">
        <v>4279</v>
      </c>
      <c r="N894">
        <v>461.9</v>
      </c>
      <c r="O894" t="s">
        <v>4290</v>
      </c>
      <c r="P894" t="s">
        <v>2434</v>
      </c>
      <c r="Q894" t="s">
        <v>3066</v>
      </c>
      <c r="R894" t="s">
        <v>4279</v>
      </c>
      <c r="S894">
        <v>153.97</v>
      </c>
    </row>
    <row r="895" spans="1:19" x14ac:dyDescent="0.3">
      <c r="A895" t="s">
        <v>492</v>
      </c>
      <c r="B895" s="3">
        <v>45597</v>
      </c>
      <c r="C895" t="s">
        <v>1692</v>
      </c>
      <c r="D895" t="s">
        <v>2405</v>
      </c>
      <c r="E895">
        <v>3</v>
      </c>
      <c r="F895">
        <v>62.77</v>
      </c>
      <c r="G895" t="s">
        <v>2426</v>
      </c>
      <c r="H895" t="s">
        <v>3068</v>
      </c>
      <c r="I895" t="s">
        <v>3070</v>
      </c>
      <c r="J895" t="s">
        <v>3553</v>
      </c>
      <c r="K895">
        <v>6</v>
      </c>
      <c r="L895" t="s">
        <v>4276</v>
      </c>
      <c r="M895" t="s">
        <v>4279</v>
      </c>
      <c r="N895">
        <v>188.31</v>
      </c>
      <c r="O895" t="s">
        <v>4290</v>
      </c>
      <c r="P895" t="s">
        <v>2426</v>
      </c>
      <c r="Q895" t="s">
        <v>3068</v>
      </c>
      <c r="R895" t="s">
        <v>4279</v>
      </c>
      <c r="S895">
        <v>31.38</v>
      </c>
    </row>
    <row r="896" spans="1:19" x14ac:dyDescent="0.3">
      <c r="A896" t="s">
        <v>721</v>
      </c>
      <c r="B896" s="3">
        <v>45597</v>
      </c>
      <c r="C896" t="s">
        <v>1919</v>
      </c>
      <c r="D896" t="s">
        <v>2406</v>
      </c>
      <c r="E896">
        <v>4</v>
      </c>
      <c r="F896">
        <v>650.04</v>
      </c>
      <c r="G896" t="s">
        <v>2487</v>
      </c>
      <c r="H896" t="s">
        <v>3068</v>
      </c>
      <c r="I896" t="s">
        <v>3071</v>
      </c>
      <c r="J896" t="s">
        <v>3782</v>
      </c>
      <c r="K896">
        <v>6</v>
      </c>
      <c r="L896" t="s">
        <v>4275</v>
      </c>
      <c r="M896" t="s">
        <v>4281</v>
      </c>
      <c r="N896">
        <v>2600.16</v>
      </c>
      <c r="O896" t="s">
        <v>4290</v>
      </c>
      <c r="P896" t="s">
        <v>2487</v>
      </c>
      <c r="Q896" t="s">
        <v>3068</v>
      </c>
      <c r="R896" t="s">
        <v>4281</v>
      </c>
      <c r="S896">
        <v>433.36</v>
      </c>
    </row>
    <row r="897" spans="1:19" x14ac:dyDescent="0.3">
      <c r="A897" t="s">
        <v>636</v>
      </c>
      <c r="B897" s="3">
        <v>45598</v>
      </c>
      <c r="C897" t="s">
        <v>1835</v>
      </c>
      <c r="D897" t="s">
        <v>2409</v>
      </c>
      <c r="E897">
        <v>5</v>
      </c>
      <c r="F897">
        <v>236.38</v>
      </c>
      <c r="G897" t="s">
        <v>2445</v>
      </c>
      <c r="H897" t="s">
        <v>3067</v>
      </c>
      <c r="I897" t="s">
        <v>3072</v>
      </c>
      <c r="J897" t="s">
        <v>3697</v>
      </c>
      <c r="K897">
        <v>7</v>
      </c>
      <c r="L897" t="s">
        <v>4283</v>
      </c>
      <c r="M897" t="s">
        <v>4281</v>
      </c>
      <c r="N897">
        <v>1181.9000000000001</v>
      </c>
      <c r="O897" t="s">
        <v>4290</v>
      </c>
      <c r="P897" t="s">
        <v>2445</v>
      </c>
      <c r="Q897" t="s">
        <v>3067</v>
      </c>
      <c r="R897" t="s">
        <v>4281</v>
      </c>
      <c r="S897">
        <v>168.84</v>
      </c>
    </row>
    <row r="898" spans="1:19" x14ac:dyDescent="0.3">
      <c r="A898" t="s">
        <v>454</v>
      </c>
      <c r="B898" s="3">
        <v>45601</v>
      </c>
      <c r="C898" t="s">
        <v>1654</v>
      </c>
      <c r="D898" t="s">
        <v>2409</v>
      </c>
      <c r="E898">
        <v>4</v>
      </c>
      <c r="F898">
        <v>83.6</v>
      </c>
      <c r="G898" t="s">
        <v>2674</v>
      </c>
      <c r="H898" t="s">
        <v>3065</v>
      </c>
      <c r="I898" t="s">
        <v>3074</v>
      </c>
      <c r="J898" t="s">
        <v>3515</v>
      </c>
      <c r="K898">
        <v>4</v>
      </c>
      <c r="L898" t="s">
        <v>4275</v>
      </c>
      <c r="M898" t="s">
        <v>4281</v>
      </c>
      <c r="N898">
        <v>334.4</v>
      </c>
      <c r="O898" t="s">
        <v>4290</v>
      </c>
      <c r="P898" t="s">
        <v>2674</v>
      </c>
      <c r="Q898" t="s">
        <v>3065</v>
      </c>
      <c r="R898" t="s">
        <v>4281</v>
      </c>
      <c r="S898">
        <v>83.6</v>
      </c>
    </row>
    <row r="899" spans="1:19" x14ac:dyDescent="0.3">
      <c r="A899" t="s">
        <v>139</v>
      </c>
      <c r="B899" s="3">
        <v>45602</v>
      </c>
      <c r="C899" t="s">
        <v>1339</v>
      </c>
      <c r="D899" t="s">
        <v>2404</v>
      </c>
      <c r="E899">
        <v>2</v>
      </c>
      <c r="F899">
        <v>512.65</v>
      </c>
      <c r="G899" t="s">
        <v>2527</v>
      </c>
      <c r="H899" t="s">
        <v>3067</v>
      </c>
      <c r="I899" t="s">
        <v>3070</v>
      </c>
      <c r="J899" t="s">
        <v>3200</v>
      </c>
      <c r="K899">
        <v>5</v>
      </c>
      <c r="L899" t="s">
        <v>4275</v>
      </c>
      <c r="M899" t="s">
        <v>4280</v>
      </c>
      <c r="N899">
        <v>1025.3</v>
      </c>
      <c r="O899" t="s">
        <v>4290</v>
      </c>
      <c r="P899" t="s">
        <v>2527</v>
      </c>
      <c r="Q899" t="s">
        <v>3067</v>
      </c>
      <c r="R899" t="s">
        <v>4280</v>
      </c>
      <c r="S899">
        <v>205.06</v>
      </c>
    </row>
    <row r="900" spans="1:19" x14ac:dyDescent="0.3">
      <c r="A900" t="s">
        <v>620</v>
      </c>
      <c r="B900" s="3">
        <v>45602</v>
      </c>
      <c r="C900" t="s">
        <v>1819</v>
      </c>
      <c r="D900" t="s">
        <v>2408</v>
      </c>
      <c r="E900">
        <v>3</v>
      </c>
      <c r="F900">
        <v>274.75</v>
      </c>
      <c r="G900" t="s">
        <v>2614</v>
      </c>
      <c r="H900" t="s">
        <v>3069</v>
      </c>
      <c r="I900" t="s">
        <v>3071</v>
      </c>
      <c r="J900" t="s">
        <v>3681</v>
      </c>
      <c r="K900">
        <v>3</v>
      </c>
      <c r="L900" t="s">
        <v>4275</v>
      </c>
      <c r="M900" t="s">
        <v>4282</v>
      </c>
      <c r="N900">
        <v>824.25</v>
      </c>
      <c r="O900" t="s">
        <v>4290</v>
      </c>
      <c r="P900" t="s">
        <v>2614</v>
      </c>
      <c r="Q900" t="s">
        <v>3069</v>
      </c>
      <c r="R900" t="s">
        <v>4282</v>
      </c>
      <c r="S900">
        <v>274.75</v>
      </c>
    </row>
    <row r="901" spans="1:19" x14ac:dyDescent="0.3">
      <c r="A901" t="s">
        <v>170</v>
      </c>
      <c r="B901" s="3">
        <v>45604</v>
      </c>
      <c r="C901" t="s">
        <v>1370</v>
      </c>
      <c r="D901" t="s">
        <v>2406</v>
      </c>
      <c r="E901">
        <v>2</v>
      </c>
      <c r="F901">
        <v>269.83</v>
      </c>
      <c r="G901" t="s">
        <v>2553</v>
      </c>
      <c r="H901" t="s">
        <v>3066</v>
      </c>
      <c r="I901" t="s">
        <v>3073</v>
      </c>
      <c r="J901" t="s">
        <v>3231</v>
      </c>
      <c r="K901">
        <v>4</v>
      </c>
      <c r="L901" t="s">
        <v>4275</v>
      </c>
      <c r="M901" t="s">
        <v>4280</v>
      </c>
      <c r="N901">
        <v>539.66</v>
      </c>
      <c r="O901" t="s">
        <v>4290</v>
      </c>
      <c r="P901" t="s">
        <v>2553</v>
      </c>
      <c r="Q901" t="s">
        <v>3066</v>
      </c>
      <c r="R901" t="s">
        <v>4280</v>
      </c>
      <c r="S901">
        <v>134.91999999999999</v>
      </c>
    </row>
    <row r="902" spans="1:19" x14ac:dyDescent="0.3">
      <c r="A902" t="s">
        <v>417</v>
      </c>
      <c r="B902" s="3">
        <v>45606</v>
      </c>
      <c r="C902" t="s">
        <v>1617</v>
      </c>
      <c r="D902" t="s">
        <v>2405</v>
      </c>
      <c r="E902">
        <v>1</v>
      </c>
      <c r="F902">
        <v>620.21</v>
      </c>
      <c r="G902" t="s">
        <v>2650</v>
      </c>
      <c r="H902" t="s">
        <v>3066</v>
      </c>
      <c r="I902" t="s">
        <v>3072</v>
      </c>
      <c r="J902" t="s">
        <v>3478</v>
      </c>
      <c r="K902">
        <v>1</v>
      </c>
      <c r="L902" t="s">
        <v>4276</v>
      </c>
      <c r="M902" t="s">
        <v>4279</v>
      </c>
      <c r="N902">
        <v>620.21</v>
      </c>
      <c r="O902" t="s">
        <v>4290</v>
      </c>
      <c r="P902" t="s">
        <v>2650</v>
      </c>
      <c r="Q902" t="s">
        <v>3066</v>
      </c>
      <c r="R902" t="s">
        <v>4279</v>
      </c>
      <c r="S902">
        <v>620.21</v>
      </c>
    </row>
    <row r="903" spans="1:19" x14ac:dyDescent="0.3">
      <c r="A903" t="s">
        <v>600</v>
      </c>
      <c r="B903" s="3">
        <v>45606</v>
      </c>
      <c r="C903" t="s">
        <v>1800</v>
      </c>
      <c r="D903" t="s">
        <v>2403</v>
      </c>
      <c r="E903">
        <v>1</v>
      </c>
      <c r="F903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>
        <v>5</v>
      </c>
      <c r="L903" t="s">
        <v>4276</v>
      </c>
      <c r="M903" t="s">
        <v>4279</v>
      </c>
      <c r="N903">
        <v>522.08000000000004</v>
      </c>
      <c r="O903" t="s">
        <v>4290</v>
      </c>
      <c r="P903" t="s">
        <v>2828</v>
      </c>
      <c r="Q903" t="s">
        <v>3068</v>
      </c>
      <c r="R903" t="s">
        <v>4279</v>
      </c>
      <c r="S903">
        <v>104.42</v>
      </c>
    </row>
    <row r="904" spans="1:19" x14ac:dyDescent="0.3">
      <c r="A904" t="s">
        <v>821</v>
      </c>
      <c r="B904" s="3">
        <v>45606</v>
      </c>
      <c r="C904" t="s">
        <v>2017</v>
      </c>
      <c r="D904" t="s">
        <v>2403</v>
      </c>
      <c r="E904">
        <v>3</v>
      </c>
      <c r="F904">
        <v>676.21</v>
      </c>
      <c r="G904" t="s">
        <v>2935</v>
      </c>
      <c r="H904" t="s">
        <v>3066</v>
      </c>
      <c r="I904" t="s">
        <v>3073</v>
      </c>
      <c r="J904" t="s">
        <v>3882</v>
      </c>
      <c r="K904">
        <v>5</v>
      </c>
      <c r="L904" t="s">
        <v>4275</v>
      </c>
      <c r="M904" t="s">
        <v>4282</v>
      </c>
      <c r="N904">
        <v>2028.63</v>
      </c>
      <c r="O904" t="s">
        <v>4290</v>
      </c>
      <c r="P904" t="s">
        <v>2935</v>
      </c>
      <c r="Q904" t="s">
        <v>3066</v>
      </c>
      <c r="R904" t="s">
        <v>4282</v>
      </c>
      <c r="S904">
        <v>405.73</v>
      </c>
    </row>
    <row r="905" spans="1:19" x14ac:dyDescent="0.3">
      <c r="A905" t="s">
        <v>595</v>
      </c>
      <c r="B905" s="3">
        <v>45607</v>
      </c>
      <c r="C905" t="s">
        <v>1795</v>
      </c>
      <c r="D905" t="s">
        <v>2408</v>
      </c>
      <c r="E905">
        <v>1</v>
      </c>
      <c r="F905">
        <v>627.34</v>
      </c>
      <c r="G905" t="s">
        <v>2425</v>
      </c>
      <c r="H905" t="s">
        <v>3066</v>
      </c>
      <c r="I905" t="s">
        <v>3073</v>
      </c>
      <c r="J905" t="s">
        <v>3656</v>
      </c>
      <c r="K905">
        <v>1</v>
      </c>
      <c r="L905" t="s">
        <v>4283</v>
      </c>
      <c r="M905" t="s">
        <v>4279</v>
      </c>
      <c r="N905">
        <v>627.34</v>
      </c>
      <c r="O905" t="s">
        <v>4290</v>
      </c>
      <c r="P905" t="s">
        <v>2425</v>
      </c>
      <c r="Q905" t="s">
        <v>3066</v>
      </c>
      <c r="R905" t="s">
        <v>4279</v>
      </c>
      <c r="S905">
        <v>627.34</v>
      </c>
    </row>
    <row r="906" spans="1:19" x14ac:dyDescent="0.3">
      <c r="A906" t="s">
        <v>975</v>
      </c>
      <c r="B906" s="3">
        <v>45607</v>
      </c>
      <c r="C906" t="s">
        <v>2168</v>
      </c>
      <c r="D906" t="s">
        <v>2404</v>
      </c>
      <c r="E906">
        <v>1</v>
      </c>
      <c r="F906">
        <v>601.36</v>
      </c>
      <c r="G906" t="s">
        <v>2685</v>
      </c>
      <c r="H906" t="s">
        <v>3066</v>
      </c>
      <c r="I906" t="s">
        <v>3070</v>
      </c>
      <c r="J906" t="s">
        <v>4036</v>
      </c>
      <c r="K906">
        <v>1</v>
      </c>
      <c r="L906" t="s">
        <v>4283</v>
      </c>
      <c r="M906" t="s">
        <v>4281</v>
      </c>
      <c r="N906">
        <v>601.36</v>
      </c>
      <c r="O906" t="s">
        <v>4290</v>
      </c>
      <c r="P906" t="s">
        <v>2685</v>
      </c>
      <c r="Q906" t="s">
        <v>3066</v>
      </c>
      <c r="R906" t="s">
        <v>4281</v>
      </c>
      <c r="S906">
        <v>601.36</v>
      </c>
    </row>
    <row r="907" spans="1:19" x14ac:dyDescent="0.3">
      <c r="A907" t="s">
        <v>665</v>
      </c>
      <c r="B907" s="3">
        <v>45608</v>
      </c>
      <c r="C907" t="s">
        <v>1864</v>
      </c>
      <c r="D907" t="s">
        <v>2406</v>
      </c>
      <c r="E907">
        <v>3</v>
      </c>
      <c r="F907">
        <v>646.34</v>
      </c>
      <c r="G907" t="s">
        <v>2584</v>
      </c>
      <c r="H907" t="s">
        <v>3065</v>
      </c>
      <c r="I907" t="s">
        <v>3074</v>
      </c>
      <c r="J907" t="s">
        <v>3726</v>
      </c>
      <c r="K907">
        <v>5</v>
      </c>
      <c r="L907" t="s">
        <v>4283</v>
      </c>
      <c r="M907" t="s">
        <v>4282</v>
      </c>
      <c r="N907">
        <v>1939.02</v>
      </c>
      <c r="O907" t="s">
        <v>4290</v>
      </c>
      <c r="P907" t="s">
        <v>2584</v>
      </c>
      <c r="Q907" t="s">
        <v>3065</v>
      </c>
      <c r="R907" t="s">
        <v>4282</v>
      </c>
      <c r="S907">
        <v>387.8</v>
      </c>
    </row>
    <row r="908" spans="1:19" x14ac:dyDescent="0.3">
      <c r="A908" t="s">
        <v>80</v>
      </c>
      <c r="B908" s="3">
        <v>45611</v>
      </c>
      <c r="C908" t="s">
        <v>1280</v>
      </c>
      <c r="D908" t="s">
        <v>2406</v>
      </c>
      <c r="E908">
        <v>5</v>
      </c>
      <c r="F908">
        <v>127.18</v>
      </c>
      <c r="G908" t="s">
        <v>2472</v>
      </c>
      <c r="H908" t="s">
        <v>3069</v>
      </c>
      <c r="I908" t="s">
        <v>3071</v>
      </c>
      <c r="J908" t="s">
        <v>3141</v>
      </c>
      <c r="K908">
        <v>9</v>
      </c>
      <c r="L908" t="s">
        <v>4275</v>
      </c>
      <c r="M908" t="s">
        <v>4279</v>
      </c>
      <c r="N908">
        <v>635.90000000000009</v>
      </c>
      <c r="O908" t="s">
        <v>4290</v>
      </c>
      <c r="P908" t="s">
        <v>2472</v>
      </c>
      <c r="Q908" t="s">
        <v>3069</v>
      </c>
      <c r="R908" t="s">
        <v>4279</v>
      </c>
      <c r="S908">
        <v>70.66</v>
      </c>
    </row>
    <row r="909" spans="1:19" x14ac:dyDescent="0.3">
      <c r="A909" t="s">
        <v>736</v>
      </c>
      <c r="B909" s="3">
        <v>45611</v>
      </c>
      <c r="C909" t="s">
        <v>1933</v>
      </c>
      <c r="D909" t="s">
        <v>2407</v>
      </c>
      <c r="E909">
        <v>1</v>
      </c>
      <c r="F909">
        <v>95.1</v>
      </c>
      <c r="G909" t="s">
        <v>2654</v>
      </c>
      <c r="H909" t="s">
        <v>3068</v>
      </c>
      <c r="I909" t="s">
        <v>3074</v>
      </c>
      <c r="J909" t="s">
        <v>3797</v>
      </c>
      <c r="K909">
        <v>1</v>
      </c>
      <c r="L909" t="s">
        <v>4277</v>
      </c>
      <c r="M909" t="s">
        <v>4278</v>
      </c>
      <c r="N909">
        <v>95.1</v>
      </c>
      <c r="O909" t="s">
        <v>4290</v>
      </c>
      <c r="P909" t="s">
        <v>2654</v>
      </c>
      <c r="Q909" t="s">
        <v>3068</v>
      </c>
      <c r="R909" t="s">
        <v>4278</v>
      </c>
      <c r="S909">
        <v>95.1</v>
      </c>
    </row>
    <row r="910" spans="1:19" x14ac:dyDescent="0.3">
      <c r="A910" t="s">
        <v>35</v>
      </c>
      <c r="B910" s="3">
        <v>45613</v>
      </c>
      <c r="C910" t="s">
        <v>1235</v>
      </c>
      <c r="D910" t="s">
        <v>2403</v>
      </c>
      <c r="E910">
        <v>4</v>
      </c>
      <c r="F910">
        <v>342.95</v>
      </c>
      <c r="G910" t="s">
        <v>2431</v>
      </c>
      <c r="H910" t="s">
        <v>3069</v>
      </c>
      <c r="I910" t="s">
        <v>3073</v>
      </c>
      <c r="J910" t="s">
        <v>3096</v>
      </c>
      <c r="K910">
        <v>6</v>
      </c>
      <c r="L910" t="s">
        <v>4283</v>
      </c>
      <c r="M910" t="s">
        <v>4282</v>
      </c>
      <c r="N910">
        <v>1371.8</v>
      </c>
      <c r="O910" t="s">
        <v>4290</v>
      </c>
      <c r="P910" t="s">
        <v>2431</v>
      </c>
      <c r="Q910" t="s">
        <v>3069</v>
      </c>
      <c r="R910" t="s">
        <v>4282</v>
      </c>
      <c r="S910">
        <v>228.63</v>
      </c>
    </row>
    <row r="911" spans="1:19" x14ac:dyDescent="0.3">
      <c r="A911" t="s">
        <v>292</v>
      </c>
      <c r="B911" s="3">
        <v>45614</v>
      </c>
      <c r="C911" t="s">
        <v>1492</v>
      </c>
      <c r="D911" t="s">
        <v>2408</v>
      </c>
      <c r="E911">
        <v>5</v>
      </c>
      <c r="F911">
        <v>362.46</v>
      </c>
      <c r="G911" t="s">
        <v>2648</v>
      </c>
      <c r="H911" t="s">
        <v>3069</v>
      </c>
      <c r="I911" t="s">
        <v>3073</v>
      </c>
      <c r="J911" t="s">
        <v>3353</v>
      </c>
      <c r="K911">
        <v>6</v>
      </c>
      <c r="L911" t="s">
        <v>4276</v>
      </c>
      <c r="M911" t="s">
        <v>4278</v>
      </c>
      <c r="N911">
        <v>1812.3</v>
      </c>
      <c r="O911" t="s">
        <v>4290</v>
      </c>
      <c r="P911" t="s">
        <v>2648</v>
      </c>
      <c r="Q911" t="s">
        <v>3069</v>
      </c>
      <c r="R911" t="s">
        <v>4278</v>
      </c>
      <c r="S911">
        <v>302.05</v>
      </c>
    </row>
    <row r="912" spans="1:19" x14ac:dyDescent="0.3">
      <c r="A912" t="s">
        <v>605</v>
      </c>
      <c r="B912" s="3">
        <v>45614</v>
      </c>
      <c r="C912" t="s">
        <v>1805</v>
      </c>
      <c r="D912" t="s">
        <v>2408</v>
      </c>
      <c r="E912">
        <v>1</v>
      </c>
      <c r="F912">
        <v>605.28</v>
      </c>
      <c r="G912" t="s">
        <v>2832</v>
      </c>
      <c r="H912" t="s">
        <v>3068</v>
      </c>
      <c r="I912" t="s">
        <v>3070</v>
      </c>
      <c r="J912" t="s">
        <v>3666</v>
      </c>
      <c r="K912">
        <v>3</v>
      </c>
      <c r="L912" t="s">
        <v>4276</v>
      </c>
      <c r="M912" t="s">
        <v>4279</v>
      </c>
      <c r="N912">
        <v>605.28</v>
      </c>
      <c r="O912" t="s">
        <v>4290</v>
      </c>
      <c r="P912" t="s">
        <v>2832</v>
      </c>
      <c r="Q912" t="s">
        <v>3068</v>
      </c>
      <c r="R912" t="s">
        <v>4279</v>
      </c>
      <c r="S912">
        <v>201.76</v>
      </c>
    </row>
    <row r="913" spans="1:19" x14ac:dyDescent="0.3">
      <c r="A913" t="s">
        <v>861</v>
      </c>
      <c r="B913" s="3">
        <v>45614</v>
      </c>
      <c r="C913" t="s">
        <v>2057</v>
      </c>
      <c r="D913" t="s">
        <v>2407</v>
      </c>
      <c r="E913">
        <v>4</v>
      </c>
      <c r="F913">
        <v>434.23</v>
      </c>
      <c r="G913" t="s">
        <v>2657</v>
      </c>
      <c r="H913" t="s">
        <v>3066</v>
      </c>
      <c r="I913" t="s">
        <v>3070</v>
      </c>
      <c r="J913" t="s">
        <v>3922</v>
      </c>
      <c r="K913">
        <v>8</v>
      </c>
      <c r="L913" t="s">
        <v>4276</v>
      </c>
      <c r="M913" t="s">
        <v>4280</v>
      </c>
      <c r="N913">
        <v>1736.92</v>
      </c>
      <c r="O913" t="s">
        <v>4290</v>
      </c>
      <c r="P913" t="s">
        <v>2657</v>
      </c>
      <c r="Q913" t="s">
        <v>3066</v>
      </c>
      <c r="R913" t="s">
        <v>4280</v>
      </c>
      <c r="S913">
        <v>217.12</v>
      </c>
    </row>
    <row r="914" spans="1:19" x14ac:dyDescent="0.3">
      <c r="A914" t="s">
        <v>809</v>
      </c>
      <c r="B914" s="3">
        <v>45616</v>
      </c>
      <c r="C914" t="s">
        <v>2006</v>
      </c>
      <c r="D914" t="s">
        <v>2408</v>
      </c>
      <c r="E914">
        <v>4</v>
      </c>
      <c r="F914">
        <v>115.77</v>
      </c>
      <c r="G914" t="s">
        <v>2928</v>
      </c>
      <c r="H914" t="s">
        <v>3066</v>
      </c>
      <c r="I914" t="s">
        <v>3074</v>
      </c>
      <c r="J914" t="s">
        <v>3870</v>
      </c>
      <c r="K914">
        <v>7</v>
      </c>
      <c r="L914" t="s">
        <v>4275</v>
      </c>
      <c r="M914" t="s">
        <v>4278</v>
      </c>
      <c r="N914">
        <v>463.08</v>
      </c>
      <c r="O914" t="s">
        <v>4290</v>
      </c>
      <c r="P914" t="s">
        <v>2928</v>
      </c>
      <c r="Q914" t="s">
        <v>3066</v>
      </c>
      <c r="R914" t="s">
        <v>4278</v>
      </c>
      <c r="S914">
        <v>66.150000000000006</v>
      </c>
    </row>
    <row r="915" spans="1:19" x14ac:dyDescent="0.3">
      <c r="A915" t="s">
        <v>585</v>
      </c>
      <c r="B915" s="3">
        <v>45619</v>
      </c>
      <c r="C915" t="s">
        <v>1785</v>
      </c>
      <c r="D915" t="s">
        <v>2405</v>
      </c>
      <c r="E915">
        <v>1</v>
      </c>
      <c r="F915">
        <v>214.08</v>
      </c>
      <c r="G915" t="s">
        <v>2779</v>
      </c>
      <c r="H915" t="s">
        <v>3068</v>
      </c>
      <c r="I915" t="s">
        <v>3072</v>
      </c>
      <c r="J915" t="s">
        <v>3646</v>
      </c>
      <c r="K915">
        <v>2</v>
      </c>
      <c r="L915" t="s">
        <v>4277</v>
      </c>
      <c r="M915" t="s">
        <v>4282</v>
      </c>
      <c r="N915">
        <v>214.08</v>
      </c>
      <c r="O915" t="s">
        <v>4290</v>
      </c>
      <c r="P915" t="s">
        <v>2779</v>
      </c>
      <c r="Q915" t="s">
        <v>3068</v>
      </c>
      <c r="R915" t="s">
        <v>4282</v>
      </c>
      <c r="S915">
        <v>107.04</v>
      </c>
    </row>
    <row r="916" spans="1:19" x14ac:dyDescent="0.3">
      <c r="A916" t="s">
        <v>709</v>
      </c>
      <c r="B916" s="3">
        <v>45619</v>
      </c>
      <c r="C916" t="s">
        <v>1907</v>
      </c>
      <c r="D916" t="s">
        <v>2407</v>
      </c>
      <c r="E916">
        <v>5</v>
      </c>
      <c r="F916">
        <v>101.3</v>
      </c>
      <c r="G916" t="s">
        <v>2568</v>
      </c>
      <c r="H916" t="s">
        <v>3066</v>
      </c>
      <c r="I916" t="s">
        <v>3070</v>
      </c>
      <c r="J916" t="s">
        <v>3770</v>
      </c>
      <c r="K916">
        <v>7</v>
      </c>
      <c r="L916" t="s">
        <v>4276</v>
      </c>
      <c r="M916" t="s">
        <v>4280</v>
      </c>
      <c r="N916">
        <v>506.5</v>
      </c>
      <c r="O916" t="s">
        <v>4290</v>
      </c>
      <c r="P916" t="s">
        <v>2568</v>
      </c>
      <c r="Q916" t="s">
        <v>3066</v>
      </c>
      <c r="R916" t="s">
        <v>4280</v>
      </c>
      <c r="S916">
        <v>72.36</v>
      </c>
    </row>
    <row r="917" spans="1:19" x14ac:dyDescent="0.3">
      <c r="A917" t="s">
        <v>193</v>
      </c>
      <c r="B917" s="3">
        <v>45620</v>
      </c>
      <c r="C917" t="s">
        <v>1393</v>
      </c>
      <c r="D917" t="s">
        <v>2408</v>
      </c>
      <c r="E917">
        <v>3</v>
      </c>
      <c r="F917">
        <v>539.91</v>
      </c>
      <c r="G917" t="s">
        <v>2571</v>
      </c>
      <c r="H917" t="s">
        <v>3067</v>
      </c>
      <c r="I917" t="s">
        <v>3073</v>
      </c>
      <c r="J917" t="s">
        <v>3254</v>
      </c>
      <c r="K917">
        <v>8</v>
      </c>
      <c r="L917" t="s">
        <v>4283</v>
      </c>
      <c r="M917" t="s">
        <v>4280</v>
      </c>
      <c r="N917">
        <v>1619.73</v>
      </c>
      <c r="O917" t="s">
        <v>4290</v>
      </c>
      <c r="P917" t="s">
        <v>2571</v>
      </c>
      <c r="Q917" t="s">
        <v>3067</v>
      </c>
      <c r="R917" t="s">
        <v>4280</v>
      </c>
      <c r="S917">
        <v>202.47</v>
      </c>
    </row>
    <row r="918" spans="1:19" x14ac:dyDescent="0.3">
      <c r="A918" t="s">
        <v>398</v>
      </c>
      <c r="B918" s="3">
        <v>45620</v>
      </c>
      <c r="C918" t="s">
        <v>1598</v>
      </c>
      <c r="D918" t="s">
        <v>2406</v>
      </c>
      <c r="E918">
        <v>3</v>
      </c>
      <c r="F918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>
        <v>4</v>
      </c>
      <c r="L918" t="s">
        <v>4276</v>
      </c>
      <c r="M918" t="s">
        <v>4281</v>
      </c>
      <c r="N918">
        <v>1660.71</v>
      </c>
      <c r="O918" t="s">
        <v>4290</v>
      </c>
      <c r="P918" t="s">
        <v>2725</v>
      </c>
      <c r="Q918" t="s">
        <v>3067</v>
      </c>
      <c r="R918" t="s">
        <v>4281</v>
      </c>
      <c r="S918">
        <v>415.18</v>
      </c>
    </row>
    <row r="919" spans="1:19" x14ac:dyDescent="0.3">
      <c r="A919" t="s">
        <v>692</v>
      </c>
      <c r="B919" s="3">
        <v>45620</v>
      </c>
      <c r="C919" t="s">
        <v>1890</v>
      </c>
      <c r="D919" t="s">
        <v>2406</v>
      </c>
      <c r="E919">
        <v>3</v>
      </c>
      <c r="F919">
        <v>163.13</v>
      </c>
      <c r="G919" t="s">
        <v>2600</v>
      </c>
      <c r="H919" t="s">
        <v>3068</v>
      </c>
      <c r="I919" t="s">
        <v>3070</v>
      </c>
      <c r="J919" t="s">
        <v>3753</v>
      </c>
      <c r="K919">
        <v>5</v>
      </c>
      <c r="L919" t="s">
        <v>4277</v>
      </c>
      <c r="M919" t="s">
        <v>4281</v>
      </c>
      <c r="N919">
        <v>489.39</v>
      </c>
      <c r="O919" t="s">
        <v>4290</v>
      </c>
      <c r="P919" t="s">
        <v>2600</v>
      </c>
      <c r="Q919" t="s">
        <v>3068</v>
      </c>
      <c r="R919" t="s">
        <v>4281</v>
      </c>
      <c r="S919">
        <v>97.88</v>
      </c>
    </row>
    <row r="920" spans="1:19" x14ac:dyDescent="0.3">
      <c r="A920" t="s">
        <v>705</v>
      </c>
      <c r="B920" s="3">
        <v>45620</v>
      </c>
      <c r="C920" t="s">
        <v>1903</v>
      </c>
      <c r="D920" t="s">
        <v>2408</v>
      </c>
      <c r="E920">
        <v>3</v>
      </c>
      <c r="F920">
        <v>239.08</v>
      </c>
      <c r="G920" t="s">
        <v>2877</v>
      </c>
      <c r="H920" t="s">
        <v>3069</v>
      </c>
      <c r="I920" t="s">
        <v>3070</v>
      </c>
      <c r="J920" t="s">
        <v>3766</v>
      </c>
      <c r="K920">
        <v>8</v>
      </c>
      <c r="L920" t="s">
        <v>4283</v>
      </c>
      <c r="M920" t="s">
        <v>4282</v>
      </c>
      <c r="N920">
        <v>717.24</v>
      </c>
      <c r="O920" t="s">
        <v>4290</v>
      </c>
      <c r="P920" t="s">
        <v>2877</v>
      </c>
      <c r="Q920" t="s">
        <v>3069</v>
      </c>
      <c r="R920" t="s">
        <v>4282</v>
      </c>
      <c r="S920">
        <v>89.66</v>
      </c>
    </row>
    <row r="921" spans="1:19" x14ac:dyDescent="0.3">
      <c r="A921" t="s">
        <v>997</v>
      </c>
      <c r="B921" s="3">
        <v>45620</v>
      </c>
      <c r="C921" t="s">
        <v>2190</v>
      </c>
      <c r="D921" t="s">
        <v>2403</v>
      </c>
      <c r="E921">
        <v>4</v>
      </c>
      <c r="F921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>
        <v>5</v>
      </c>
      <c r="L921" t="s">
        <v>4275</v>
      </c>
      <c r="M921" t="s">
        <v>4280</v>
      </c>
      <c r="N921">
        <v>1185.1199999999999</v>
      </c>
      <c r="O921" t="s">
        <v>4290</v>
      </c>
      <c r="P921" t="s">
        <v>2997</v>
      </c>
      <c r="Q921" t="s">
        <v>3068</v>
      </c>
      <c r="R921" t="s">
        <v>4280</v>
      </c>
      <c r="S921">
        <v>237.02</v>
      </c>
    </row>
    <row r="922" spans="1:19" x14ac:dyDescent="0.3">
      <c r="A922" t="s">
        <v>1133</v>
      </c>
      <c r="B922" s="3">
        <v>45620</v>
      </c>
      <c r="C922" t="s">
        <v>2324</v>
      </c>
      <c r="D922" t="s">
        <v>2408</v>
      </c>
      <c r="E922">
        <v>1</v>
      </c>
      <c r="F922">
        <v>684.65</v>
      </c>
      <c r="G922" t="s">
        <v>2634</v>
      </c>
      <c r="H922" t="s">
        <v>3067</v>
      </c>
      <c r="I922" t="s">
        <v>3073</v>
      </c>
      <c r="J922" t="s">
        <v>4194</v>
      </c>
      <c r="K922">
        <v>1</v>
      </c>
      <c r="L922" t="s">
        <v>4276</v>
      </c>
      <c r="M922" t="s">
        <v>4280</v>
      </c>
      <c r="N922">
        <v>684.65</v>
      </c>
      <c r="O922" t="s">
        <v>4290</v>
      </c>
      <c r="P922" t="s">
        <v>2634</v>
      </c>
      <c r="Q922" t="s">
        <v>3067</v>
      </c>
      <c r="R922" t="s">
        <v>4280</v>
      </c>
      <c r="S922">
        <v>684.65</v>
      </c>
    </row>
    <row r="923" spans="1:19" x14ac:dyDescent="0.3">
      <c r="A923" t="s">
        <v>611</v>
      </c>
      <c r="B923" s="3">
        <v>45621</v>
      </c>
      <c r="C923" t="s">
        <v>1811</v>
      </c>
      <c r="D923" t="s">
        <v>2409</v>
      </c>
      <c r="E923">
        <v>2</v>
      </c>
      <c r="F923">
        <v>211.82</v>
      </c>
      <c r="G923" t="s">
        <v>2835</v>
      </c>
      <c r="H923" t="s">
        <v>3068</v>
      </c>
      <c r="I923" t="s">
        <v>3071</v>
      </c>
      <c r="J923" t="s">
        <v>3672</v>
      </c>
      <c r="K923">
        <v>4</v>
      </c>
      <c r="L923" t="s">
        <v>4277</v>
      </c>
      <c r="M923" t="s">
        <v>4280</v>
      </c>
      <c r="N923">
        <v>423.64</v>
      </c>
      <c r="O923" t="s">
        <v>4290</v>
      </c>
      <c r="P923" t="s">
        <v>2835</v>
      </c>
      <c r="Q923" t="s">
        <v>3068</v>
      </c>
      <c r="R923" t="s">
        <v>4280</v>
      </c>
      <c r="S923">
        <v>105.91</v>
      </c>
    </row>
    <row r="924" spans="1:19" x14ac:dyDescent="0.3">
      <c r="A924" t="s">
        <v>151</v>
      </c>
      <c r="B924" s="3">
        <v>45622</v>
      </c>
      <c r="C924" t="s">
        <v>1351</v>
      </c>
      <c r="D924" t="s">
        <v>2403</v>
      </c>
      <c r="E924">
        <v>2</v>
      </c>
      <c r="F924">
        <v>250.98</v>
      </c>
      <c r="G924" t="s">
        <v>2538</v>
      </c>
      <c r="H924" t="s">
        <v>3067</v>
      </c>
      <c r="I924" t="s">
        <v>3073</v>
      </c>
      <c r="J924" t="s">
        <v>3212</v>
      </c>
      <c r="K924">
        <v>5</v>
      </c>
      <c r="L924" t="s">
        <v>4283</v>
      </c>
      <c r="M924" t="s">
        <v>4282</v>
      </c>
      <c r="N924">
        <v>501.96</v>
      </c>
      <c r="O924" t="s">
        <v>4290</v>
      </c>
      <c r="P924" t="s">
        <v>2538</v>
      </c>
      <c r="Q924" t="s">
        <v>3067</v>
      </c>
      <c r="R924" t="s">
        <v>4282</v>
      </c>
      <c r="S924">
        <v>100.39</v>
      </c>
    </row>
    <row r="925" spans="1:19" x14ac:dyDescent="0.3">
      <c r="A925" t="s">
        <v>248</v>
      </c>
      <c r="B925" s="3">
        <v>45622</v>
      </c>
      <c r="C925" t="s">
        <v>1448</v>
      </c>
      <c r="D925" t="s">
        <v>2407</v>
      </c>
      <c r="E925">
        <v>4</v>
      </c>
      <c r="F925">
        <v>236.41</v>
      </c>
      <c r="G925" t="s">
        <v>2611</v>
      </c>
      <c r="H925" t="s">
        <v>3065</v>
      </c>
      <c r="I925" t="s">
        <v>3074</v>
      </c>
      <c r="J925" t="s">
        <v>3309</v>
      </c>
      <c r="K925">
        <v>7</v>
      </c>
      <c r="L925" t="s">
        <v>4275</v>
      </c>
      <c r="M925" t="s">
        <v>4282</v>
      </c>
      <c r="N925">
        <v>945.64</v>
      </c>
      <c r="O925" t="s">
        <v>4290</v>
      </c>
      <c r="P925" t="s">
        <v>2611</v>
      </c>
      <c r="Q925" t="s">
        <v>3065</v>
      </c>
      <c r="R925" t="s">
        <v>4282</v>
      </c>
      <c r="S925">
        <v>135.09</v>
      </c>
    </row>
    <row r="926" spans="1:19" x14ac:dyDescent="0.3">
      <c r="A926" t="s">
        <v>442</v>
      </c>
      <c r="B926" s="3">
        <v>45622</v>
      </c>
      <c r="C926" t="s">
        <v>1642</v>
      </c>
      <c r="D926" t="s">
        <v>2406</v>
      </c>
      <c r="E926">
        <v>4</v>
      </c>
      <c r="F926">
        <v>262.58</v>
      </c>
      <c r="G926" t="s">
        <v>2440</v>
      </c>
      <c r="H926" t="s">
        <v>3066</v>
      </c>
      <c r="I926" t="s">
        <v>3071</v>
      </c>
      <c r="J926" t="s">
        <v>3503</v>
      </c>
      <c r="K926">
        <v>8</v>
      </c>
      <c r="L926" t="s">
        <v>4277</v>
      </c>
      <c r="M926" t="s">
        <v>4280</v>
      </c>
      <c r="N926">
        <v>1050.32</v>
      </c>
      <c r="O926" t="s">
        <v>4290</v>
      </c>
      <c r="P926" t="s">
        <v>2440</v>
      </c>
      <c r="Q926" t="s">
        <v>3066</v>
      </c>
      <c r="R926" t="s">
        <v>4280</v>
      </c>
      <c r="S926">
        <v>131.29</v>
      </c>
    </row>
    <row r="927" spans="1:19" x14ac:dyDescent="0.3">
      <c r="A927" t="s">
        <v>468</v>
      </c>
      <c r="B927" s="3">
        <v>45623</v>
      </c>
      <c r="C927" t="s">
        <v>1668</v>
      </c>
      <c r="D927" t="s">
        <v>2408</v>
      </c>
      <c r="E927">
        <v>1</v>
      </c>
      <c r="F927">
        <v>109.29</v>
      </c>
      <c r="G927" t="s">
        <v>2765</v>
      </c>
      <c r="H927" t="s">
        <v>3065</v>
      </c>
      <c r="I927" t="s">
        <v>3071</v>
      </c>
      <c r="J927" t="s">
        <v>3529</v>
      </c>
      <c r="K927">
        <v>5</v>
      </c>
      <c r="L927" t="s">
        <v>4276</v>
      </c>
      <c r="M927" t="s">
        <v>4282</v>
      </c>
      <c r="N927">
        <v>109.29</v>
      </c>
      <c r="O927" t="s">
        <v>4290</v>
      </c>
      <c r="P927" t="s">
        <v>2765</v>
      </c>
      <c r="Q927" t="s">
        <v>3065</v>
      </c>
      <c r="R927" t="s">
        <v>4282</v>
      </c>
      <c r="S927">
        <v>21.86</v>
      </c>
    </row>
    <row r="928" spans="1:19" x14ac:dyDescent="0.3">
      <c r="A928" t="s">
        <v>434</v>
      </c>
      <c r="B928" s="3">
        <v>45625</v>
      </c>
      <c r="C928" t="s">
        <v>1634</v>
      </c>
      <c r="D928" t="s">
        <v>2404</v>
      </c>
      <c r="E928">
        <v>1</v>
      </c>
      <c r="F928">
        <v>452.7</v>
      </c>
      <c r="G928" t="s">
        <v>2744</v>
      </c>
      <c r="H928" t="s">
        <v>3065</v>
      </c>
      <c r="I928" t="s">
        <v>3070</v>
      </c>
      <c r="J928" t="s">
        <v>3495</v>
      </c>
      <c r="K928">
        <v>5</v>
      </c>
      <c r="L928" t="s">
        <v>4276</v>
      </c>
      <c r="M928" t="s">
        <v>4278</v>
      </c>
      <c r="N928">
        <v>452.7</v>
      </c>
      <c r="O928" t="s">
        <v>4290</v>
      </c>
      <c r="P928" t="s">
        <v>2744</v>
      </c>
      <c r="Q928" t="s">
        <v>3065</v>
      </c>
      <c r="R928" t="s">
        <v>4278</v>
      </c>
      <c r="S928">
        <v>90.54</v>
      </c>
    </row>
    <row r="929" spans="1:19" x14ac:dyDescent="0.3">
      <c r="A929" t="s">
        <v>756</v>
      </c>
      <c r="B929" s="3">
        <v>45626</v>
      </c>
      <c r="C929" t="s">
        <v>1953</v>
      </c>
      <c r="D929" t="s">
        <v>2408</v>
      </c>
      <c r="E929">
        <v>3</v>
      </c>
      <c r="F929">
        <v>699.93</v>
      </c>
      <c r="G929" t="s">
        <v>2664</v>
      </c>
      <c r="H929" t="s">
        <v>3069</v>
      </c>
      <c r="I929" t="s">
        <v>3072</v>
      </c>
      <c r="J929" t="s">
        <v>3817</v>
      </c>
      <c r="K929">
        <v>7</v>
      </c>
      <c r="L929" t="s">
        <v>4275</v>
      </c>
      <c r="M929" t="s">
        <v>4282</v>
      </c>
      <c r="N929">
        <v>2099.79</v>
      </c>
      <c r="O929" t="s">
        <v>4290</v>
      </c>
      <c r="P929" t="s">
        <v>2664</v>
      </c>
      <c r="Q929" t="s">
        <v>3069</v>
      </c>
      <c r="R929" t="s">
        <v>4282</v>
      </c>
      <c r="S929">
        <v>299.97000000000003</v>
      </c>
    </row>
    <row r="930" spans="1:19" x14ac:dyDescent="0.3">
      <c r="A930" t="s">
        <v>1146</v>
      </c>
      <c r="B930" s="3">
        <v>45628</v>
      </c>
      <c r="C930" t="s">
        <v>2336</v>
      </c>
      <c r="D930" t="s">
        <v>2406</v>
      </c>
      <c r="E930">
        <v>2</v>
      </c>
      <c r="F930">
        <v>337.32</v>
      </c>
      <c r="G930" t="s">
        <v>2608</v>
      </c>
      <c r="H930" t="s">
        <v>3067</v>
      </c>
      <c r="I930" t="s">
        <v>3071</v>
      </c>
      <c r="J930" t="s">
        <v>4207</v>
      </c>
      <c r="K930">
        <v>4</v>
      </c>
      <c r="L930" t="s">
        <v>4275</v>
      </c>
      <c r="M930" t="s">
        <v>4280</v>
      </c>
      <c r="N930">
        <v>674.64</v>
      </c>
      <c r="O930" t="s">
        <v>4290</v>
      </c>
      <c r="P930" t="s">
        <v>2608</v>
      </c>
      <c r="Q930" t="s">
        <v>3067</v>
      </c>
      <c r="R930" t="s">
        <v>4280</v>
      </c>
      <c r="S930">
        <v>168.66</v>
      </c>
    </row>
    <row r="931" spans="1:19" x14ac:dyDescent="0.3">
      <c r="A931" t="s">
        <v>1025</v>
      </c>
      <c r="B931" s="3">
        <v>45629</v>
      </c>
      <c r="C931" t="s">
        <v>2217</v>
      </c>
      <c r="D931" t="s">
        <v>2404</v>
      </c>
      <c r="E931">
        <v>2</v>
      </c>
      <c r="F931">
        <v>478.36</v>
      </c>
      <c r="G931" t="s">
        <v>2646</v>
      </c>
      <c r="H931" t="s">
        <v>3066</v>
      </c>
      <c r="I931" t="s">
        <v>3070</v>
      </c>
      <c r="J931" t="s">
        <v>4086</v>
      </c>
      <c r="K931">
        <v>3</v>
      </c>
      <c r="L931" t="s">
        <v>4283</v>
      </c>
      <c r="M931" t="s">
        <v>4282</v>
      </c>
      <c r="N931">
        <v>956.72</v>
      </c>
      <c r="O931" t="s">
        <v>4290</v>
      </c>
      <c r="P931" t="s">
        <v>2646</v>
      </c>
      <c r="Q931" t="s">
        <v>3066</v>
      </c>
      <c r="R931" t="s">
        <v>4282</v>
      </c>
      <c r="S931">
        <v>318.91000000000003</v>
      </c>
    </row>
    <row r="932" spans="1:19" x14ac:dyDescent="0.3">
      <c r="A932" t="s">
        <v>1026</v>
      </c>
      <c r="B932" s="3">
        <v>45629</v>
      </c>
      <c r="C932" t="s">
        <v>2218</v>
      </c>
      <c r="D932" t="s">
        <v>2407</v>
      </c>
      <c r="E932">
        <v>4</v>
      </c>
      <c r="F932">
        <v>30.05</v>
      </c>
      <c r="G932" t="s">
        <v>2676</v>
      </c>
      <c r="H932" t="s">
        <v>3066</v>
      </c>
      <c r="I932" t="s">
        <v>3072</v>
      </c>
      <c r="J932" t="s">
        <v>4087</v>
      </c>
      <c r="K932">
        <v>6</v>
      </c>
      <c r="L932" t="s">
        <v>4283</v>
      </c>
      <c r="M932" t="s">
        <v>4281</v>
      </c>
      <c r="N932">
        <v>120.2</v>
      </c>
      <c r="O932" t="s">
        <v>4290</v>
      </c>
      <c r="P932" t="s">
        <v>2676</v>
      </c>
      <c r="Q932" t="s">
        <v>3066</v>
      </c>
      <c r="R932" t="s">
        <v>4281</v>
      </c>
      <c r="S932">
        <v>20.03</v>
      </c>
    </row>
    <row r="933" spans="1:19" x14ac:dyDescent="0.3">
      <c r="A933" t="s">
        <v>858</v>
      </c>
      <c r="B933" s="3">
        <v>45630</v>
      </c>
      <c r="C933" t="s">
        <v>2054</v>
      </c>
      <c r="D933" t="s">
        <v>2406</v>
      </c>
      <c r="E933">
        <v>1</v>
      </c>
      <c r="F933">
        <v>320.92</v>
      </c>
      <c r="G933" t="s">
        <v>2952</v>
      </c>
      <c r="H933" t="s">
        <v>3066</v>
      </c>
      <c r="I933" t="s">
        <v>3072</v>
      </c>
      <c r="J933" t="s">
        <v>3919</v>
      </c>
      <c r="K933">
        <v>5</v>
      </c>
      <c r="L933" t="s">
        <v>4276</v>
      </c>
      <c r="M933" t="s">
        <v>4281</v>
      </c>
      <c r="N933">
        <v>320.92</v>
      </c>
      <c r="O933" t="s">
        <v>4290</v>
      </c>
      <c r="P933" t="s">
        <v>2952</v>
      </c>
      <c r="Q933" t="s">
        <v>3066</v>
      </c>
      <c r="R933" t="s">
        <v>4281</v>
      </c>
      <c r="S933">
        <v>64.180000000000007</v>
      </c>
    </row>
    <row r="934" spans="1:19" x14ac:dyDescent="0.3">
      <c r="A934" t="s">
        <v>224</v>
      </c>
      <c r="B934" s="3">
        <v>45631</v>
      </c>
      <c r="C934" t="s">
        <v>1424</v>
      </c>
      <c r="D934" t="s">
        <v>2406</v>
      </c>
      <c r="E934">
        <v>3</v>
      </c>
      <c r="F934">
        <v>358.48</v>
      </c>
      <c r="G934" t="s">
        <v>2532</v>
      </c>
      <c r="H934" t="s">
        <v>3068</v>
      </c>
      <c r="I934" t="s">
        <v>3073</v>
      </c>
      <c r="J934" t="s">
        <v>3285</v>
      </c>
      <c r="K934">
        <v>7</v>
      </c>
      <c r="L934" t="s">
        <v>4276</v>
      </c>
      <c r="M934" t="s">
        <v>4281</v>
      </c>
      <c r="N934">
        <v>1075.44</v>
      </c>
      <c r="O934" t="s">
        <v>4290</v>
      </c>
      <c r="P934" t="s">
        <v>2532</v>
      </c>
      <c r="Q934" t="s">
        <v>3068</v>
      </c>
      <c r="R934" t="s">
        <v>4281</v>
      </c>
      <c r="S934">
        <v>153.63</v>
      </c>
    </row>
    <row r="935" spans="1:19" x14ac:dyDescent="0.3">
      <c r="A935" t="s">
        <v>502</v>
      </c>
      <c r="B935" s="3">
        <v>45631</v>
      </c>
      <c r="C935" t="s">
        <v>1702</v>
      </c>
      <c r="D935" t="s">
        <v>2406</v>
      </c>
      <c r="E935">
        <v>1</v>
      </c>
      <c r="F935">
        <v>36.65</v>
      </c>
      <c r="G935" t="s">
        <v>2785</v>
      </c>
      <c r="H935" t="s">
        <v>3066</v>
      </c>
      <c r="I935" t="s">
        <v>3071</v>
      </c>
      <c r="J935" t="s">
        <v>3563</v>
      </c>
      <c r="K935">
        <v>1</v>
      </c>
      <c r="L935" t="s">
        <v>4277</v>
      </c>
      <c r="M935" t="s">
        <v>4280</v>
      </c>
      <c r="N935">
        <v>36.65</v>
      </c>
      <c r="O935" t="s">
        <v>4290</v>
      </c>
      <c r="P935" t="s">
        <v>2785</v>
      </c>
      <c r="Q935" t="s">
        <v>3066</v>
      </c>
      <c r="R935" t="s">
        <v>4280</v>
      </c>
      <c r="S935">
        <v>36.65</v>
      </c>
    </row>
    <row r="936" spans="1:19" x14ac:dyDescent="0.3">
      <c r="A936" t="s">
        <v>360</v>
      </c>
      <c r="B936" s="3">
        <v>45632</v>
      </c>
      <c r="C936" t="s">
        <v>1560</v>
      </c>
      <c r="D936" t="s">
        <v>2405</v>
      </c>
      <c r="E936">
        <v>1</v>
      </c>
      <c r="F936">
        <v>655.09</v>
      </c>
      <c r="G936" t="s">
        <v>2699</v>
      </c>
      <c r="H936" t="s">
        <v>3069</v>
      </c>
      <c r="I936" t="s">
        <v>3074</v>
      </c>
      <c r="J936" t="s">
        <v>3421</v>
      </c>
      <c r="K936">
        <v>6</v>
      </c>
      <c r="L936" t="s">
        <v>4283</v>
      </c>
      <c r="M936" t="s">
        <v>4279</v>
      </c>
      <c r="N936">
        <v>655.09</v>
      </c>
      <c r="O936" t="s">
        <v>4290</v>
      </c>
      <c r="P936" t="s">
        <v>2699</v>
      </c>
      <c r="Q936" t="s">
        <v>3069</v>
      </c>
      <c r="R936" t="s">
        <v>4279</v>
      </c>
      <c r="S936">
        <v>109.18</v>
      </c>
    </row>
    <row r="937" spans="1:19" x14ac:dyDescent="0.3">
      <c r="A937" t="s">
        <v>49</v>
      </c>
      <c r="B937" s="3">
        <v>45633</v>
      </c>
      <c r="C937" t="s">
        <v>1249</v>
      </c>
      <c r="D937" t="s">
        <v>2403</v>
      </c>
      <c r="E937">
        <v>2</v>
      </c>
      <c r="F937">
        <v>465.15</v>
      </c>
      <c r="G937" t="s">
        <v>2445</v>
      </c>
      <c r="H937" t="s">
        <v>3066</v>
      </c>
      <c r="I937" t="s">
        <v>3070</v>
      </c>
      <c r="J937" t="s">
        <v>3110</v>
      </c>
      <c r="K937">
        <v>2</v>
      </c>
      <c r="L937" t="s">
        <v>4275</v>
      </c>
      <c r="M937" t="s">
        <v>4281</v>
      </c>
      <c r="N937">
        <v>930.3</v>
      </c>
      <c r="O937" t="s">
        <v>4290</v>
      </c>
      <c r="P937" t="s">
        <v>2445</v>
      </c>
      <c r="Q937" t="s">
        <v>3066</v>
      </c>
      <c r="R937" t="s">
        <v>4281</v>
      </c>
      <c r="S937">
        <v>465.15</v>
      </c>
    </row>
    <row r="938" spans="1:19" x14ac:dyDescent="0.3">
      <c r="A938" t="s">
        <v>317</v>
      </c>
      <c r="B938" s="3">
        <v>45633</v>
      </c>
      <c r="C938" t="s">
        <v>1517</v>
      </c>
      <c r="D938" t="s">
        <v>2405</v>
      </c>
      <c r="E938">
        <v>1</v>
      </c>
      <c r="F938">
        <v>30.54</v>
      </c>
      <c r="G938" t="s">
        <v>2666</v>
      </c>
      <c r="H938" t="s">
        <v>3065</v>
      </c>
      <c r="I938" t="s">
        <v>3072</v>
      </c>
      <c r="J938" t="s">
        <v>3378</v>
      </c>
      <c r="K938">
        <v>1</v>
      </c>
      <c r="L938" t="s">
        <v>4283</v>
      </c>
      <c r="M938" t="s">
        <v>4282</v>
      </c>
      <c r="N938">
        <v>30.54</v>
      </c>
      <c r="O938" t="s">
        <v>4290</v>
      </c>
      <c r="P938" t="s">
        <v>2666</v>
      </c>
      <c r="Q938" t="s">
        <v>3065</v>
      </c>
      <c r="R938" t="s">
        <v>4282</v>
      </c>
      <c r="S938">
        <v>30.54</v>
      </c>
    </row>
    <row r="939" spans="1:19" x14ac:dyDescent="0.3">
      <c r="A939" t="s">
        <v>723</v>
      </c>
      <c r="B939" s="3">
        <v>45633</v>
      </c>
      <c r="C939" t="s">
        <v>1921</v>
      </c>
      <c r="D939" t="s">
        <v>2409</v>
      </c>
      <c r="E939">
        <v>1</v>
      </c>
      <c r="F939">
        <v>386.03</v>
      </c>
      <c r="G939" t="s">
        <v>2884</v>
      </c>
      <c r="H939" t="s">
        <v>3066</v>
      </c>
      <c r="I939" t="s">
        <v>3074</v>
      </c>
      <c r="J939" t="s">
        <v>3784</v>
      </c>
      <c r="K939">
        <v>4</v>
      </c>
      <c r="L939" t="s">
        <v>4276</v>
      </c>
      <c r="M939" t="s">
        <v>4282</v>
      </c>
      <c r="N939">
        <v>386.03</v>
      </c>
      <c r="O939" t="s">
        <v>4290</v>
      </c>
      <c r="P939" t="s">
        <v>2884</v>
      </c>
      <c r="Q939" t="s">
        <v>3066</v>
      </c>
      <c r="R939" t="s">
        <v>4282</v>
      </c>
      <c r="S939">
        <v>96.51</v>
      </c>
    </row>
    <row r="940" spans="1:19" x14ac:dyDescent="0.3">
      <c r="A940" t="s">
        <v>81</v>
      </c>
      <c r="B940" s="3">
        <v>45635</v>
      </c>
      <c r="C940" t="s">
        <v>1281</v>
      </c>
      <c r="D940" t="s">
        <v>2407</v>
      </c>
      <c r="E940">
        <v>4</v>
      </c>
      <c r="F940">
        <v>12.1</v>
      </c>
      <c r="G940" t="s">
        <v>2473</v>
      </c>
      <c r="H940" t="s">
        <v>3065</v>
      </c>
      <c r="I940" t="s">
        <v>3071</v>
      </c>
      <c r="J940" t="s">
        <v>3142</v>
      </c>
      <c r="K940">
        <v>8</v>
      </c>
      <c r="L940" t="s">
        <v>4283</v>
      </c>
      <c r="M940" t="s">
        <v>4282</v>
      </c>
      <c r="N940">
        <v>48.4</v>
      </c>
      <c r="O940" t="s">
        <v>4290</v>
      </c>
      <c r="P940" t="s">
        <v>2473</v>
      </c>
      <c r="Q940" t="s">
        <v>3065</v>
      </c>
      <c r="R940" t="s">
        <v>4282</v>
      </c>
      <c r="S940">
        <v>6.05</v>
      </c>
    </row>
    <row r="941" spans="1:19" x14ac:dyDescent="0.3">
      <c r="A941" t="s">
        <v>1056</v>
      </c>
      <c r="B941" s="3">
        <v>45635</v>
      </c>
      <c r="C941" t="s">
        <v>2248</v>
      </c>
      <c r="D941" t="s">
        <v>2405</v>
      </c>
      <c r="E941">
        <v>2</v>
      </c>
      <c r="F941">
        <v>409.75</v>
      </c>
      <c r="G941" t="s">
        <v>2681</v>
      </c>
      <c r="H941" t="s">
        <v>3065</v>
      </c>
      <c r="I941" t="s">
        <v>3070</v>
      </c>
      <c r="J941" t="s">
        <v>4117</v>
      </c>
      <c r="K941">
        <v>2</v>
      </c>
      <c r="L941" t="s">
        <v>4277</v>
      </c>
      <c r="M941" t="s">
        <v>4281</v>
      </c>
      <c r="N941">
        <v>819.5</v>
      </c>
      <c r="O941" t="s">
        <v>4290</v>
      </c>
      <c r="P941" t="s">
        <v>2681</v>
      </c>
      <c r="Q941" t="s">
        <v>3065</v>
      </c>
      <c r="R941" t="s">
        <v>4281</v>
      </c>
      <c r="S941">
        <v>409.75</v>
      </c>
    </row>
    <row r="942" spans="1:19" x14ac:dyDescent="0.3">
      <c r="A942" t="s">
        <v>602</v>
      </c>
      <c r="B942" s="3">
        <v>45636</v>
      </c>
      <c r="C942" t="s">
        <v>1802</v>
      </c>
      <c r="D942" t="s">
        <v>2403</v>
      </c>
      <c r="E942">
        <v>4</v>
      </c>
      <c r="F942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>
        <v>9</v>
      </c>
      <c r="L942" t="s">
        <v>4283</v>
      </c>
      <c r="M942" t="s">
        <v>4282</v>
      </c>
      <c r="N942">
        <v>2311.2800000000002</v>
      </c>
      <c r="O942" t="s">
        <v>4290</v>
      </c>
      <c r="P942" t="s">
        <v>2465</v>
      </c>
      <c r="Q942" t="s">
        <v>3067</v>
      </c>
      <c r="R942" t="s">
        <v>4282</v>
      </c>
      <c r="S942">
        <v>256.81</v>
      </c>
    </row>
    <row r="943" spans="1:19" x14ac:dyDescent="0.3">
      <c r="A943" t="s">
        <v>253</v>
      </c>
      <c r="B943" s="3">
        <v>45637</v>
      </c>
      <c r="C943" t="s">
        <v>1453</v>
      </c>
      <c r="D943" t="s">
        <v>2405</v>
      </c>
      <c r="E943">
        <v>3</v>
      </c>
      <c r="F943">
        <v>538.74</v>
      </c>
      <c r="G943" t="s">
        <v>2616</v>
      </c>
      <c r="H943" t="s">
        <v>3066</v>
      </c>
      <c r="I943" t="s">
        <v>3070</v>
      </c>
      <c r="J943" t="s">
        <v>3314</v>
      </c>
      <c r="K943">
        <v>6</v>
      </c>
      <c r="L943" t="s">
        <v>4276</v>
      </c>
      <c r="M943" t="s">
        <v>4280</v>
      </c>
      <c r="N943">
        <v>1616.22</v>
      </c>
      <c r="O943" t="s">
        <v>4290</v>
      </c>
      <c r="P943" t="s">
        <v>2616</v>
      </c>
      <c r="Q943" t="s">
        <v>3066</v>
      </c>
      <c r="R943" t="s">
        <v>4280</v>
      </c>
      <c r="S943">
        <v>269.37</v>
      </c>
    </row>
    <row r="944" spans="1:19" x14ac:dyDescent="0.3">
      <c r="A944" t="s">
        <v>828</v>
      </c>
      <c r="B944" s="3">
        <v>45637</v>
      </c>
      <c r="C944" t="s">
        <v>2024</v>
      </c>
      <c r="D944" t="s">
        <v>2406</v>
      </c>
      <c r="E944">
        <v>4</v>
      </c>
      <c r="F944">
        <v>147.51</v>
      </c>
      <c r="G944" t="s">
        <v>2938</v>
      </c>
      <c r="H944" t="s">
        <v>3065</v>
      </c>
      <c r="I944" t="s">
        <v>3074</v>
      </c>
      <c r="J944" t="s">
        <v>3889</v>
      </c>
      <c r="K944">
        <v>4</v>
      </c>
      <c r="L944" t="s">
        <v>4277</v>
      </c>
      <c r="M944" t="s">
        <v>4278</v>
      </c>
      <c r="N944">
        <v>590.04</v>
      </c>
      <c r="O944" t="s">
        <v>4290</v>
      </c>
      <c r="P944" t="s">
        <v>2938</v>
      </c>
      <c r="Q944" t="s">
        <v>3065</v>
      </c>
      <c r="R944" t="s">
        <v>4278</v>
      </c>
      <c r="S944">
        <v>147.51</v>
      </c>
    </row>
    <row r="945" spans="1:19" x14ac:dyDescent="0.3">
      <c r="A945" t="s">
        <v>844</v>
      </c>
      <c r="B945" s="3">
        <v>45637</v>
      </c>
      <c r="C945" t="s">
        <v>2040</v>
      </c>
      <c r="D945" t="s">
        <v>2405</v>
      </c>
      <c r="E945">
        <v>4</v>
      </c>
      <c r="F945">
        <v>190.64</v>
      </c>
      <c r="G945" t="s">
        <v>2947</v>
      </c>
      <c r="H945" t="s">
        <v>3069</v>
      </c>
      <c r="I945" t="s">
        <v>3073</v>
      </c>
      <c r="J945" t="s">
        <v>3905</v>
      </c>
      <c r="K945">
        <v>5</v>
      </c>
      <c r="L945" t="s">
        <v>4275</v>
      </c>
      <c r="M945" t="s">
        <v>4280</v>
      </c>
      <c r="N945">
        <v>762.56</v>
      </c>
      <c r="O945" t="s">
        <v>4290</v>
      </c>
      <c r="P945" t="s">
        <v>2947</v>
      </c>
      <c r="Q945" t="s">
        <v>3069</v>
      </c>
      <c r="R945" t="s">
        <v>4280</v>
      </c>
      <c r="S945">
        <v>152.51</v>
      </c>
    </row>
    <row r="946" spans="1:19" x14ac:dyDescent="0.3">
      <c r="A946" t="s">
        <v>252</v>
      </c>
      <c r="B946" s="3">
        <v>45639</v>
      </c>
      <c r="C946" t="s">
        <v>1452</v>
      </c>
      <c r="D946" t="s">
        <v>2409</v>
      </c>
      <c r="E946">
        <v>4</v>
      </c>
      <c r="F946">
        <v>384.32</v>
      </c>
      <c r="G946" t="s">
        <v>2615</v>
      </c>
      <c r="H946" t="s">
        <v>3067</v>
      </c>
      <c r="I946" t="s">
        <v>3074</v>
      </c>
      <c r="J946" t="s">
        <v>3313</v>
      </c>
      <c r="K946">
        <v>6</v>
      </c>
      <c r="L946" t="s">
        <v>4277</v>
      </c>
      <c r="M946" t="s">
        <v>4282</v>
      </c>
      <c r="N946">
        <v>1537.28</v>
      </c>
      <c r="O946" t="s">
        <v>4290</v>
      </c>
      <c r="P946" t="s">
        <v>2615</v>
      </c>
      <c r="Q946" t="s">
        <v>3067</v>
      </c>
      <c r="R946" t="s">
        <v>4282</v>
      </c>
      <c r="S946">
        <v>256.20999999999998</v>
      </c>
    </row>
    <row r="947" spans="1:19" x14ac:dyDescent="0.3">
      <c r="A947" t="s">
        <v>835</v>
      </c>
      <c r="B947" s="3">
        <v>45640</v>
      </c>
      <c r="C947" t="s">
        <v>2031</v>
      </c>
      <c r="D947" t="s">
        <v>2408</v>
      </c>
      <c r="E947">
        <v>4</v>
      </c>
      <c r="F947">
        <v>174.49</v>
      </c>
      <c r="G947" t="s">
        <v>2698</v>
      </c>
      <c r="H947" t="s">
        <v>3067</v>
      </c>
      <c r="I947" t="s">
        <v>3073</v>
      </c>
      <c r="J947" t="s">
        <v>3896</v>
      </c>
      <c r="K947">
        <v>5</v>
      </c>
      <c r="L947" t="s">
        <v>4275</v>
      </c>
      <c r="M947" t="s">
        <v>4281</v>
      </c>
      <c r="N947">
        <v>697.96</v>
      </c>
      <c r="O947" t="s">
        <v>4290</v>
      </c>
      <c r="P947" t="s">
        <v>2698</v>
      </c>
      <c r="Q947" t="s">
        <v>3067</v>
      </c>
      <c r="R947" t="s">
        <v>4281</v>
      </c>
      <c r="S947">
        <v>139.59</v>
      </c>
    </row>
    <row r="948" spans="1:19" x14ac:dyDescent="0.3">
      <c r="A948" t="s">
        <v>162</v>
      </c>
      <c r="B948" s="3">
        <v>45641</v>
      </c>
      <c r="C948" t="s">
        <v>1362</v>
      </c>
      <c r="D948" t="s">
        <v>2404</v>
      </c>
      <c r="E948">
        <v>2</v>
      </c>
      <c r="F948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>
        <v>3</v>
      </c>
      <c r="L948" t="s">
        <v>4277</v>
      </c>
      <c r="M948" t="s">
        <v>4282</v>
      </c>
      <c r="N948">
        <v>639.82000000000005</v>
      </c>
      <c r="O948" t="s">
        <v>4290</v>
      </c>
      <c r="P948" t="s">
        <v>2547</v>
      </c>
      <c r="Q948" t="s">
        <v>3067</v>
      </c>
      <c r="R948" t="s">
        <v>4282</v>
      </c>
      <c r="S948">
        <v>213.27</v>
      </c>
    </row>
    <row r="949" spans="1:19" x14ac:dyDescent="0.3">
      <c r="A949" t="s">
        <v>524</v>
      </c>
      <c r="B949" s="3">
        <v>45642</v>
      </c>
      <c r="C949" t="s">
        <v>1724</v>
      </c>
      <c r="D949" t="s">
        <v>2407</v>
      </c>
      <c r="E949">
        <v>1</v>
      </c>
      <c r="F949">
        <v>376.76</v>
      </c>
      <c r="G949" t="s">
        <v>2799</v>
      </c>
      <c r="H949" t="s">
        <v>3065</v>
      </c>
      <c r="I949" t="s">
        <v>3073</v>
      </c>
      <c r="J949" t="s">
        <v>3585</v>
      </c>
      <c r="K949">
        <v>5</v>
      </c>
      <c r="L949" t="s">
        <v>4275</v>
      </c>
      <c r="M949" t="s">
        <v>4280</v>
      </c>
      <c r="N949">
        <v>376.76</v>
      </c>
      <c r="O949" t="s">
        <v>4290</v>
      </c>
      <c r="P949" t="s">
        <v>2799</v>
      </c>
      <c r="Q949" t="s">
        <v>3065</v>
      </c>
      <c r="R949" t="s">
        <v>4280</v>
      </c>
      <c r="S949">
        <v>75.349999999999994</v>
      </c>
    </row>
    <row r="950" spans="1:19" x14ac:dyDescent="0.3">
      <c r="A950" t="s">
        <v>944</v>
      </c>
      <c r="B950" s="3">
        <v>45642</v>
      </c>
      <c r="C950" t="s">
        <v>2140</v>
      </c>
      <c r="D950" t="s">
        <v>2404</v>
      </c>
      <c r="E950">
        <v>2</v>
      </c>
      <c r="F950">
        <v>456.04</v>
      </c>
      <c r="G950" t="s">
        <v>2427</v>
      </c>
      <c r="H950" t="s">
        <v>3065</v>
      </c>
      <c r="I950" t="s">
        <v>3072</v>
      </c>
      <c r="J950" t="s">
        <v>4005</v>
      </c>
      <c r="K950">
        <v>4</v>
      </c>
      <c r="L950" t="s">
        <v>4276</v>
      </c>
      <c r="M950" t="s">
        <v>4280</v>
      </c>
      <c r="N950">
        <v>912.08</v>
      </c>
      <c r="O950" t="s">
        <v>4290</v>
      </c>
      <c r="P950" t="s">
        <v>2427</v>
      </c>
      <c r="Q950" t="s">
        <v>3065</v>
      </c>
      <c r="R950" t="s">
        <v>4280</v>
      </c>
      <c r="S950">
        <v>228.02</v>
      </c>
    </row>
    <row r="951" spans="1:19" x14ac:dyDescent="0.3">
      <c r="A951" t="s">
        <v>958</v>
      </c>
      <c r="B951" s="3">
        <v>45642</v>
      </c>
      <c r="C951" t="s">
        <v>2153</v>
      </c>
      <c r="D951" t="s">
        <v>2408</v>
      </c>
      <c r="E951">
        <v>2</v>
      </c>
      <c r="F951">
        <v>426.22</v>
      </c>
      <c r="G951" t="s">
        <v>2964</v>
      </c>
      <c r="H951" t="s">
        <v>3066</v>
      </c>
      <c r="I951" t="s">
        <v>3073</v>
      </c>
      <c r="J951" t="s">
        <v>4019</v>
      </c>
      <c r="K951">
        <v>7</v>
      </c>
      <c r="L951" t="s">
        <v>4277</v>
      </c>
      <c r="M951" t="s">
        <v>4282</v>
      </c>
      <c r="N951">
        <v>852.44</v>
      </c>
      <c r="O951" t="s">
        <v>4290</v>
      </c>
      <c r="P951" t="s">
        <v>2964</v>
      </c>
      <c r="Q951" t="s">
        <v>3066</v>
      </c>
      <c r="R951" t="s">
        <v>4282</v>
      </c>
      <c r="S951">
        <v>121.78</v>
      </c>
    </row>
    <row r="952" spans="1:19" x14ac:dyDescent="0.3">
      <c r="A952" t="s">
        <v>1167</v>
      </c>
      <c r="B952" s="3">
        <v>45642</v>
      </c>
      <c r="C952" t="s">
        <v>2356</v>
      </c>
      <c r="D952" t="s">
        <v>2403</v>
      </c>
      <c r="E952">
        <v>4</v>
      </c>
      <c r="F952">
        <v>696.71</v>
      </c>
      <c r="G952" t="s">
        <v>3048</v>
      </c>
      <c r="H952" t="s">
        <v>3065</v>
      </c>
      <c r="I952" t="s">
        <v>3070</v>
      </c>
      <c r="J952" t="s">
        <v>4228</v>
      </c>
      <c r="K952">
        <v>4</v>
      </c>
      <c r="L952" t="s">
        <v>4283</v>
      </c>
      <c r="M952" t="s">
        <v>4278</v>
      </c>
      <c r="N952">
        <v>2786.84</v>
      </c>
      <c r="O952" t="s">
        <v>4290</v>
      </c>
      <c r="P952" t="s">
        <v>3048</v>
      </c>
      <c r="Q952" t="s">
        <v>3065</v>
      </c>
      <c r="R952" t="s">
        <v>4278</v>
      </c>
      <c r="S952">
        <v>696.71</v>
      </c>
    </row>
    <row r="953" spans="1:19" x14ac:dyDescent="0.3">
      <c r="A953" t="s">
        <v>167</v>
      </c>
      <c r="B953" s="3">
        <v>45644</v>
      </c>
      <c r="C953" t="s">
        <v>1367</v>
      </c>
      <c r="D953" t="s">
        <v>2406</v>
      </c>
      <c r="E953">
        <v>4</v>
      </c>
      <c r="F953">
        <v>534.48</v>
      </c>
      <c r="G953" t="s">
        <v>2552</v>
      </c>
      <c r="H953" t="s">
        <v>3066</v>
      </c>
      <c r="I953" t="s">
        <v>3072</v>
      </c>
      <c r="J953" t="s">
        <v>3228</v>
      </c>
      <c r="K953">
        <v>9</v>
      </c>
      <c r="L953" t="s">
        <v>4277</v>
      </c>
      <c r="M953" t="s">
        <v>4278</v>
      </c>
      <c r="N953">
        <v>2137.92</v>
      </c>
      <c r="O953" t="s">
        <v>4290</v>
      </c>
      <c r="P953" t="s">
        <v>2552</v>
      </c>
      <c r="Q953" t="s">
        <v>3066</v>
      </c>
      <c r="R953" t="s">
        <v>4278</v>
      </c>
      <c r="S953">
        <v>237.55</v>
      </c>
    </row>
    <row r="954" spans="1:19" x14ac:dyDescent="0.3">
      <c r="A954" t="s">
        <v>441</v>
      </c>
      <c r="B954" s="3">
        <v>45644</v>
      </c>
      <c r="C954" t="s">
        <v>1641</v>
      </c>
      <c r="D954" t="s">
        <v>2409</v>
      </c>
      <c r="E954">
        <v>1</v>
      </c>
      <c r="F954">
        <v>161.24</v>
      </c>
      <c r="G954" t="s">
        <v>2748</v>
      </c>
      <c r="H954" t="s">
        <v>3067</v>
      </c>
      <c r="I954" t="s">
        <v>3074</v>
      </c>
      <c r="J954" t="s">
        <v>3502</v>
      </c>
      <c r="K954">
        <v>3</v>
      </c>
      <c r="L954" t="s">
        <v>4277</v>
      </c>
      <c r="M954" t="s">
        <v>4278</v>
      </c>
      <c r="N954">
        <v>161.24</v>
      </c>
      <c r="O954" t="s">
        <v>4290</v>
      </c>
      <c r="P954" t="s">
        <v>2748</v>
      </c>
      <c r="Q954" t="s">
        <v>3067</v>
      </c>
      <c r="R954" t="s">
        <v>4278</v>
      </c>
      <c r="S954">
        <v>53.75</v>
      </c>
    </row>
    <row r="955" spans="1:19" x14ac:dyDescent="0.3">
      <c r="A955" t="s">
        <v>52</v>
      </c>
      <c r="B955" s="3">
        <v>45645</v>
      </c>
      <c r="C955" t="s">
        <v>1252</v>
      </c>
      <c r="D955" t="s">
        <v>2408</v>
      </c>
      <c r="E955">
        <v>1</v>
      </c>
      <c r="F955">
        <v>245.89</v>
      </c>
      <c r="G955" t="s">
        <v>2448</v>
      </c>
      <c r="H955" t="s">
        <v>3065</v>
      </c>
      <c r="I955" t="s">
        <v>3073</v>
      </c>
      <c r="J955" t="s">
        <v>3113</v>
      </c>
      <c r="K955">
        <v>3</v>
      </c>
      <c r="L955" t="s">
        <v>4275</v>
      </c>
      <c r="M955" t="s">
        <v>4282</v>
      </c>
      <c r="N955">
        <v>245.89</v>
      </c>
      <c r="O955" t="s">
        <v>4290</v>
      </c>
      <c r="P955" t="s">
        <v>2448</v>
      </c>
      <c r="Q955" t="s">
        <v>3065</v>
      </c>
      <c r="R955" t="s">
        <v>4282</v>
      </c>
      <c r="S955">
        <v>81.96</v>
      </c>
    </row>
    <row r="956" spans="1:19" x14ac:dyDescent="0.3">
      <c r="A956" t="s">
        <v>334</v>
      </c>
      <c r="B956" s="3">
        <v>45645</v>
      </c>
      <c r="C956" t="s">
        <v>1534</v>
      </c>
      <c r="D956" t="s">
        <v>2407</v>
      </c>
      <c r="E956">
        <v>1</v>
      </c>
      <c r="F956">
        <v>625.51</v>
      </c>
      <c r="G956" t="s">
        <v>2680</v>
      </c>
      <c r="H956" t="s">
        <v>3067</v>
      </c>
      <c r="I956" t="s">
        <v>3070</v>
      </c>
      <c r="J956" t="s">
        <v>3395</v>
      </c>
      <c r="K956">
        <v>1</v>
      </c>
      <c r="L956" t="s">
        <v>4276</v>
      </c>
      <c r="M956" t="s">
        <v>4281</v>
      </c>
      <c r="N956">
        <v>625.51</v>
      </c>
      <c r="O956" t="s">
        <v>4290</v>
      </c>
      <c r="P956" t="s">
        <v>2680</v>
      </c>
      <c r="Q956" t="s">
        <v>3067</v>
      </c>
      <c r="R956" t="s">
        <v>4281</v>
      </c>
      <c r="S956">
        <v>625.51</v>
      </c>
    </row>
    <row r="957" spans="1:19" x14ac:dyDescent="0.3">
      <c r="A957" t="s">
        <v>443</v>
      </c>
      <c r="B957" s="3">
        <v>45645</v>
      </c>
      <c r="C957" t="s">
        <v>1643</v>
      </c>
      <c r="D957" t="s">
        <v>2407</v>
      </c>
      <c r="E957">
        <v>4</v>
      </c>
      <c r="F95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>
        <v>9</v>
      </c>
      <c r="L957" t="s">
        <v>4275</v>
      </c>
      <c r="M957" t="s">
        <v>4281</v>
      </c>
      <c r="N957">
        <v>2060.7600000000002</v>
      </c>
      <c r="O957" t="s">
        <v>4290</v>
      </c>
      <c r="P957" t="s">
        <v>2511</v>
      </c>
      <c r="Q957" t="s">
        <v>3067</v>
      </c>
      <c r="R957" t="s">
        <v>4281</v>
      </c>
      <c r="S957">
        <v>228.97</v>
      </c>
    </row>
    <row r="958" spans="1:19" x14ac:dyDescent="0.3">
      <c r="A958" t="s">
        <v>627</v>
      </c>
      <c r="B958" s="3">
        <v>45645</v>
      </c>
      <c r="C958" t="s">
        <v>1826</v>
      </c>
      <c r="D958" t="s">
        <v>2408</v>
      </c>
      <c r="E958">
        <v>2</v>
      </c>
      <c r="F958">
        <v>230.36</v>
      </c>
      <c r="G958" t="s">
        <v>2842</v>
      </c>
      <c r="H958" t="s">
        <v>3066</v>
      </c>
      <c r="I958" t="s">
        <v>3072</v>
      </c>
      <c r="J958" t="s">
        <v>3688</v>
      </c>
      <c r="K958">
        <v>4</v>
      </c>
      <c r="L958" t="s">
        <v>4277</v>
      </c>
      <c r="M958" t="s">
        <v>4280</v>
      </c>
      <c r="N958">
        <v>460.72</v>
      </c>
      <c r="O958" t="s">
        <v>4290</v>
      </c>
      <c r="P958" t="s">
        <v>2842</v>
      </c>
      <c r="Q958" t="s">
        <v>3066</v>
      </c>
      <c r="R958" t="s">
        <v>4280</v>
      </c>
      <c r="S958">
        <v>115.18</v>
      </c>
    </row>
    <row r="959" spans="1:19" x14ac:dyDescent="0.3">
      <c r="A959" t="s">
        <v>678</v>
      </c>
      <c r="B959" s="3">
        <v>45645</v>
      </c>
      <c r="C959" t="s">
        <v>1450</v>
      </c>
      <c r="D959" t="s">
        <v>2408</v>
      </c>
      <c r="E959">
        <v>4</v>
      </c>
      <c r="F959">
        <v>194.75</v>
      </c>
      <c r="G959" t="s">
        <v>2865</v>
      </c>
      <c r="H959" t="s">
        <v>3069</v>
      </c>
      <c r="I959" t="s">
        <v>3070</v>
      </c>
      <c r="J959" t="s">
        <v>3739</v>
      </c>
      <c r="K959">
        <v>5</v>
      </c>
      <c r="L959" t="s">
        <v>4283</v>
      </c>
      <c r="M959" t="s">
        <v>4281</v>
      </c>
      <c r="N959">
        <v>779</v>
      </c>
      <c r="O959" t="s">
        <v>4290</v>
      </c>
      <c r="P959" t="s">
        <v>2865</v>
      </c>
      <c r="Q959" t="s">
        <v>3069</v>
      </c>
      <c r="R959" t="s">
        <v>4281</v>
      </c>
      <c r="S959">
        <v>155.80000000000001</v>
      </c>
    </row>
    <row r="960" spans="1:19" x14ac:dyDescent="0.3">
      <c r="A960" t="s">
        <v>901</v>
      </c>
      <c r="B960" s="3">
        <v>45645</v>
      </c>
      <c r="C960" t="s">
        <v>2097</v>
      </c>
      <c r="D960" t="s">
        <v>2406</v>
      </c>
      <c r="E960">
        <v>3</v>
      </c>
      <c r="F960">
        <v>171.66</v>
      </c>
      <c r="G960" t="s">
        <v>2971</v>
      </c>
      <c r="H960" t="s">
        <v>3065</v>
      </c>
      <c r="I960" t="s">
        <v>3073</v>
      </c>
      <c r="J960" t="s">
        <v>3962</v>
      </c>
      <c r="K960">
        <v>7</v>
      </c>
      <c r="L960" t="s">
        <v>4283</v>
      </c>
      <c r="M960" t="s">
        <v>4282</v>
      </c>
      <c r="N960">
        <v>514.98</v>
      </c>
      <c r="O960" t="s">
        <v>4290</v>
      </c>
      <c r="P960" t="s">
        <v>2971</v>
      </c>
      <c r="Q960" t="s">
        <v>3065</v>
      </c>
      <c r="R960" t="s">
        <v>4282</v>
      </c>
      <c r="S960">
        <v>73.569999999999993</v>
      </c>
    </row>
    <row r="961" spans="1:19" x14ac:dyDescent="0.3">
      <c r="A961" t="s">
        <v>939</v>
      </c>
      <c r="B961" s="3">
        <v>45646</v>
      </c>
      <c r="C961" t="s">
        <v>2135</v>
      </c>
      <c r="D961" t="s">
        <v>2403</v>
      </c>
      <c r="E961">
        <v>5</v>
      </c>
      <c r="F961">
        <v>502.47</v>
      </c>
      <c r="G961" t="s">
        <v>2733</v>
      </c>
      <c r="H961" t="s">
        <v>3066</v>
      </c>
      <c r="I961" t="s">
        <v>3070</v>
      </c>
      <c r="J961" t="s">
        <v>4000</v>
      </c>
      <c r="K961">
        <v>10</v>
      </c>
      <c r="L961" t="s">
        <v>4277</v>
      </c>
      <c r="M961" t="s">
        <v>4280</v>
      </c>
      <c r="N961">
        <v>2512.35</v>
      </c>
      <c r="O961" t="s">
        <v>4290</v>
      </c>
      <c r="P961" t="s">
        <v>2733</v>
      </c>
      <c r="Q961" t="s">
        <v>3066</v>
      </c>
      <c r="R961" t="s">
        <v>4280</v>
      </c>
      <c r="S961">
        <v>251.24</v>
      </c>
    </row>
    <row r="962" spans="1:19" x14ac:dyDescent="0.3">
      <c r="A962" t="s">
        <v>86</v>
      </c>
      <c r="B962" s="3">
        <v>45648</v>
      </c>
      <c r="C962" t="s">
        <v>1286</v>
      </c>
      <c r="D962" t="s">
        <v>2405</v>
      </c>
      <c r="E962">
        <v>4</v>
      </c>
      <c r="F962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>
        <v>5</v>
      </c>
      <c r="L962" t="s">
        <v>4283</v>
      </c>
      <c r="M962" t="s">
        <v>4281</v>
      </c>
      <c r="N962">
        <v>2357.7600000000002</v>
      </c>
      <c r="O962" t="s">
        <v>4290</v>
      </c>
      <c r="P962" t="s">
        <v>2425</v>
      </c>
      <c r="Q962" t="s">
        <v>3068</v>
      </c>
      <c r="R962" t="s">
        <v>4281</v>
      </c>
      <c r="S962">
        <v>471.55</v>
      </c>
    </row>
    <row r="963" spans="1:19" x14ac:dyDescent="0.3">
      <c r="A963" t="s">
        <v>383</v>
      </c>
      <c r="B963" s="3">
        <v>45648</v>
      </c>
      <c r="C963" t="s">
        <v>1583</v>
      </c>
      <c r="D963" t="s">
        <v>2403</v>
      </c>
      <c r="E963">
        <v>5</v>
      </c>
      <c r="F963">
        <v>375.25</v>
      </c>
      <c r="G963" t="s">
        <v>2717</v>
      </c>
      <c r="H963" t="s">
        <v>3068</v>
      </c>
      <c r="I963" t="s">
        <v>3074</v>
      </c>
      <c r="J963" t="s">
        <v>3444</v>
      </c>
      <c r="K963">
        <v>9</v>
      </c>
      <c r="L963" t="s">
        <v>4275</v>
      </c>
      <c r="M963" t="s">
        <v>4280</v>
      </c>
      <c r="N963">
        <v>1876.25</v>
      </c>
      <c r="O963" t="s">
        <v>4290</v>
      </c>
      <c r="P963" t="s">
        <v>2717</v>
      </c>
      <c r="Q963" t="s">
        <v>3068</v>
      </c>
      <c r="R963" t="s">
        <v>4280</v>
      </c>
      <c r="S963">
        <v>208.47</v>
      </c>
    </row>
    <row r="964" spans="1:19" x14ac:dyDescent="0.3">
      <c r="A964" t="s">
        <v>1183</v>
      </c>
      <c r="B964" s="3">
        <v>45649</v>
      </c>
      <c r="C964" t="s">
        <v>2372</v>
      </c>
      <c r="D964" t="s">
        <v>2406</v>
      </c>
      <c r="E964">
        <v>1</v>
      </c>
      <c r="F964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>
        <v>2</v>
      </c>
      <c r="L964" t="s">
        <v>4275</v>
      </c>
      <c r="M964" t="s">
        <v>4278</v>
      </c>
      <c r="N964">
        <v>525.42999999999995</v>
      </c>
      <c r="O964" t="s">
        <v>4290</v>
      </c>
      <c r="P964" t="s">
        <v>3053</v>
      </c>
      <c r="Q964" t="s">
        <v>3069</v>
      </c>
      <c r="R964" t="s">
        <v>4278</v>
      </c>
      <c r="S964">
        <v>262.72000000000003</v>
      </c>
    </row>
    <row r="965" spans="1:19" x14ac:dyDescent="0.3">
      <c r="A965" t="s">
        <v>1047</v>
      </c>
      <c r="B965" s="3">
        <v>45650</v>
      </c>
      <c r="C965" t="s">
        <v>2239</v>
      </c>
      <c r="D965" t="s">
        <v>2403</v>
      </c>
      <c r="E965">
        <v>1</v>
      </c>
      <c r="F965">
        <v>370.85</v>
      </c>
      <c r="G965" t="s">
        <v>3007</v>
      </c>
      <c r="H965" t="s">
        <v>3068</v>
      </c>
      <c r="I965" t="s">
        <v>3073</v>
      </c>
      <c r="J965" t="s">
        <v>4108</v>
      </c>
      <c r="K965">
        <v>2</v>
      </c>
      <c r="L965" t="s">
        <v>4276</v>
      </c>
      <c r="M965" t="s">
        <v>4279</v>
      </c>
      <c r="N965">
        <v>370.85</v>
      </c>
      <c r="O965" t="s">
        <v>4290</v>
      </c>
      <c r="P965" t="s">
        <v>3007</v>
      </c>
      <c r="Q965" t="s">
        <v>3068</v>
      </c>
      <c r="R965" t="s">
        <v>4279</v>
      </c>
      <c r="S965">
        <v>185.42</v>
      </c>
    </row>
    <row r="966" spans="1:19" x14ac:dyDescent="0.3">
      <c r="A966" t="s">
        <v>343</v>
      </c>
      <c r="B966" s="3">
        <v>45651</v>
      </c>
      <c r="C966" t="s">
        <v>1543</v>
      </c>
      <c r="D966" t="s">
        <v>2406</v>
      </c>
      <c r="E966">
        <v>4</v>
      </c>
      <c r="F966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>
        <v>6</v>
      </c>
      <c r="L966" t="s">
        <v>4283</v>
      </c>
      <c r="M966" t="s">
        <v>4282</v>
      </c>
      <c r="N966">
        <v>1132.6400000000001</v>
      </c>
      <c r="O966" t="s">
        <v>4290</v>
      </c>
      <c r="P966" t="s">
        <v>2622</v>
      </c>
      <c r="Q966" t="s">
        <v>3067</v>
      </c>
      <c r="R966" t="s">
        <v>4282</v>
      </c>
      <c r="S966">
        <v>188.77</v>
      </c>
    </row>
    <row r="967" spans="1:19" x14ac:dyDescent="0.3">
      <c r="A967" t="s">
        <v>1111</v>
      </c>
      <c r="B967" s="3">
        <v>45652</v>
      </c>
      <c r="C967" t="s">
        <v>2303</v>
      </c>
      <c r="D967" t="s">
        <v>2403</v>
      </c>
      <c r="E967">
        <v>5</v>
      </c>
      <c r="F967">
        <v>506.45</v>
      </c>
      <c r="G967" t="s">
        <v>3030</v>
      </c>
      <c r="H967" t="s">
        <v>3068</v>
      </c>
      <c r="I967" t="s">
        <v>3070</v>
      </c>
      <c r="J967" t="s">
        <v>4172</v>
      </c>
      <c r="K967">
        <v>7</v>
      </c>
      <c r="L967" t="s">
        <v>4277</v>
      </c>
      <c r="M967" t="s">
        <v>4282</v>
      </c>
      <c r="N967">
        <v>2532.25</v>
      </c>
      <c r="O967" t="s">
        <v>4290</v>
      </c>
      <c r="P967" t="s">
        <v>3030</v>
      </c>
      <c r="Q967" t="s">
        <v>3068</v>
      </c>
      <c r="R967" t="s">
        <v>4282</v>
      </c>
      <c r="S967">
        <v>361.75</v>
      </c>
    </row>
    <row r="968" spans="1:19" x14ac:dyDescent="0.3">
      <c r="A968" t="s">
        <v>584</v>
      </c>
      <c r="B968" s="3">
        <v>45653</v>
      </c>
      <c r="C968" t="s">
        <v>1784</v>
      </c>
      <c r="D968" t="s">
        <v>2409</v>
      </c>
      <c r="E968">
        <v>2</v>
      </c>
      <c r="F968">
        <v>362.14</v>
      </c>
      <c r="G968" t="s">
        <v>2518</v>
      </c>
      <c r="H968" t="s">
        <v>3065</v>
      </c>
      <c r="I968" t="s">
        <v>3074</v>
      </c>
      <c r="J968" t="s">
        <v>3645</v>
      </c>
      <c r="K968">
        <v>2</v>
      </c>
      <c r="L968" t="s">
        <v>4275</v>
      </c>
      <c r="M968" t="s">
        <v>4278</v>
      </c>
      <c r="N968">
        <v>724.28</v>
      </c>
      <c r="O968" t="s">
        <v>4290</v>
      </c>
      <c r="P968" t="s">
        <v>2518</v>
      </c>
      <c r="Q968" t="s">
        <v>3065</v>
      </c>
      <c r="R968" t="s">
        <v>4278</v>
      </c>
      <c r="S968">
        <v>362.14</v>
      </c>
    </row>
    <row r="969" spans="1:19" x14ac:dyDescent="0.3">
      <c r="A969" t="s">
        <v>122</v>
      </c>
      <c r="B969" s="3">
        <v>45654</v>
      </c>
      <c r="C969" t="s">
        <v>1322</v>
      </c>
      <c r="D969" t="s">
        <v>2408</v>
      </c>
      <c r="E969">
        <v>5</v>
      </c>
      <c r="F969">
        <v>48.38</v>
      </c>
      <c r="G969" t="s">
        <v>2511</v>
      </c>
      <c r="H969" t="s">
        <v>3068</v>
      </c>
      <c r="I969" t="s">
        <v>3073</v>
      </c>
      <c r="J969" t="s">
        <v>3183</v>
      </c>
      <c r="K969">
        <v>9</v>
      </c>
      <c r="L969" t="s">
        <v>4277</v>
      </c>
      <c r="M969" t="s">
        <v>4280</v>
      </c>
      <c r="N969">
        <v>241.9</v>
      </c>
      <c r="O969" t="s">
        <v>4290</v>
      </c>
      <c r="P969" t="s">
        <v>2511</v>
      </c>
      <c r="Q969" t="s">
        <v>3068</v>
      </c>
      <c r="R969" t="s">
        <v>4280</v>
      </c>
      <c r="S969">
        <v>26.88</v>
      </c>
    </row>
    <row r="970" spans="1:19" x14ac:dyDescent="0.3">
      <c r="A970" t="s">
        <v>65</v>
      </c>
      <c r="B970" s="3">
        <v>45656</v>
      </c>
      <c r="C970" t="s">
        <v>1265</v>
      </c>
      <c r="D970" t="s">
        <v>2405</v>
      </c>
      <c r="E970">
        <v>1</v>
      </c>
      <c r="F970">
        <v>388.33</v>
      </c>
      <c r="G970" t="s">
        <v>2458</v>
      </c>
      <c r="H970" t="s">
        <v>3069</v>
      </c>
      <c r="I970" t="s">
        <v>3072</v>
      </c>
      <c r="J970" t="s">
        <v>3126</v>
      </c>
      <c r="K970">
        <v>2</v>
      </c>
      <c r="L970" t="s">
        <v>4275</v>
      </c>
      <c r="M970" t="s">
        <v>4281</v>
      </c>
      <c r="N970">
        <v>388.33</v>
      </c>
      <c r="O970" t="s">
        <v>4290</v>
      </c>
      <c r="P970" t="s">
        <v>2458</v>
      </c>
      <c r="Q970" t="s">
        <v>3069</v>
      </c>
      <c r="R970" t="s">
        <v>4281</v>
      </c>
      <c r="S970">
        <v>194.16</v>
      </c>
    </row>
    <row r="971" spans="1:19" x14ac:dyDescent="0.3">
      <c r="A971" t="s">
        <v>422</v>
      </c>
      <c r="B971" s="3">
        <v>45658</v>
      </c>
      <c r="C971" t="s">
        <v>1622</v>
      </c>
      <c r="D971" t="s">
        <v>2407</v>
      </c>
      <c r="E971">
        <v>3</v>
      </c>
      <c r="F971">
        <v>412.53</v>
      </c>
      <c r="G971" t="s">
        <v>2735</v>
      </c>
      <c r="H971" t="s">
        <v>3066</v>
      </c>
      <c r="I971" t="s">
        <v>3074</v>
      </c>
      <c r="J971" t="s">
        <v>3483</v>
      </c>
      <c r="K971">
        <v>6</v>
      </c>
      <c r="L971" t="s">
        <v>4277</v>
      </c>
      <c r="M971" t="s">
        <v>4282</v>
      </c>
      <c r="N971">
        <v>1237.5899999999999</v>
      </c>
      <c r="O971" t="s">
        <v>4290</v>
      </c>
      <c r="P971" t="s">
        <v>2735</v>
      </c>
      <c r="Q971" t="s">
        <v>3066</v>
      </c>
      <c r="R971" t="s">
        <v>4282</v>
      </c>
      <c r="S971">
        <v>206.26</v>
      </c>
    </row>
    <row r="972" spans="1:19" x14ac:dyDescent="0.3">
      <c r="A972" t="s">
        <v>166</v>
      </c>
      <c r="B972" s="3">
        <v>45659</v>
      </c>
      <c r="C972" t="s">
        <v>1366</v>
      </c>
      <c r="D972" t="s">
        <v>2406</v>
      </c>
      <c r="E972">
        <v>2</v>
      </c>
      <c r="F972">
        <v>399.04</v>
      </c>
      <c r="G972" t="s">
        <v>2551</v>
      </c>
      <c r="H972" t="s">
        <v>3069</v>
      </c>
      <c r="I972" t="s">
        <v>3071</v>
      </c>
      <c r="J972" t="s">
        <v>3227</v>
      </c>
      <c r="K972">
        <v>3</v>
      </c>
      <c r="L972" t="s">
        <v>4276</v>
      </c>
      <c r="M972" t="s">
        <v>4279</v>
      </c>
      <c r="N972">
        <v>798.08</v>
      </c>
      <c r="O972" t="s">
        <v>4290</v>
      </c>
      <c r="P972" t="s">
        <v>2551</v>
      </c>
      <c r="Q972" t="s">
        <v>3069</v>
      </c>
      <c r="R972" t="s">
        <v>4279</v>
      </c>
      <c r="S972">
        <v>266.02999999999997</v>
      </c>
    </row>
    <row r="973" spans="1:19" x14ac:dyDescent="0.3">
      <c r="A973" t="s">
        <v>1161</v>
      </c>
      <c r="B973" s="3">
        <v>45659</v>
      </c>
      <c r="C973" t="s">
        <v>2350</v>
      </c>
      <c r="D973" t="s">
        <v>2406</v>
      </c>
      <c r="E973">
        <v>2</v>
      </c>
      <c r="F973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>
        <v>2</v>
      </c>
      <c r="L973" t="s">
        <v>4276</v>
      </c>
      <c r="M973" t="s">
        <v>4280</v>
      </c>
      <c r="N973">
        <v>1176.5999999999999</v>
      </c>
      <c r="O973" t="s">
        <v>4290</v>
      </c>
      <c r="P973" t="s">
        <v>3044</v>
      </c>
      <c r="Q973" t="s">
        <v>3066</v>
      </c>
      <c r="R973" t="s">
        <v>4280</v>
      </c>
      <c r="S973">
        <v>588.29999999999995</v>
      </c>
    </row>
    <row r="974" spans="1:19" x14ac:dyDescent="0.3">
      <c r="A974" t="s">
        <v>225</v>
      </c>
      <c r="B974" s="3">
        <v>45660</v>
      </c>
      <c r="C974" t="s">
        <v>1425</v>
      </c>
      <c r="D974" t="s">
        <v>2407</v>
      </c>
      <c r="E974">
        <v>3</v>
      </c>
      <c r="F974">
        <v>193.58</v>
      </c>
      <c r="G974" t="s">
        <v>2594</v>
      </c>
      <c r="H974" t="s">
        <v>3068</v>
      </c>
      <c r="I974" t="s">
        <v>3074</v>
      </c>
      <c r="J974" t="s">
        <v>3286</v>
      </c>
      <c r="K974">
        <v>7</v>
      </c>
      <c r="L974" t="s">
        <v>4276</v>
      </c>
      <c r="M974" t="s">
        <v>4280</v>
      </c>
      <c r="N974">
        <v>580.74</v>
      </c>
      <c r="O974" t="s">
        <v>4290</v>
      </c>
      <c r="P974" t="s">
        <v>2594</v>
      </c>
      <c r="Q974" t="s">
        <v>3068</v>
      </c>
      <c r="R974" t="s">
        <v>4280</v>
      </c>
      <c r="S974">
        <v>82.96</v>
      </c>
    </row>
    <row r="975" spans="1:19" x14ac:dyDescent="0.3">
      <c r="A975" t="s">
        <v>452</v>
      </c>
      <c r="B975" s="3">
        <v>45660</v>
      </c>
      <c r="C975" t="s">
        <v>1652</v>
      </c>
      <c r="D975" t="s">
        <v>2405</v>
      </c>
      <c r="E975">
        <v>3</v>
      </c>
      <c r="F975">
        <v>459.34</v>
      </c>
      <c r="G975" t="s">
        <v>2752</v>
      </c>
      <c r="H975" t="s">
        <v>3068</v>
      </c>
      <c r="I975" t="s">
        <v>3074</v>
      </c>
      <c r="J975" t="s">
        <v>3513</v>
      </c>
      <c r="K975">
        <v>3</v>
      </c>
      <c r="L975" t="s">
        <v>4275</v>
      </c>
      <c r="M975" t="s">
        <v>4278</v>
      </c>
      <c r="N975">
        <v>1378.02</v>
      </c>
      <c r="O975" t="s">
        <v>4290</v>
      </c>
      <c r="P975" t="s">
        <v>2752</v>
      </c>
      <c r="Q975" t="s">
        <v>3068</v>
      </c>
      <c r="R975" t="s">
        <v>4278</v>
      </c>
      <c r="S975">
        <v>459.34</v>
      </c>
    </row>
    <row r="976" spans="1:19" x14ac:dyDescent="0.3">
      <c r="A976" t="s">
        <v>182</v>
      </c>
      <c r="B976" s="3">
        <v>45661</v>
      </c>
      <c r="C976" t="s">
        <v>1382</v>
      </c>
      <c r="D976" t="s">
        <v>2407</v>
      </c>
      <c r="E976">
        <v>1</v>
      </c>
      <c r="F976">
        <v>594.96</v>
      </c>
      <c r="G976" t="s">
        <v>2561</v>
      </c>
      <c r="H976" t="s">
        <v>3069</v>
      </c>
      <c r="I976" t="s">
        <v>3072</v>
      </c>
      <c r="J976" t="s">
        <v>3243</v>
      </c>
      <c r="K976">
        <v>6</v>
      </c>
      <c r="L976" t="s">
        <v>4283</v>
      </c>
      <c r="M976" t="s">
        <v>4281</v>
      </c>
      <c r="N976">
        <v>594.96</v>
      </c>
      <c r="O976" t="s">
        <v>4290</v>
      </c>
      <c r="P976" t="s">
        <v>2561</v>
      </c>
      <c r="Q976" t="s">
        <v>3069</v>
      </c>
      <c r="R976" t="s">
        <v>4281</v>
      </c>
      <c r="S976">
        <v>99.16</v>
      </c>
    </row>
    <row r="977" spans="1:19" x14ac:dyDescent="0.3">
      <c r="A977" t="s">
        <v>609</v>
      </c>
      <c r="B977" s="3">
        <v>45667</v>
      </c>
      <c r="C977" t="s">
        <v>1809</v>
      </c>
      <c r="D977" t="s">
        <v>2407</v>
      </c>
      <c r="E977">
        <v>2</v>
      </c>
      <c r="F977">
        <v>385.16</v>
      </c>
      <c r="G977" t="s">
        <v>2833</v>
      </c>
      <c r="H977" t="s">
        <v>3066</v>
      </c>
      <c r="I977" t="s">
        <v>3074</v>
      </c>
      <c r="J977" t="s">
        <v>3670</v>
      </c>
      <c r="K977">
        <v>7</v>
      </c>
      <c r="L977" t="s">
        <v>4275</v>
      </c>
      <c r="M977" t="s">
        <v>4280</v>
      </c>
      <c r="N977">
        <v>770.32</v>
      </c>
      <c r="O977" t="s">
        <v>4290</v>
      </c>
      <c r="P977" t="s">
        <v>2833</v>
      </c>
      <c r="Q977" t="s">
        <v>3066</v>
      </c>
      <c r="R977" t="s">
        <v>4280</v>
      </c>
      <c r="S977">
        <v>110.05</v>
      </c>
    </row>
    <row r="978" spans="1:19" x14ac:dyDescent="0.3">
      <c r="A978" t="s">
        <v>1057</v>
      </c>
      <c r="B978" s="3">
        <v>45668</v>
      </c>
      <c r="C978" t="s">
        <v>2249</v>
      </c>
      <c r="D978" t="s">
        <v>2405</v>
      </c>
      <c r="E978">
        <v>2</v>
      </c>
      <c r="F978">
        <v>179.96</v>
      </c>
      <c r="G978" t="s">
        <v>2991</v>
      </c>
      <c r="H978" t="s">
        <v>3068</v>
      </c>
      <c r="I978" t="s">
        <v>3070</v>
      </c>
      <c r="J978" t="s">
        <v>4118</v>
      </c>
      <c r="K978">
        <v>5</v>
      </c>
      <c r="L978" t="s">
        <v>4283</v>
      </c>
      <c r="M978" t="s">
        <v>4278</v>
      </c>
      <c r="N978">
        <v>359.92</v>
      </c>
      <c r="O978" t="s">
        <v>4290</v>
      </c>
      <c r="P978" t="s">
        <v>2991</v>
      </c>
      <c r="Q978" t="s">
        <v>3068</v>
      </c>
      <c r="R978" t="s">
        <v>4278</v>
      </c>
      <c r="S978">
        <v>71.98</v>
      </c>
    </row>
    <row r="979" spans="1:19" x14ac:dyDescent="0.3">
      <c r="A979" t="s">
        <v>306</v>
      </c>
      <c r="B979" s="3">
        <v>45672</v>
      </c>
      <c r="C979" t="s">
        <v>1506</v>
      </c>
      <c r="D979" t="s">
        <v>2403</v>
      </c>
      <c r="E979">
        <v>1</v>
      </c>
      <c r="F979">
        <v>65.95</v>
      </c>
      <c r="G979" t="s">
        <v>2594</v>
      </c>
      <c r="H979" t="s">
        <v>3067</v>
      </c>
      <c r="I979" t="s">
        <v>3073</v>
      </c>
      <c r="J979" t="s">
        <v>3367</v>
      </c>
      <c r="K979">
        <v>5</v>
      </c>
      <c r="L979" t="s">
        <v>4283</v>
      </c>
      <c r="M979" t="s">
        <v>4281</v>
      </c>
      <c r="N979">
        <v>65.95</v>
      </c>
      <c r="O979" t="s">
        <v>4290</v>
      </c>
      <c r="P979" t="s">
        <v>2594</v>
      </c>
      <c r="Q979" t="s">
        <v>3067</v>
      </c>
      <c r="R979" t="s">
        <v>4281</v>
      </c>
      <c r="S979">
        <v>13.19</v>
      </c>
    </row>
    <row r="980" spans="1:19" x14ac:dyDescent="0.3">
      <c r="A980" t="s">
        <v>389</v>
      </c>
      <c r="B980" s="3">
        <v>45673</v>
      </c>
      <c r="C980" t="s">
        <v>1589</v>
      </c>
      <c r="D980" t="s">
        <v>2403</v>
      </c>
      <c r="E980">
        <v>4</v>
      </c>
      <c r="F980">
        <v>95.03</v>
      </c>
      <c r="G980" t="s">
        <v>2721</v>
      </c>
      <c r="H980" t="s">
        <v>3066</v>
      </c>
      <c r="I980" t="s">
        <v>3070</v>
      </c>
      <c r="J980" t="s">
        <v>3450</v>
      </c>
      <c r="K980">
        <v>8</v>
      </c>
      <c r="L980" t="s">
        <v>4276</v>
      </c>
      <c r="M980" t="s">
        <v>4281</v>
      </c>
      <c r="N980">
        <v>380.12</v>
      </c>
      <c r="O980" t="s">
        <v>4290</v>
      </c>
      <c r="P980" t="s">
        <v>2721</v>
      </c>
      <c r="Q980" t="s">
        <v>3066</v>
      </c>
      <c r="R980" t="s">
        <v>4281</v>
      </c>
      <c r="S980">
        <v>47.52</v>
      </c>
    </row>
    <row r="981" spans="1:19" x14ac:dyDescent="0.3">
      <c r="A981" t="s">
        <v>405</v>
      </c>
      <c r="B981" s="3">
        <v>45673</v>
      </c>
      <c r="C981" t="s">
        <v>1605</v>
      </c>
      <c r="D981" t="s">
        <v>2408</v>
      </c>
      <c r="E981">
        <v>2</v>
      </c>
      <c r="F981">
        <v>527.46</v>
      </c>
      <c r="G981" t="s">
        <v>2654</v>
      </c>
      <c r="H981" t="s">
        <v>3065</v>
      </c>
      <c r="I981" t="s">
        <v>3071</v>
      </c>
      <c r="J981" t="s">
        <v>3466</v>
      </c>
      <c r="K981">
        <v>3</v>
      </c>
      <c r="L981" t="s">
        <v>4276</v>
      </c>
      <c r="M981" t="s">
        <v>4279</v>
      </c>
      <c r="N981">
        <v>1054.92</v>
      </c>
      <c r="O981" t="s">
        <v>4290</v>
      </c>
      <c r="P981" t="s">
        <v>2654</v>
      </c>
      <c r="Q981" t="s">
        <v>3065</v>
      </c>
      <c r="R981" t="s">
        <v>4279</v>
      </c>
      <c r="S981">
        <v>351.64</v>
      </c>
    </row>
    <row r="982" spans="1:19" x14ac:dyDescent="0.3">
      <c r="A982" t="s">
        <v>662</v>
      </c>
      <c r="B982" s="3">
        <v>45675</v>
      </c>
      <c r="C982" t="s">
        <v>1861</v>
      </c>
      <c r="D982" t="s">
        <v>2403</v>
      </c>
      <c r="E982">
        <v>2</v>
      </c>
      <c r="F982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>
        <v>3</v>
      </c>
      <c r="L982" t="s">
        <v>4277</v>
      </c>
      <c r="M982" t="s">
        <v>4279</v>
      </c>
      <c r="N982">
        <v>1151.6600000000001</v>
      </c>
      <c r="O982" t="s">
        <v>4290</v>
      </c>
      <c r="P982" t="s">
        <v>2858</v>
      </c>
      <c r="Q982" t="s">
        <v>3066</v>
      </c>
      <c r="R982" t="s">
        <v>4279</v>
      </c>
      <c r="S982">
        <v>383.89</v>
      </c>
    </row>
    <row r="983" spans="1:19" x14ac:dyDescent="0.3">
      <c r="A983" t="s">
        <v>931</v>
      </c>
      <c r="B983" s="3">
        <v>45677</v>
      </c>
      <c r="C983" t="s">
        <v>2127</v>
      </c>
      <c r="D983" t="s">
        <v>2408</v>
      </c>
      <c r="E983">
        <v>5</v>
      </c>
      <c r="F983">
        <v>383.82</v>
      </c>
      <c r="G983" t="s">
        <v>2979</v>
      </c>
      <c r="H983" t="s">
        <v>3067</v>
      </c>
      <c r="I983" t="s">
        <v>3072</v>
      </c>
      <c r="J983" t="s">
        <v>3992</v>
      </c>
      <c r="K983">
        <v>7</v>
      </c>
      <c r="L983" t="s">
        <v>4276</v>
      </c>
      <c r="M983" t="s">
        <v>4282</v>
      </c>
      <c r="N983">
        <v>1919.1</v>
      </c>
      <c r="O983" t="s">
        <v>4290</v>
      </c>
      <c r="P983" t="s">
        <v>2979</v>
      </c>
      <c r="Q983" t="s">
        <v>3067</v>
      </c>
      <c r="R983" t="s">
        <v>4282</v>
      </c>
      <c r="S983">
        <v>274.16000000000003</v>
      </c>
    </row>
    <row r="984" spans="1:19" x14ac:dyDescent="0.3">
      <c r="A984" t="s">
        <v>111</v>
      </c>
      <c r="B984" s="3">
        <v>45678</v>
      </c>
      <c r="C984" t="s">
        <v>1311</v>
      </c>
      <c r="D984" t="s">
        <v>2405</v>
      </c>
      <c r="E984">
        <v>5</v>
      </c>
      <c r="F984">
        <v>619.52</v>
      </c>
      <c r="G984" t="s">
        <v>2500</v>
      </c>
      <c r="H984" t="s">
        <v>3065</v>
      </c>
      <c r="I984" t="s">
        <v>3074</v>
      </c>
      <c r="J984" t="s">
        <v>3172</v>
      </c>
      <c r="K984">
        <v>9</v>
      </c>
      <c r="L984" t="s">
        <v>4283</v>
      </c>
      <c r="M984" t="s">
        <v>4280</v>
      </c>
      <c r="N984">
        <v>3097.6</v>
      </c>
      <c r="O984" t="s">
        <v>4290</v>
      </c>
      <c r="P984" t="s">
        <v>2500</v>
      </c>
      <c r="Q984" t="s">
        <v>3065</v>
      </c>
      <c r="R984" t="s">
        <v>4280</v>
      </c>
      <c r="S984">
        <v>344.18</v>
      </c>
    </row>
    <row r="985" spans="1:19" x14ac:dyDescent="0.3">
      <c r="A985" t="s">
        <v>217</v>
      </c>
      <c r="B985" s="3">
        <v>45678</v>
      </c>
      <c r="C985" t="s">
        <v>1417</v>
      </c>
      <c r="D985" t="s">
        <v>2407</v>
      </c>
      <c r="E985">
        <v>3</v>
      </c>
      <c r="F985">
        <v>356.84</v>
      </c>
      <c r="G985" t="s">
        <v>2590</v>
      </c>
      <c r="H985" t="s">
        <v>3066</v>
      </c>
      <c r="I985" t="s">
        <v>3070</v>
      </c>
      <c r="J985" t="s">
        <v>3278</v>
      </c>
      <c r="K985">
        <v>5</v>
      </c>
      <c r="L985" t="s">
        <v>4275</v>
      </c>
      <c r="M985" t="s">
        <v>4278</v>
      </c>
      <c r="N985">
        <v>1070.52</v>
      </c>
      <c r="O985" t="s">
        <v>4290</v>
      </c>
      <c r="P985" t="s">
        <v>2590</v>
      </c>
      <c r="Q985" t="s">
        <v>3066</v>
      </c>
      <c r="R985" t="s">
        <v>4278</v>
      </c>
      <c r="S985">
        <v>214.1</v>
      </c>
    </row>
    <row r="986" spans="1:19" x14ac:dyDescent="0.3">
      <c r="A986" t="s">
        <v>144</v>
      </c>
      <c r="B986" s="3">
        <v>45679</v>
      </c>
      <c r="C986" t="s">
        <v>1344</v>
      </c>
      <c r="D986" t="s">
        <v>2409</v>
      </c>
      <c r="E986">
        <v>3</v>
      </c>
      <c r="F986">
        <v>501.3</v>
      </c>
      <c r="G986" t="s">
        <v>2532</v>
      </c>
      <c r="H986" t="s">
        <v>3066</v>
      </c>
      <c r="I986" t="s">
        <v>3071</v>
      </c>
      <c r="J986" t="s">
        <v>3205</v>
      </c>
      <c r="K986">
        <v>3</v>
      </c>
      <c r="L986" t="s">
        <v>4277</v>
      </c>
      <c r="M986" t="s">
        <v>4281</v>
      </c>
      <c r="N986">
        <v>1503.9</v>
      </c>
      <c r="O986" t="s">
        <v>4290</v>
      </c>
      <c r="P986" t="s">
        <v>2532</v>
      </c>
      <c r="Q986" t="s">
        <v>3066</v>
      </c>
      <c r="R986" t="s">
        <v>4281</v>
      </c>
      <c r="S986">
        <v>501.3</v>
      </c>
    </row>
    <row r="987" spans="1:19" x14ac:dyDescent="0.3">
      <c r="A987" t="s">
        <v>213</v>
      </c>
      <c r="B987" s="3">
        <v>45680</v>
      </c>
      <c r="C987" t="s">
        <v>1413</v>
      </c>
      <c r="D987" t="s">
        <v>2404</v>
      </c>
      <c r="E987">
        <v>1</v>
      </c>
      <c r="F987">
        <v>625</v>
      </c>
      <c r="G987" t="s">
        <v>2589</v>
      </c>
      <c r="H987" t="s">
        <v>3066</v>
      </c>
      <c r="I987" t="s">
        <v>3072</v>
      </c>
      <c r="J987" t="s">
        <v>3274</v>
      </c>
      <c r="K987">
        <v>5</v>
      </c>
      <c r="L987" t="s">
        <v>4277</v>
      </c>
      <c r="M987" t="s">
        <v>4282</v>
      </c>
      <c r="N987">
        <v>625</v>
      </c>
      <c r="O987" t="s">
        <v>4290</v>
      </c>
      <c r="P987" t="s">
        <v>2589</v>
      </c>
      <c r="Q987" t="s">
        <v>3066</v>
      </c>
      <c r="R987" t="s">
        <v>4282</v>
      </c>
      <c r="S987">
        <v>125</v>
      </c>
    </row>
    <row r="988" spans="1:19" x14ac:dyDescent="0.3">
      <c r="A988" t="s">
        <v>755</v>
      </c>
      <c r="B988" s="3">
        <v>45680</v>
      </c>
      <c r="C988" t="s">
        <v>1952</v>
      </c>
      <c r="D988" t="s">
        <v>2403</v>
      </c>
      <c r="E988">
        <v>5</v>
      </c>
      <c r="F988">
        <v>332.64</v>
      </c>
      <c r="G988" t="s">
        <v>2899</v>
      </c>
      <c r="H988" t="s">
        <v>3068</v>
      </c>
      <c r="I988" t="s">
        <v>3073</v>
      </c>
      <c r="J988" t="s">
        <v>3816</v>
      </c>
      <c r="K988">
        <v>10</v>
      </c>
      <c r="L988" t="s">
        <v>4283</v>
      </c>
      <c r="M988" t="s">
        <v>4279</v>
      </c>
      <c r="N988">
        <v>1663.2</v>
      </c>
      <c r="O988" t="s">
        <v>4290</v>
      </c>
      <c r="P988" t="s">
        <v>2899</v>
      </c>
      <c r="Q988" t="s">
        <v>3068</v>
      </c>
      <c r="R988" t="s">
        <v>4279</v>
      </c>
      <c r="S988">
        <v>166.32</v>
      </c>
    </row>
    <row r="989" spans="1:19" x14ac:dyDescent="0.3">
      <c r="A989" t="s">
        <v>210</v>
      </c>
      <c r="B989" s="3">
        <v>45681</v>
      </c>
      <c r="C989" t="s">
        <v>1410</v>
      </c>
      <c r="D989" t="s">
        <v>2409</v>
      </c>
      <c r="E989">
        <v>4</v>
      </c>
      <c r="F989">
        <v>217.13</v>
      </c>
      <c r="G989" t="s">
        <v>2587</v>
      </c>
      <c r="H989" t="s">
        <v>3069</v>
      </c>
      <c r="I989" t="s">
        <v>3073</v>
      </c>
      <c r="J989" t="s">
        <v>3271</v>
      </c>
      <c r="K989">
        <v>8</v>
      </c>
      <c r="L989" t="s">
        <v>4277</v>
      </c>
      <c r="M989" t="s">
        <v>4280</v>
      </c>
      <c r="N989">
        <v>868.52</v>
      </c>
      <c r="O989" t="s">
        <v>4290</v>
      </c>
      <c r="P989" t="s">
        <v>2587</v>
      </c>
      <c r="Q989" t="s">
        <v>3069</v>
      </c>
      <c r="R989" t="s">
        <v>4280</v>
      </c>
      <c r="S989">
        <v>108.56</v>
      </c>
    </row>
    <row r="990" spans="1:19" x14ac:dyDescent="0.3">
      <c r="A990" t="s">
        <v>117</v>
      </c>
      <c r="B990" s="3">
        <v>45682</v>
      </c>
      <c r="C990" t="s">
        <v>1317</v>
      </c>
      <c r="D990" t="s">
        <v>2404</v>
      </c>
      <c r="E990">
        <v>4</v>
      </c>
      <c r="F990">
        <v>218.43</v>
      </c>
      <c r="G990" t="s">
        <v>2506</v>
      </c>
      <c r="H990" t="s">
        <v>3067</v>
      </c>
      <c r="I990" t="s">
        <v>3071</v>
      </c>
      <c r="J990" t="s">
        <v>3178</v>
      </c>
      <c r="K990">
        <v>9</v>
      </c>
      <c r="L990" t="s">
        <v>4275</v>
      </c>
      <c r="M990" t="s">
        <v>4280</v>
      </c>
      <c r="N990">
        <v>873.72</v>
      </c>
      <c r="O990" t="s">
        <v>4290</v>
      </c>
      <c r="P990" t="s">
        <v>2506</v>
      </c>
      <c r="Q990" t="s">
        <v>3067</v>
      </c>
      <c r="R990" t="s">
        <v>4280</v>
      </c>
      <c r="S990">
        <v>97.08</v>
      </c>
    </row>
    <row r="991" spans="1:19" x14ac:dyDescent="0.3">
      <c r="A991" t="s">
        <v>337</v>
      </c>
      <c r="B991" s="3">
        <v>45683</v>
      </c>
      <c r="C991" t="s">
        <v>1537</v>
      </c>
      <c r="D991" t="s">
        <v>2408</v>
      </c>
      <c r="E991">
        <v>1</v>
      </c>
      <c r="F991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>
        <v>1</v>
      </c>
      <c r="L991" t="s">
        <v>4275</v>
      </c>
      <c r="M991" t="s">
        <v>4279</v>
      </c>
      <c r="N991">
        <v>150.16999999999999</v>
      </c>
      <c r="O991" t="s">
        <v>4290</v>
      </c>
      <c r="P991" t="s">
        <v>2681</v>
      </c>
      <c r="Q991" t="s">
        <v>3065</v>
      </c>
      <c r="R991" t="s">
        <v>4279</v>
      </c>
      <c r="S991">
        <v>150.16999999999999</v>
      </c>
    </row>
    <row r="992" spans="1:19" x14ac:dyDescent="0.3">
      <c r="A992" t="s">
        <v>419</v>
      </c>
      <c r="B992" s="3">
        <v>45683</v>
      </c>
      <c r="C992" t="s">
        <v>1619</v>
      </c>
      <c r="D992" t="s">
        <v>2403</v>
      </c>
      <c r="E992">
        <v>4</v>
      </c>
      <c r="F992">
        <v>451.97</v>
      </c>
      <c r="G992" t="s">
        <v>2715</v>
      </c>
      <c r="H992" t="s">
        <v>3066</v>
      </c>
      <c r="I992" t="s">
        <v>3071</v>
      </c>
      <c r="J992" t="s">
        <v>3480</v>
      </c>
      <c r="K992">
        <v>7</v>
      </c>
      <c r="L992" t="s">
        <v>4277</v>
      </c>
      <c r="M992" t="s">
        <v>4280</v>
      </c>
      <c r="N992">
        <v>1807.88</v>
      </c>
      <c r="O992" t="s">
        <v>4290</v>
      </c>
      <c r="P992" t="s">
        <v>2715</v>
      </c>
      <c r="Q992" t="s">
        <v>3066</v>
      </c>
      <c r="R992" t="s">
        <v>4280</v>
      </c>
      <c r="S992">
        <v>258.27</v>
      </c>
    </row>
    <row r="993" spans="1:19" x14ac:dyDescent="0.3">
      <c r="A993" t="s">
        <v>128</v>
      </c>
      <c r="B993" s="3">
        <v>45684</v>
      </c>
      <c r="C993" t="s">
        <v>1328</v>
      </c>
      <c r="D993" t="s">
        <v>2403</v>
      </c>
      <c r="E993">
        <v>5</v>
      </c>
      <c r="F993">
        <v>498.48</v>
      </c>
      <c r="G993" t="s">
        <v>2517</v>
      </c>
      <c r="H993" t="s">
        <v>3066</v>
      </c>
      <c r="I993" t="s">
        <v>3074</v>
      </c>
      <c r="J993" t="s">
        <v>3189</v>
      </c>
      <c r="K993">
        <v>8</v>
      </c>
      <c r="L993" t="s">
        <v>4275</v>
      </c>
      <c r="M993" t="s">
        <v>4282</v>
      </c>
      <c r="N993">
        <v>2492.4</v>
      </c>
      <c r="O993" t="s">
        <v>4290</v>
      </c>
      <c r="P993" t="s">
        <v>2517</v>
      </c>
      <c r="Q993" t="s">
        <v>3066</v>
      </c>
      <c r="R993" t="s">
        <v>4282</v>
      </c>
      <c r="S993">
        <v>311.55</v>
      </c>
    </row>
    <row r="994" spans="1:19" x14ac:dyDescent="0.3">
      <c r="A994" t="s">
        <v>623</v>
      </c>
      <c r="B994" s="3">
        <v>45684</v>
      </c>
      <c r="C994" t="s">
        <v>1822</v>
      </c>
      <c r="D994" t="s">
        <v>2406</v>
      </c>
      <c r="E994">
        <v>3</v>
      </c>
      <c r="F994">
        <v>449.13</v>
      </c>
      <c r="G994" t="s">
        <v>2841</v>
      </c>
      <c r="H994" t="s">
        <v>3069</v>
      </c>
      <c r="I994" t="s">
        <v>3072</v>
      </c>
      <c r="J994" t="s">
        <v>3684</v>
      </c>
      <c r="K994">
        <v>5</v>
      </c>
      <c r="L994" t="s">
        <v>4277</v>
      </c>
      <c r="M994" t="s">
        <v>4279</v>
      </c>
      <c r="N994">
        <v>1347.39</v>
      </c>
      <c r="O994" t="s">
        <v>4290</v>
      </c>
      <c r="P994" t="s">
        <v>2841</v>
      </c>
      <c r="Q994" t="s">
        <v>3069</v>
      </c>
      <c r="R994" t="s">
        <v>4279</v>
      </c>
      <c r="S994">
        <v>269.48</v>
      </c>
    </row>
    <row r="995" spans="1:19" x14ac:dyDescent="0.3">
      <c r="A995" t="s">
        <v>507</v>
      </c>
      <c r="B995" s="3">
        <v>45685</v>
      </c>
      <c r="C995" t="s">
        <v>1707</v>
      </c>
      <c r="D995" t="s">
        <v>2404</v>
      </c>
      <c r="E995">
        <v>1</v>
      </c>
      <c r="F995">
        <v>420.26</v>
      </c>
      <c r="G995" t="s">
        <v>2787</v>
      </c>
      <c r="H995" t="s">
        <v>3067</v>
      </c>
      <c r="I995" t="s">
        <v>3074</v>
      </c>
      <c r="J995" t="s">
        <v>3568</v>
      </c>
      <c r="K995">
        <v>4</v>
      </c>
      <c r="L995" t="s">
        <v>4276</v>
      </c>
      <c r="M995" t="s">
        <v>4281</v>
      </c>
      <c r="N995">
        <v>420.26</v>
      </c>
      <c r="O995" t="s">
        <v>4290</v>
      </c>
      <c r="P995" t="s">
        <v>2787</v>
      </c>
      <c r="Q995" t="s">
        <v>3067</v>
      </c>
      <c r="R995" t="s">
        <v>4281</v>
      </c>
      <c r="S995">
        <v>105.06</v>
      </c>
    </row>
    <row r="996" spans="1:19" x14ac:dyDescent="0.3">
      <c r="A996" t="s">
        <v>1075</v>
      </c>
      <c r="B996" s="3">
        <v>45686</v>
      </c>
      <c r="C996" t="s">
        <v>2267</v>
      </c>
      <c r="D996" t="s">
        <v>2408</v>
      </c>
      <c r="E996">
        <v>5</v>
      </c>
      <c r="F996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>
        <v>8</v>
      </c>
      <c r="L996" t="s">
        <v>4276</v>
      </c>
      <c r="M996" t="s">
        <v>4282</v>
      </c>
      <c r="N996">
        <v>658.5</v>
      </c>
      <c r="O996" t="s">
        <v>4290</v>
      </c>
      <c r="P996" t="s">
        <v>2442</v>
      </c>
      <c r="Q996" t="s">
        <v>3069</v>
      </c>
      <c r="R996" t="s">
        <v>4282</v>
      </c>
      <c r="S996">
        <v>82.31</v>
      </c>
    </row>
    <row r="997" spans="1:19" x14ac:dyDescent="0.3">
      <c r="A997" t="s">
        <v>396</v>
      </c>
      <c r="B997" s="3">
        <v>45687</v>
      </c>
      <c r="C997" t="s">
        <v>1596</v>
      </c>
      <c r="D997" t="s">
        <v>2407</v>
      </c>
      <c r="E997">
        <v>4</v>
      </c>
      <c r="F99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>
        <v>8</v>
      </c>
      <c r="L997" t="s">
        <v>4275</v>
      </c>
      <c r="M997" t="s">
        <v>4282</v>
      </c>
      <c r="N997">
        <v>1052.3599999999999</v>
      </c>
      <c r="O997" t="s">
        <v>4290</v>
      </c>
      <c r="P997" t="s">
        <v>2724</v>
      </c>
      <c r="Q997" t="s">
        <v>3065</v>
      </c>
      <c r="R997" t="s">
        <v>4282</v>
      </c>
      <c r="S997">
        <v>131.54</v>
      </c>
    </row>
    <row r="998" spans="1:19" x14ac:dyDescent="0.3">
      <c r="A998" t="s">
        <v>77</v>
      </c>
      <c r="B998" s="3">
        <v>45690</v>
      </c>
      <c r="C998" t="s">
        <v>1277</v>
      </c>
      <c r="D998" t="s">
        <v>2406</v>
      </c>
      <c r="E998">
        <v>1</v>
      </c>
      <c r="F998">
        <v>564.86</v>
      </c>
      <c r="G998" t="s">
        <v>2469</v>
      </c>
      <c r="H998" t="s">
        <v>3065</v>
      </c>
      <c r="I998" t="s">
        <v>3070</v>
      </c>
      <c r="J998" t="s">
        <v>3138</v>
      </c>
      <c r="K998">
        <v>6</v>
      </c>
      <c r="L998" t="s">
        <v>4277</v>
      </c>
      <c r="M998" t="s">
        <v>4279</v>
      </c>
      <c r="N998">
        <v>564.86</v>
      </c>
      <c r="O998" t="s">
        <v>4290</v>
      </c>
      <c r="P998" t="s">
        <v>2469</v>
      </c>
      <c r="Q998" t="s">
        <v>3065</v>
      </c>
      <c r="R998" t="s">
        <v>4279</v>
      </c>
      <c r="S998">
        <v>94.14</v>
      </c>
    </row>
    <row r="999" spans="1:19" x14ac:dyDescent="0.3">
      <c r="A999" t="s">
        <v>199</v>
      </c>
      <c r="B999" s="3">
        <v>45690</v>
      </c>
      <c r="C999" t="s">
        <v>1399</v>
      </c>
      <c r="D999" t="s">
        <v>2408</v>
      </c>
      <c r="E999">
        <v>1</v>
      </c>
      <c r="F999">
        <v>210.7</v>
      </c>
      <c r="G999" t="s">
        <v>2577</v>
      </c>
      <c r="H999" t="s">
        <v>3066</v>
      </c>
      <c r="I999" t="s">
        <v>3070</v>
      </c>
      <c r="J999" t="s">
        <v>3260</v>
      </c>
      <c r="K999">
        <v>2</v>
      </c>
      <c r="L999" t="s">
        <v>4277</v>
      </c>
      <c r="M999" t="s">
        <v>4279</v>
      </c>
      <c r="N999">
        <v>210.7</v>
      </c>
      <c r="O999" t="s">
        <v>4290</v>
      </c>
      <c r="P999" t="s">
        <v>2577</v>
      </c>
      <c r="Q999" t="s">
        <v>3066</v>
      </c>
      <c r="R999" t="s">
        <v>4279</v>
      </c>
      <c r="S999">
        <v>105.35</v>
      </c>
    </row>
    <row r="1000" spans="1:19" x14ac:dyDescent="0.3">
      <c r="A1000" t="s">
        <v>711</v>
      </c>
      <c r="B1000" s="3">
        <v>45692</v>
      </c>
      <c r="C1000" t="s">
        <v>1909</v>
      </c>
      <c r="D1000" t="s">
        <v>2407</v>
      </c>
      <c r="E1000">
        <v>5</v>
      </c>
      <c r="F1000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>
        <v>6</v>
      </c>
      <c r="L1000" t="s">
        <v>4277</v>
      </c>
      <c r="M1000" t="s">
        <v>4280</v>
      </c>
      <c r="N1000">
        <v>474.25</v>
      </c>
      <c r="O1000" t="s">
        <v>4290</v>
      </c>
      <c r="P1000" t="s">
        <v>2840</v>
      </c>
      <c r="Q1000" t="s">
        <v>3069</v>
      </c>
      <c r="R1000" t="s">
        <v>4280</v>
      </c>
      <c r="S1000">
        <v>79.040000000000006</v>
      </c>
    </row>
    <row r="1001" spans="1:19" x14ac:dyDescent="0.3">
      <c r="A1001" t="s">
        <v>1002</v>
      </c>
      <c r="B1001" s="3">
        <v>45692</v>
      </c>
      <c r="C1001" t="s">
        <v>2195</v>
      </c>
      <c r="D1001" t="s">
        <v>2409</v>
      </c>
      <c r="E1001">
        <v>2</v>
      </c>
      <c r="F1001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>
        <v>5</v>
      </c>
      <c r="L1001" t="s">
        <v>4277</v>
      </c>
      <c r="M1001" t="s">
        <v>4278</v>
      </c>
      <c r="N1001">
        <v>1259.1199999999999</v>
      </c>
      <c r="O1001" t="s">
        <v>4290</v>
      </c>
      <c r="P1001" t="s">
        <v>2687</v>
      </c>
      <c r="Q1001" t="s">
        <v>3068</v>
      </c>
      <c r="R1001" t="s">
        <v>4278</v>
      </c>
      <c r="S1001">
        <v>251.82</v>
      </c>
    </row>
    <row r="1002" spans="1:19" x14ac:dyDescent="0.3">
      <c r="A1002" t="s">
        <v>1186</v>
      </c>
      <c r="B1002" s="3">
        <v>45692</v>
      </c>
      <c r="C1002" t="s">
        <v>2375</v>
      </c>
      <c r="D1002" t="s">
        <v>2409</v>
      </c>
      <c r="E1002">
        <v>3</v>
      </c>
      <c r="F1002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>
        <v>8</v>
      </c>
      <c r="L1002" t="s">
        <v>4283</v>
      </c>
      <c r="M1002" t="s">
        <v>4278</v>
      </c>
      <c r="N1002">
        <v>395.88</v>
      </c>
      <c r="O1002" t="s">
        <v>4290</v>
      </c>
      <c r="P1002" t="s">
        <v>2793</v>
      </c>
      <c r="Q1002" t="s">
        <v>3067</v>
      </c>
      <c r="R1002" t="s">
        <v>4278</v>
      </c>
      <c r="S1002">
        <v>49.48</v>
      </c>
    </row>
    <row r="1003" spans="1:19" x14ac:dyDescent="0.3">
      <c r="A1003" t="s">
        <v>918</v>
      </c>
      <c r="B1003" s="3">
        <v>45693</v>
      </c>
      <c r="C1003" t="s">
        <v>2114</v>
      </c>
      <c r="D1003" t="s">
        <v>2403</v>
      </c>
      <c r="E1003">
        <v>4</v>
      </c>
      <c r="F1003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>
        <v>8</v>
      </c>
      <c r="L1003" t="s">
        <v>4277</v>
      </c>
      <c r="M1003" t="s">
        <v>4279</v>
      </c>
      <c r="N1003">
        <v>949.72</v>
      </c>
      <c r="O1003" t="s">
        <v>4290</v>
      </c>
      <c r="P1003" t="s">
        <v>2758</v>
      </c>
      <c r="Q1003" t="s">
        <v>3069</v>
      </c>
      <c r="R1003" t="s">
        <v>4279</v>
      </c>
      <c r="S1003">
        <v>118.72</v>
      </c>
    </row>
    <row r="1004" spans="1:19" x14ac:dyDescent="0.3">
      <c r="A1004" t="s">
        <v>216</v>
      </c>
      <c r="B1004" s="3">
        <v>45694</v>
      </c>
      <c r="C1004" t="s">
        <v>1416</v>
      </c>
      <c r="D1004" t="s">
        <v>2403</v>
      </c>
      <c r="E1004">
        <v>3</v>
      </c>
      <c r="F1004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>
        <v>3</v>
      </c>
      <c r="L1004" t="s">
        <v>4276</v>
      </c>
      <c r="M1004" t="s">
        <v>4280</v>
      </c>
      <c r="N1004">
        <v>761.93999999999994</v>
      </c>
      <c r="O1004" t="s">
        <v>4290</v>
      </c>
      <c r="P1004" t="s">
        <v>2535</v>
      </c>
      <c r="Q1004" t="s">
        <v>3067</v>
      </c>
      <c r="R1004" t="s">
        <v>4280</v>
      </c>
      <c r="S1004">
        <v>253.98</v>
      </c>
    </row>
    <row r="1005" spans="1:19" x14ac:dyDescent="0.3">
      <c r="A1005" t="s">
        <v>699</v>
      </c>
      <c r="B1005" s="3">
        <v>45695</v>
      </c>
      <c r="C1005" t="s">
        <v>1897</v>
      </c>
      <c r="D1005" t="s">
        <v>2409</v>
      </c>
      <c r="E1005">
        <v>1</v>
      </c>
      <c r="F1005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>
        <v>5</v>
      </c>
      <c r="L1005" t="s">
        <v>4276</v>
      </c>
      <c r="M1005" t="s">
        <v>4280</v>
      </c>
      <c r="N1005">
        <v>234.37</v>
      </c>
      <c r="O1005" t="s">
        <v>4290</v>
      </c>
      <c r="P1005" t="s">
        <v>2873</v>
      </c>
      <c r="Q1005" t="s">
        <v>3065</v>
      </c>
      <c r="R1005" t="s">
        <v>4280</v>
      </c>
      <c r="S1005">
        <v>46.87</v>
      </c>
    </row>
    <row r="1006" spans="1:19" x14ac:dyDescent="0.3">
      <c r="A1006" t="s">
        <v>914</v>
      </c>
      <c r="B1006" s="3">
        <v>45695</v>
      </c>
      <c r="C1006" t="s">
        <v>2110</v>
      </c>
      <c r="D1006" t="s">
        <v>2408</v>
      </c>
      <c r="E1006">
        <v>5</v>
      </c>
      <c r="F1006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>
        <v>9</v>
      </c>
      <c r="L1006" t="s">
        <v>4283</v>
      </c>
      <c r="M1006" t="s">
        <v>4278</v>
      </c>
      <c r="N1006">
        <v>369.15</v>
      </c>
      <c r="O1006" t="s">
        <v>4290</v>
      </c>
      <c r="P1006" t="s">
        <v>2802</v>
      </c>
      <c r="Q1006" t="s">
        <v>3065</v>
      </c>
      <c r="R1006" t="s">
        <v>4278</v>
      </c>
      <c r="S1006">
        <v>41.02</v>
      </c>
    </row>
    <row r="1007" spans="1:19" x14ac:dyDescent="0.3">
      <c r="A1007" t="s">
        <v>933</v>
      </c>
      <c r="B1007" s="3">
        <v>45695</v>
      </c>
      <c r="C1007" t="s">
        <v>2129</v>
      </c>
      <c r="D1007" t="s">
        <v>2407</v>
      </c>
      <c r="E1007">
        <v>2</v>
      </c>
      <c r="F100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>
        <v>3</v>
      </c>
      <c r="L1007" t="s">
        <v>4276</v>
      </c>
      <c r="M1007" t="s">
        <v>4279</v>
      </c>
      <c r="N1007">
        <v>749.2</v>
      </c>
      <c r="O1007" t="s">
        <v>4290</v>
      </c>
      <c r="P1007" t="s">
        <v>2522</v>
      </c>
      <c r="Q1007" t="s">
        <v>3066</v>
      </c>
      <c r="R1007" t="s">
        <v>4279</v>
      </c>
      <c r="S1007">
        <v>249.73</v>
      </c>
    </row>
    <row r="1008" spans="1:19" x14ac:dyDescent="0.3">
      <c r="A1008" t="s">
        <v>189</v>
      </c>
      <c r="B1008" s="3">
        <v>45696</v>
      </c>
      <c r="C1008" t="s">
        <v>1389</v>
      </c>
      <c r="D1008" t="s">
        <v>2406</v>
      </c>
      <c r="E1008">
        <v>5</v>
      </c>
      <c r="F1008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>
        <v>6</v>
      </c>
      <c r="L1008" t="s">
        <v>4277</v>
      </c>
      <c r="M1008" t="s">
        <v>4279</v>
      </c>
      <c r="N1008">
        <v>341.7</v>
      </c>
      <c r="O1008" t="s">
        <v>4290</v>
      </c>
      <c r="P1008" t="s">
        <v>2567</v>
      </c>
      <c r="Q1008" t="s">
        <v>3065</v>
      </c>
      <c r="R1008" t="s">
        <v>4279</v>
      </c>
      <c r="S1008">
        <v>56.95</v>
      </c>
    </row>
    <row r="1009" spans="1:19" x14ac:dyDescent="0.3">
      <c r="A1009" t="s">
        <v>527</v>
      </c>
      <c r="B1009" s="3">
        <v>45697</v>
      </c>
      <c r="C1009" t="s">
        <v>1727</v>
      </c>
      <c r="D1009" t="s">
        <v>2405</v>
      </c>
      <c r="E1009">
        <v>3</v>
      </c>
      <c r="F1009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>
        <v>8</v>
      </c>
      <c r="L1009" t="s">
        <v>4283</v>
      </c>
      <c r="M1009" t="s">
        <v>4279</v>
      </c>
      <c r="N1009">
        <v>284.64</v>
      </c>
      <c r="O1009" t="s">
        <v>4290</v>
      </c>
      <c r="P1009" t="s">
        <v>2501</v>
      </c>
      <c r="Q1009" t="s">
        <v>3068</v>
      </c>
      <c r="R1009" t="s">
        <v>4279</v>
      </c>
      <c r="S1009">
        <v>35.58</v>
      </c>
    </row>
    <row r="1010" spans="1:19" x14ac:dyDescent="0.3">
      <c r="A1010" t="s">
        <v>603</v>
      </c>
      <c r="B1010" s="3">
        <v>45698</v>
      </c>
      <c r="C1010" t="s">
        <v>1803</v>
      </c>
      <c r="D1010" t="s">
        <v>2408</v>
      </c>
      <c r="E1010">
        <v>2</v>
      </c>
      <c r="F1010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>
        <v>3</v>
      </c>
      <c r="L1010" t="s">
        <v>4276</v>
      </c>
      <c r="M1010" t="s">
        <v>4279</v>
      </c>
      <c r="N1010">
        <v>1001.6</v>
      </c>
      <c r="O1010" t="s">
        <v>4290</v>
      </c>
      <c r="P1010" t="s">
        <v>2830</v>
      </c>
      <c r="Q1010" t="s">
        <v>3069</v>
      </c>
      <c r="R1010" t="s">
        <v>4279</v>
      </c>
      <c r="S1010">
        <v>333.87</v>
      </c>
    </row>
    <row r="1011" spans="1:19" x14ac:dyDescent="0.3">
      <c r="A1011" t="s">
        <v>928</v>
      </c>
      <c r="B1011" s="3">
        <v>45698</v>
      </c>
      <c r="C1011" t="s">
        <v>2124</v>
      </c>
      <c r="D1011" t="s">
        <v>2409</v>
      </c>
      <c r="E1011">
        <v>1</v>
      </c>
      <c r="F1011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>
        <v>4</v>
      </c>
      <c r="L1011" t="s">
        <v>4277</v>
      </c>
      <c r="M1011" t="s">
        <v>4281</v>
      </c>
      <c r="N1011">
        <v>626.6</v>
      </c>
      <c r="O1011" t="s">
        <v>4290</v>
      </c>
      <c r="P1011" t="s">
        <v>2751</v>
      </c>
      <c r="Q1011" t="s">
        <v>3068</v>
      </c>
      <c r="R1011" t="s">
        <v>4281</v>
      </c>
      <c r="S1011">
        <v>156.65</v>
      </c>
    </row>
    <row r="1012" spans="1:19" x14ac:dyDescent="0.3">
      <c r="A1012" t="s">
        <v>1205</v>
      </c>
      <c r="B1012" s="3">
        <v>45698</v>
      </c>
      <c r="C1012" t="s">
        <v>2394</v>
      </c>
      <c r="D1012" t="s">
        <v>2409</v>
      </c>
      <c r="E1012">
        <v>4</v>
      </c>
      <c r="F1012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>
        <v>5</v>
      </c>
      <c r="L1012" t="s">
        <v>4277</v>
      </c>
      <c r="M1012" t="s">
        <v>4278</v>
      </c>
      <c r="N1012">
        <v>1505.72</v>
      </c>
      <c r="O1012" t="s">
        <v>4290</v>
      </c>
      <c r="P1012" t="s">
        <v>2841</v>
      </c>
      <c r="Q1012" t="s">
        <v>3068</v>
      </c>
      <c r="R1012" t="s">
        <v>4278</v>
      </c>
      <c r="S1012">
        <v>301.14</v>
      </c>
    </row>
    <row r="1013" spans="1:19" x14ac:dyDescent="0.3">
      <c r="A1013" t="s">
        <v>1078</v>
      </c>
      <c r="B1013" s="3">
        <v>45700</v>
      </c>
      <c r="C1013" t="s">
        <v>2270</v>
      </c>
      <c r="D1013" t="s">
        <v>2408</v>
      </c>
      <c r="E1013">
        <v>4</v>
      </c>
      <c r="F1013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>
        <v>9</v>
      </c>
      <c r="L1013" t="s">
        <v>4276</v>
      </c>
      <c r="M1013" t="s">
        <v>4279</v>
      </c>
      <c r="N1013">
        <v>795.24</v>
      </c>
      <c r="O1013" t="s">
        <v>4290</v>
      </c>
      <c r="P1013" t="s">
        <v>2646</v>
      </c>
      <c r="Q1013" t="s">
        <v>3069</v>
      </c>
      <c r="R1013" t="s">
        <v>4279</v>
      </c>
      <c r="S1013">
        <v>88.36</v>
      </c>
    </row>
    <row r="1014" spans="1:19" x14ac:dyDescent="0.3">
      <c r="A1014" t="s">
        <v>379</v>
      </c>
      <c r="B1014" s="3">
        <v>45702</v>
      </c>
      <c r="C1014" t="s">
        <v>1579</v>
      </c>
      <c r="D1014" t="s">
        <v>2404</v>
      </c>
      <c r="E1014">
        <v>1</v>
      </c>
      <c r="F1014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>
        <v>4</v>
      </c>
      <c r="L1014" t="s">
        <v>4275</v>
      </c>
      <c r="M1014" t="s">
        <v>4279</v>
      </c>
      <c r="N1014">
        <v>678.38</v>
      </c>
      <c r="O1014" t="s">
        <v>4290</v>
      </c>
      <c r="P1014" t="s">
        <v>2686</v>
      </c>
      <c r="Q1014" t="s">
        <v>3067</v>
      </c>
      <c r="R1014" t="s">
        <v>4279</v>
      </c>
      <c r="S1014">
        <v>169.6</v>
      </c>
    </row>
    <row r="1015" spans="1:19" x14ac:dyDescent="0.3">
      <c r="A1015" t="s">
        <v>386</v>
      </c>
      <c r="B1015" s="3">
        <v>45702</v>
      </c>
      <c r="C1015" t="s">
        <v>1586</v>
      </c>
      <c r="D1015" t="s">
        <v>2406</v>
      </c>
      <c r="E1015">
        <v>3</v>
      </c>
      <c r="F1015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>
        <v>4</v>
      </c>
      <c r="L1015" t="s">
        <v>4283</v>
      </c>
      <c r="M1015" t="s">
        <v>4279</v>
      </c>
      <c r="N1015">
        <v>1450.59</v>
      </c>
      <c r="O1015" t="s">
        <v>4290</v>
      </c>
      <c r="P1015" t="s">
        <v>2719</v>
      </c>
      <c r="Q1015" t="s">
        <v>3069</v>
      </c>
      <c r="R1015" t="s">
        <v>4279</v>
      </c>
      <c r="S1015">
        <v>362.65</v>
      </c>
    </row>
    <row r="1016" spans="1:19" x14ac:dyDescent="0.3">
      <c r="A1016" t="s">
        <v>365</v>
      </c>
      <c r="B1016" s="3">
        <v>45703</v>
      </c>
      <c r="C1016" t="s">
        <v>1565</v>
      </c>
      <c r="D1016" t="s">
        <v>2408</v>
      </c>
      <c r="E1016">
        <v>1</v>
      </c>
      <c r="F1016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>
        <v>4</v>
      </c>
      <c r="L1016" t="s">
        <v>4283</v>
      </c>
      <c r="M1016" t="s">
        <v>4278</v>
      </c>
      <c r="N1016">
        <v>64.66</v>
      </c>
      <c r="O1016" t="s">
        <v>4290</v>
      </c>
      <c r="P1016" t="s">
        <v>2704</v>
      </c>
      <c r="Q1016" t="s">
        <v>3065</v>
      </c>
      <c r="R1016" t="s">
        <v>4278</v>
      </c>
      <c r="S1016">
        <v>16.16</v>
      </c>
    </row>
    <row r="1017" spans="1:19" x14ac:dyDescent="0.3">
      <c r="A1017" t="s">
        <v>1144</v>
      </c>
      <c r="B1017" s="3">
        <v>45704</v>
      </c>
      <c r="C1017" t="s">
        <v>2334</v>
      </c>
      <c r="D1017" t="s">
        <v>2408</v>
      </c>
      <c r="E1017">
        <v>2</v>
      </c>
      <c r="F101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>
        <v>5</v>
      </c>
      <c r="L1017" t="s">
        <v>4276</v>
      </c>
      <c r="M1017" t="s">
        <v>4278</v>
      </c>
      <c r="N1017">
        <v>646.9</v>
      </c>
      <c r="O1017" t="s">
        <v>4290</v>
      </c>
      <c r="P1017" t="s">
        <v>2501</v>
      </c>
      <c r="Q1017" t="s">
        <v>3067</v>
      </c>
      <c r="R1017" t="s">
        <v>4278</v>
      </c>
      <c r="S1017">
        <v>129.38</v>
      </c>
    </row>
    <row r="1018" spans="1:19" x14ac:dyDescent="0.3">
      <c r="A1018" t="s">
        <v>1155</v>
      </c>
      <c r="B1018" s="3">
        <v>45704</v>
      </c>
      <c r="C1018" t="s">
        <v>2344</v>
      </c>
      <c r="D1018" t="s">
        <v>2406</v>
      </c>
      <c r="E1018">
        <v>3</v>
      </c>
      <c r="F1018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>
        <v>6</v>
      </c>
      <c r="L1018" t="s">
        <v>4283</v>
      </c>
      <c r="M1018" t="s">
        <v>4280</v>
      </c>
      <c r="N1018">
        <v>1495.98</v>
      </c>
      <c r="O1018" t="s">
        <v>4290</v>
      </c>
      <c r="P1018" t="s">
        <v>2427</v>
      </c>
      <c r="Q1018" t="s">
        <v>3069</v>
      </c>
      <c r="R1018" t="s">
        <v>4280</v>
      </c>
      <c r="S1018">
        <v>249.33</v>
      </c>
    </row>
    <row r="1019" spans="1:19" x14ac:dyDescent="0.3">
      <c r="A1019" t="s">
        <v>537</v>
      </c>
      <c r="B1019" s="3">
        <v>45706</v>
      </c>
      <c r="C1019" t="s">
        <v>1737</v>
      </c>
      <c r="D1019" t="s">
        <v>2409</v>
      </c>
      <c r="E1019">
        <v>4</v>
      </c>
      <c r="F1019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>
        <v>6</v>
      </c>
      <c r="L1019" t="s">
        <v>4277</v>
      </c>
      <c r="M1019" t="s">
        <v>4282</v>
      </c>
      <c r="N1019">
        <v>2631.16</v>
      </c>
      <c r="O1019" t="s">
        <v>4290</v>
      </c>
      <c r="P1019" t="s">
        <v>2741</v>
      </c>
      <c r="Q1019" t="s">
        <v>3067</v>
      </c>
      <c r="R1019" t="s">
        <v>4282</v>
      </c>
      <c r="S1019">
        <v>438.53</v>
      </c>
    </row>
    <row r="1020" spans="1:19" x14ac:dyDescent="0.3">
      <c r="A1020" t="s">
        <v>553</v>
      </c>
      <c r="B1020" s="3">
        <v>45706</v>
      </c>
      <c r="C1020" t="s">
        <v>1753</v>
      </c>
      <c r="D1020" t="s">
        <v>2409</v>
      </c>
      <c r="E1020">
        <v>3</v>
      </c>
      <c r="F1020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>
        <v>7</v>
      </c>
      <c r="L1020" t="s">
        <v>4275</v>
      </c>
      <c r="M1020" t="s">
        <v>4282</v>
      </c>
      <c r="N1020">
        <v>1595.16</v>
      </c>
      <c r="O1020" t="s">
        <v>4290</v>
      </c>
      <c r="P1020" t="s">
        <v>2810</v>
      </c>
      <c r="Q1020" t="s">
        <v>3068</v>
      </c>
      <c r="R1020" t="s">
        <v>4282</v>
      </c>
      <c r="S1020">
        <v>227.88</v>
      </c>
    </row>
    <row r="1021" spans="1:19" x14ac:dyDescent="0.3">
      <c r="A1021" t="s">
        <v>774</v>
      </c>
      <c r="B1021" s="3">
        <v>45706</v>
      </c>
      <c r="C1021" t="s">
        <v>1971</v>
      </c>
      <c r="D1021" t="s">
        <v>2409</v>
      </c>
      <c r="E1021">
        <v>1</v>
      </c>
      <c r="F1021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>
        <v>5</v>
      </c>
      <c r="L1021" t="s">
        <v>4283</v>
      </c>
      <c r="M1021" t="s">
        <v>4282</v>
      </c>
      <c r="N1021">
        <v>39.56</v>
      </c>
      <c r="O1021" t="s">
        <v>4290</v>
      </c>
      <c r="P1021" t="s">
        <v>2570</v>
      </c>
      <c r="Q1021" t="s">
        <v>3065</v>
      </c>
      <c r="R1021" t="s">
        <v>4282</v>
      </c>
      <c r="S1021">
        <v>7.91</v>
      </c>
    </row>
    <row r="1022" spans="1:19" x14ac:dyDescent="0.3">
      <c r="A1022" t="s">
        <v>171</v>
      </c>
      <c r="B1022" s="3">
        <v>45709</v>
      </c>
      <c r="C1022" t="s">
        <v>1371</v>
      </c>
      <c r="D1022" t="s">
        <v>2403</v>
      </c>
      <c r="E1022">
        <v>2</v>
      </c>
      <c r="F1022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>
        <v>4</v>
      </c>
      <c r="L1022" t="s">
        <v>4277</v>
      </c>
      <c r="M1022" t="s">
        <v>4281</v>
      </c>
      <c r="N1022">
        <v>1129.1600000000001</v>
      </c>
      <c r="O1022" t="s">
        <v>4290</v>
      </c>
      <c r="P1022" t="s">
        <v>2535</v>
      </c>
      <c r="Q1022" t="s">
        <v>3066</v>
      </c>
      <c r="R1022" t="s">
        <v>4281</v>
      </c>
      <c r="S1022">
        <v>282.29000000000002</v>
      </c>
    </row>
    <row r="1023" spans="1:19" x14ac:dyDescent="0.3">
      <c r="A1023" t="s">
        <v>744</v>
      </c>
      <c r="B1023" s="3">
        <v>45710</v>
      </c>
      <c r="C1023" t="s">
        <v>1941</v>
      </c>
      <c r="D1023" t="s">
        <v>2404</v>
      </c>
      <c r="E1023">
        <v>1</v>
      </c>
      <c r="F1023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>
        <v>4</v>
      </c>
      <c r="L1023" t="s">
        <v>4275</v>
      </c>
      <c r="M1023" t="s">
        <v>4280</v>
      </c>
      <c r="N1023">
        <v>474.6</v>
      </c>
      <c r="O1023" t="s">
        <v>4290</v>
      </c>
      <c r="P1023" t="s">
        <v>2618</v>
      </c>
      <c r="Q1023" t="s">
        <v>3065</v>
      </c>
      <c r="R1023" t="s">
        <v>4280</v>
      </c>
      <c r="S1023">
        <v>118.65</v>
      </c>
    </row>
    <row r="1024" spans="1:19" x14ac:dyDescent="0.3">
      <c r="A1024" t="s">
        <v>760</v>
      </c>
      <c r="B1024" s="3">
        <v>45712</v>
      </c>
      <c r="C1024" t="s">
        <v>1957</v>
      </c>
      <c r="D1024" t="s">
        <v>2409</v>
      </c>
      <c r="E1024">
        <v>3</v>
      </c>
      <c r="F1024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>
        <v>6</v>
      </c>
      <c r="L1024" t="s">
        <v>4277</v>
      </c>
      <c r="M1024" t="s">
        <v>4279</v>
      </c>
      <c r="N1024">
        <v>1985.67</v>
      </c>
      <c r="O1024" t="s">
        <v>4290</v>
      </c>
      <c r="P1024" t="s">
        <v>2902</v>
      </c>
      <c r="Q1024" t="s">
        <v>3066</v>
      </c>
      <c r="R1024" t="s">
        <v>4279</v>
      </c>
      <c r="S1024">
        <v>330.94</v>
      </c>
    </row>
    <row r="1025" spans="1:19" x14ac:dyDescent="0.3">
      <c r="A1025" t="s">
        <v>1036</v>
      </c>
      <c r="B1025" s="3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>
        <v>1352.94</v>
      </c>
      <c r="O1025" t="s">
        <v>4290</v>
      </c>
      <c r="P1025" t="s">
        <v>2877</v>
      </c>
      <c r="Q1025" t="s">
        <v>3067</v>
      </c>
      <c r="R1025" t="s">
        <v>4279</v>
      </c>
      <c r="S1025">
        <v>169.12</v>
      </c>
    </row>
    <row r="1026" spans="1:19" x14ac:dyDescent="0.3">
      <c r="A1026" t="s">
        <v>103</v>
      </c>
      <c r="B1026" s="3">
        <v>45713</v>
      </c>
      <c r="C1026" t="s">
        <v>1303</v>
      </c>
      <c r="D1026" t="s">
        <v>2407</v>
      </c>
      <c r="E1026">
        <v>5</v>
      </c>
      <c r="F1026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>
        <v>8</v>
      </c>
      <c r="L1026" t="s">
        <v>4276</v>
      </c>
      <c r="M1026" t="s">
        <v>4282</v>
      </c>
      <c r="N1026">
        <v>2276.65</v>
      </c>
      <c r="O1026" t="s">
        <v>4290</v>
      </c>
      <c r="P1026" t="s">
        <v>2493</v>
      </c>
      <c r="Q1026" t="s">
        <v>3067</v>
      </c>
      <c r="R1026" t="s">
        <v>4282</v>
      </c>
      <c r="S1026">
        <v>284.58</v>
      </c>
    </row>
    <row r="1027" spans="1:19" x14ac:dyDescent="0.3">
      <c r="A1027" t="s">
        <v>487</v>
      </c>
      <c r="B1027" s="3">
        <v>45713</v>
      </c>
      <c r="C1027" t="s">
        <v>1687</v>
      </c>
      <c r="D1027" t="s">
        <v>2406</v>
      </c>
      <c r="E1027">
        <v>2</v>
      </c>
      <c r="F102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>
        <v>4</v>
      </c>
      <c r="L1027" t="s">
        <v>4283</v>
      </c>
      <c r="M1027" t="s">
        <v>4281</v>
      </c>
      <c r="N1027">
        <v>29.86</v>
      </c>
      <c r="O1027" t="s">
        <v>4290</v>
      </c>
      <c r="P1027" t="s">
        <v>2777</v>
      </c>
      <c r="Q1027" t="s">
        <v>3066</v>
      </c>
      <c r="R1027" t="s">
        <v>4281</v>
      </c>
      <c r="S1027">
        <v>7.46</v>
      </c>
    </row>
    <row r="1028" spans="1:19" x14ac:dyDescent="0.3">
      <c r="A1028" t="s">
        <v>563</v>
      </c>
      <c r="B1028" s="3">
        <v>45713</v>
      </c>
      <c r="C1028" t="s">
        <v>1763</v>
      </c>
      <c r="D1028" t="s">
        <v>2403</v>
      </c>
      <c r="E1028">
        <v>4</v>
      </c>
      <c r="F1028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>
        <v>8</v>
      </c>
      <c r="L1028" t="s">
        <v>4277</v>
      </c>
      <c r="M1028" t="s">
        <v>4278</v>
      </c>
      <c r="N1028">
        <v>2519.52</v>
      </c>
      <c r="O1028" t="s">
        <v>4290</v>
      </c>
      <c r="P1028" t="s">
        <v>2815</v>
      </c>
      <c r="Q1028" t="s">
        <v>3065</v>
      </c>
      <c r="R1028" t="s">
        <v>4278</v>
      </c>
      <c r="S1028">
        <v>314.94</v>
      </c>
    </row>
    <row r="1029" spans="1:19" x14ac:dyDescent="0.3">
      <c r="A1029" t="s">
        <v>542</v>
      </c>
      <c r="B1029" s="3">
        <v>45714</v>
      </c>
      <c r="C1029" t="s">
        <v>1742</v>
      </c>
      <c r="D1029" t="s">
        <v>2406</v>
      </c>
      <c r="E1029">
        <v>1</v>
      </c>
      <c r="F1029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>
        <v>2</v>
      </c>
      <c r="L1029" t="s">
        <v>4275</v>
      </c>
      <c r="M1029" t="s">
        <v>4279</v>
      </c>
      <c r="N1029">
        <v>628.89</v>
      </c>
      <c r="O1029" t="s">
        <v>4290</v>
      </c>
      <c r="P1029" t="s">
        <v>2765</v>
      </c>
      <c r="Q1029" t="s">
        <v>3067</v>
      </c>
      <c r="R1029" t="s">
        <v>4279</v>
      </c>
      <c r="S1029">
        <v>314.44</v>
      </c>
    </row>
    <row r="1030" spans="1:19" x14ac:dyDescent="0.3">
      <c r="A1030" t="s">
        <v>53</v>
      </c>
      <c r="B1030" s="3">
        <v>45715</v>
      </c>
      <c r="C1030" t="s">
        <v>1253</v>
      </c>
      <c r="D1030" t="s">
        <v>2407</v>
      </c>
      <c r="E1030">
        <v>3</v>
      </c>
      <c r="F1030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>
        <v>4</v>
      </c>
      <c r="L1030" t="s">
        <v>4275</v>
      </c>
      <c r="M1030" t="s">
        <v>4279</v>
      </c>
      <c r="N1030">
        <v>769.37999999999988</v>
      </c>
      <c r="O1030" t="s">
        <v>4290</v>
      </c>
      <c r="P1030" t="s">
        <v>2449</v>
      </c>
      <c r="Q1030" t="s">
        <v>3067</v>
      </c>
      <c r="R1030" t="s">
        <v>4279</v>
      </c>
      <c r="S1030">
        <v>192.34</v>
      </c>
    </row>
    <row r="1031" spans="1:19" x14ac:dyDescent="0.3">
      <c r="A1031" t="s">
        <v>966</v>
      </c>
      <c r="B1031" s="3">
        <v>45715</v>
      </c>
      <c r="C1031" t="s">
        <v>2160</v>
      </c>
      <c r="D1031" t="s">
        <v>2403</v>
      </c>
      <c r="E1031">
        <v>3</v>
      </c>
      <c r="F1031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>
        <v>5</v>
      </c>
      <c r="L1031" t="s">
        <v>4283</v>
      </c>
      <c r="M1031" t="s">
        <v>4281</v>
      </c>
      <c r="N1031">
        <v>1510.17</v>
      </c>
      <c r="O1031" t="s">
        <v>4290</v>
      </c>
      <c r="P1031" t="s">
        <v>2986</v>
      </c>
      <c r="Q1031" t="s">
        <v>3066</v>
      </c>
      <c r="R1031" t="s">
        <v>4281</v>
      </c>
      <c r="S1031">
        <v>302.02999999999997</v>
      </c>
    </row>
    <row r="1032" spans="1:19" x14ac:dyDescent="0.3">
      <c r="A1032" t="s">
        <v>297</v>
      </c>
      <c r="B1032" s="3">
        <v>45716</v>
      </c>
      <c r="C1032" t="s">
        <v>1497</v>
      </c>
      <c r="D1032" t="s">
        <v>2408</v>
      </c>
      <c r="E1032">
        <v>4</v>
      </c>
      <c r="F1032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>
        <v>6</v>
      </c>
      <c r="L1032" t="s">
        <v>4283</v>
      </c>
      <c r="M1032" t="s">
        <v>4282</v>
      </c>
      <c r="N1032">
        <v>2161.3200000000002</v>
      </c>
      <c r="O1032" t="s">
        <v>4290</v>
      </c>
      <c r="P1032" t="s">
        <v>2653</v>
      </c>
      <c r="Q1032" t="s">
        <v>3069</v>
      </c>
      <c r="R1032" t="s">
        <v>4282</v>
      </c>
      <c r="S1032">
        <v>360.22</v>
      </c>
    </row>
    <row r="1033" spans="1:19" x14ac:dyDescent="0.3">
      <c r="A1033" t="s">
        <v>675</v>
      </c>
      <c r="B1033" s="3">
        <v>45716</v>
      </c>
      <c r="C1033" t="s">
        <v>1874</v>
      </c>
      <c r="D1033" t="s">
        <v>2405</v>
      </c>
      <c r="E1033">
        <v>3</v>
      </c>
      <c r="F1033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>
        <v>6</v>
      </c>
      <c r="L1033" t="s">
        <v>4276</v>
      </c>
      <c r="M1033" t="s">
        <v>4282</v>
      </c>
      <c r="N1033">
        <v>1274.67</v>
      </c>
      <c r="O1033" t="s">
        <v>4290</v>
      </c>
      <c r="P1033" t="s">
        <v>2863</v>
      </c>
      <c r="Q1033" t="s">
        <v>3065</v>
      </c>
      <c r="R1033" t="s">
        <v>4282</v>
      </c>
      <c r="S1033">
        <v>212.44</v>
      </c>
    </row>
    <row r="1034" spans="1:19" x14ac:dyDescent="0.3">
      <c r="A1034" t="s">
        <v>998</v>
      </c>
      <c r="B1034" s="3">
        <v>45716</v>
      </c>
      <c r="C1034" t="s">
        <v>2191</v>
      </c>
      <c r="D1034" t="s">
        <v>2409</v>
      </c>
      <c r="E1034">
        <v>1</v>
      </c>
      <c r="F1034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>
        <v>1</v>
      </c>
      <c r="L1034" t="s">
        <v>4276</v>
      </c>
      <c r="M1034" t="s">
        <v>4281</v>
      </c>
      <c r="N1034">
        <v>77.64</v>
      </c>
      <c r="O1034" t="s">
        <v>4290</v>
      </c>
      <c r="P1034" t="s">
        <v>2417</v>
      </c>
      <c r="Q1034" t="s">
        <v>3067</v>
      </c>
      <c r="R1034" t="s">
        <v>4281</v>
      </c>
      <c r="S1034">
        <v>77.64</v>
      </c>
    </row>
    <row r="1035" spans="1:19" x14ac:dyDescent="0.3">
      <c r="A1035" t="s">
        <v>1043</v>
      </c>
      <c r="B1035" s="3">
        <v>45717</v>
      </c>
      <c r="C1035" t="s">
        <v>2235</v>
      </c>
      <c r="D1035" t="s">
        <v>2409</v>
      </c>
      <c r="E1035">
        <v>1</v>
      </c>
      <c r="F1035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>
        <v>4</v>
      </c>
      <c r="L1035" t="s">
        <v>4276</v>
      </c>
      <c r="M1035" t="s">
        <v>4280</v>
      </c>
      <c r="N1035">
        <v>87.06</v>
      </c>
      <c r="O1035" t="s">
        <v>4290</v>
      </c>
      <c r="P1035" t="s">
        <v>2988</v>
      </c>
      <c r="Q1035" t="s">
        <v>3067</v>
      </c>
      <c r="R1035" t="s">
        <v>4280</v>
      </c>
      <c r="S1035">
        <v>21.76</v>
      </c>
    </row>
    <row r="1036" spans="1:19" x14ac:dyDescent="0.3">
      <c r="A1036" t="s">
        <v>1153</v>
      </c>
      <c r="B1036" s="3">
        <v>45717</v>
      </c>
      <c r="C1036" t="s">
        <v>2256</v>
      </c>
      <c r="D1036" t="s">
        <v>2406</v>
      </c>
      <c r="E1036">
        <v>3</v>
      </c>
      <c r="F1036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>
        <v>4</v>
      </c>
      <c r="L1036" t="s">
        <v>4276</v>
      </c>
      <c r="M1036" t="s">
        <v>4280</v>
      </c>
      <c r="N1036">
        <v>1505.46</v>
      </c>
      <c r="O1036" t="s">
        <v>4290</v>
      </c>
      <c r="P1036" t="s">
        <v>2438</v>
      </c>
      <c r="Q1036" t="s">
        <v>3068</v>
      </c>
      <c r="R1036" t="s">
        <v>4280</v>
      </c>
      <c r="S1036">
        <v>376.36</v>
      </c>
    </row>
    <row r="1037" spans="1:19" x14ac:dyDescent="0.3">
      <c r="A1037" t="s">
        <v>496</v>
      </c>
      <c r="B1037" s="3">
        <v>45718</v>
      </c>
      <c r="C1037" t="s">
        <v>1696</v>
      </c>
      <c r="D1037" t="s">
        <v>2403</v>
      </c>
      <c r="E1037">
        <v>3</v>
      </c>
      <c r="F103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>
        <v>6</v>
      </c>
      <c r="L1037" t="s">
        <v>4283</v>
      </c>
      <c r="M1037" t="s">
        <v>4278</v>
      </c>
      <c r="N1037">
        <v>1144.23</v>
      </c>
      <c r="O1037" t="s">
        <v>4290</v>
      </c>
      <c r="P1037" t="s">
        <v>2487</v>
      </c>
      <c r="Q1037" t="s">
        <v>3066</v>
      </c>
      <c r="R1037" t="s">
        <v>4278</v>
      </c>
      <c r="S1037">
        <v>190.7</v>
      </c>
    </row>
    <row r="1038" spans="1:19" x14ac:dyDescent="0.3">
      <c r="A1038" t="s">
        <v>720</v>
      </c>
      <c r="B1038" s="3">
        <v>45718</v>
      </c>
      <c r="C1038" t="s">
        <v>1918</v>
      </c>
      <c r="D1038" t="s">
        <v>2409</v>
      </c>
      <c r="E1038">
        <v>5</v>
      </c>
      <c r="F1038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>
        <v>9</v>
      </c>
      <c r="L1038" t="s">
        <v>4276</v>
      </c>
      <c r="M1038" t="s">
        <v>4281</v>
      </c>
      <c r="N1038">
        <v>1140.45</v>
      </c>
      <c r="O1038" t="s">
        <v>4290</v>
      </c>
      <c r="P1038" t="s">
        <v>2720</v>
      </c>
      <c r="Q1038" t="s">
        <v>3068</v>
      </c>
      <c r="R1038" t="s">
        <v>4281</v>
      </c>
      <c r="S1038">
        <v>126.72</v>
      </c>
    </row>
    <row r="1039" spans="1:19" x14ac:dyDescent="0.3">
      <c r="A1039" t="s">
        <v>349</v>
      </c>
      <c r="B1039" s="3">
        <v>45719</v>
      </c>
      <c r="C1039" t="s">
        <v>1549</v>
      </c>
      <c r="D1039" t="s">
        <v>2405</v>
      </c>
      <c r="E1039">
        <v>3</v>
      </c>
      <c r="F1039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>
        <v>4</v>
      </c>
      <c r="L1039" t="s">
        <v>4283</v>
      </c>
      <c r="M1039" t="s">
        <v>4280</v>
      </c>
      <c r="N1039">
        <v>617.58000000000004</v>
      </c>
      <c r="O1039" t="s">
        <v>4290</v>
      </c>
      <c r="P1039" t="s">
        <v>2674</v>
      </c>
      <c r="Q1039" t="s">
        <v>3068</v>
      </c>
      <c r="R1039" t="s">
        <v>4280</v>
      </c>
      <c r="S1039">
        <v>154.4</v>
      </c>
    </row>
    <row r="1040" spans="1:19" x14ac:dyDescent="0.3">
      <c r="A1040" t="s">
        <v>180</v>
      </c>
      <c r="B1040" s="3">
        <v>45720</v>
      </c>
      <c r="C1040" t="s">
        <v>1380</v>
      </c>
      <c r="D1040" t="s">
        <v>2406</v>
      </c>
      <c r="E1040">
        <v>3</v>
      </c>
      <c r="F1040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>
        <v>6</v>
      </c>
      <c r="L1040" t="s">
        <v>4277</v>
      </c>
      <c r="M1040" t="s">
        <v>4278</v>
      </c>
      <c r="N1040">
        <v>258.87</v>
      </c>
      <c r="O1040" t="s">
        <v>4290</v>
      </c>
      <c r="P1040" t="s">
        <v>2461</v>
      </c>
      <c r="Q1040" t="s">
        <v>3069</v>
      </c>
      <c r="R1040" t="s">
        <v>4278</v>
      </c>
      <c r="S1040">
        <v>43.14</v>
      </c>
    </row>
    <row r="1041" spans="1:19" x14ac:dyDescent="0.3">
      <c r="A1041" t="s">
        <v>722</v>
      </c>
      <c r="B1041" s="3">
        <v>45720</v>
      </c>
      <c r="C1041" t="s">
        <v>1920</v>
      </c>
      <c r="D1041" t="s">
        <v>2407</v>
      </c>
      <c r="E1041">
        <v>1</v>
      </c>
      <c r="F1041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>
        <v>3</v>
      </c>
      <c r="L1041" t="s">
        <v>4276</v>
      </c>
      <c r="M1041" t="s">
        <v>4278</v>
      </c>
      <c r="N1041">
        <v>665.11</v>
      </c>
      <c r="O1041" t="s">
        <v>4290</v>
      </c>
      <c r="P1041" t="s">
        <v>2840</v>
      </c>
      <c r="Q1041" t="s">
        <v>3069</v>
      </c>
      <c r="R1041" t="s">
        <v>4278</v>
      </c>
      <c r="S1041">
        <v>221.7</v>
      </c>
    </row>
    <row r="1042" spans="1:19" x14ac:dyDescent="0.3">
      <c r="A1042" t="s">
        <v>491</v>
      </c>
      <c r="B1042" s="3">
        <v>45721</v>
      </c>
      <c r="C1042" t="s">
        <v>1691</v>
      </c>
      <c r="D1042" t="s">
        <v>2404</v>
      </c>
      <c r="E1042">
        <v>2</v>
      </c>
      <c r="F1042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>
        <v>5</v>
      </c>
      <c r="L1042" t="s">
        <v>4275</v>
      </c>
      <c r="M1042" t="s">
        <v>4282</v>
      </c>
      <c r="N1042">
        <v>507.48</v>
      </c>
      <c r="O1042" t="s">
        <v>4290</v>
      </c>
      <c r="P1042" t="s">
        <v>2780</v>
      </c>
      <c r="Q1042" t="s">
        <v>3066</v>
      </c>
      <c r="R1042" t="s">
        <v>4282</v>
      </c>
      <c r="S1042">
        <v>101.5</v>
      </c>
    </row>
    <row r="1043" spans="1:19" x14ac:dyDescent="0.3">
      <c r="A1043" t="s">
        <v>912</v>
      </c>
      <c r="B1043" s="3">
        <v>45721</v>
      </c>
      <c r="C1043" t="s">
        <v>2108</v>
      </c>
      <c r="D1043" t="s">
        <v>2403</v>
      </c>
      <c r="E1043">
        <v>3</v>
      </c>
      <c r="F1043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>
        <v>6</v>
      </c>
      <c r="L1043" t="s">
        <v>4283</v>
      </c>
      <c r="M1043" t="s">
        <v>4279</v>
      </c>
      <c r="N1043">
        <v>475.11</v>
      </c>
      <c r="O1043" t="s">
        <v>4290</v>
      </c>
      <c r="P1043" t="s">
        <v>2950</v>
      </c>
      <c r="Q1043" t="s">
        <v>3069</v>
      </c>
      <c r="R1043" t="s">
        <v>4279</v>
      </c>
      <c r="S1043">
        <v>79.180000000000007</v>
      </c>
    </row>
    <row r="1044" spans="1:19" x14ac:dyDescent="0.3">
      <c r="A1044" t="s">
        <v>1065</v>
      </c>
      <c r="B1044" s="3">
        <v>45721</v>
      </c>
      <c r="C1044" t="s">
        <v>2257</v>
      </c>
      <c r="D1044" t="s">
        <v>2403</v>
      </c>
      <c r="E1044">
        <v>5</v>
      </c>
      <c r="F1044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>
        <v>5</v>
      </c>
      <c r="L1044" t="s">
        <v>4276</v>
      </c>
      <c r="M1044" t="s">
        <v>4281</v>
      </c>
      <c r="N1044">
        <v>132.15</v>
      </c>
      <c r="O1044" t="s">
        <v>4290</v>
      </c>
      <c r="P1044" t="s">
        <v>3017</v>
      </c>
      <c r="Q1044" t="s">
        <v>3068</v>
      </c>
      <c r="R1044" t="s">
        <v>4281</v>
      </c>
      <c r="S1044">
        <v>26.43</v>
      </c>
    </row>
    <row r="1045" spans="1:19" x14ac:dyDescent="0.3">
      <c r="A1045" t="s">
        <v>358</v>
      </c>
      <c r="B1045" s="3">
        <v>45722</v>
      </c>
      <c r="C1045" t="s">
        <v>1558</v>
      </c>
      <c r="D1045" t="s">
        <v>2405</v>
      </c>
      <c r="E1045">
        <v>3</v>
      </c>
      <c r="F1045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>
        <v>3</v>
      </c>
      <c r="L1045" t="s">
        <v>4275</v>
      </c>
      <c r="M1045" t="s">
        <v>4278</v>
      </c>
      <c r="N1045">
        <v>1870.02</v>
      </c>
      <c r="O1045" t="s">
        <v>4290</v>
      </c>
      <c r="P1045" t="s">
        <v>2697</v>
      </c>
      <c r="Q1045" t="s">
        <v>3066</v>
      </c>
      <c r="R1045" t="s">
        <v>4278</v>
      </c>
      <c r="S1045">
        <v>623.34</v>
      </c>
    </row>
    <row r="1046" spans="1:19" x14ac:dyDescent="0.3">
      <c r="A1046" t="s">
        <v>629</v>
      </c>
      <c r="B1046" s="3">
        <v>45723</v>
      </c>
      <c r="C1046" t="s">
        <v>1828</v>
      </c>
      <c r="D1046" t="s">
        <v>2403</v>
      </c>
      <c r="E1046">
        <v>5</v>
      </c>
      <c r="F1046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>
        <v>10</v>
      </c>
      <c r="L1046" t="s">
        <v>4277</v>
      </c>
      <c r="M1046" t="s">
        <v>4281</v>
      </c>
      <c r="N1046">
        <v>2300.6999999999998</v>
      </c>
      <c r="O1046" t="s">
        <v>4290</v>
      </c>
      <c r="P1046" t="s">
        <v>2661</v>
      </c>
      <c r="Q1046" t="s">
        <v>3067</v>
      </c>
      <c r="R1046" t="s">
        <v>4281</v>
      </c>
      <c r="S1046">
        <v>230.07</v>
      </c>
    </row>
    <row r="1047" spans="1:19" x14ac:dyDescent="0.3">
      <c r="A1047" t="s">
        <v>746</v>
      </c>
      <c r="B1047" s="3">
        <v>45723</v>
      </c>
      <c r="C1047" t="s">
        <v>1943</v>
      </c>
      <c r="D1047" t="s">
        <v>2408</v>
      </c>
      <c r="E1047">
        <v>1</v>
      </c>
      <c r="F104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>
        <v>2</v>
      </c>
      <c r="L1047" t="s">
        <v>4283</v>
      </c>
      <c r="M1047" t="s">
        <v>4282</v>
      </c>
      <c r="N1047">
        <v>132.05000000000001</v>
      </c>
      <c r="O1047" t="s">
        <v>4290</v>
      </c>
      <c r="P1047" t="s">
        <v>2876</v>
      </c>
      <c r="Q1047" t="s">
        <v>3066</v>
      </c>
      <c r="R1047" t="s">
        <v>4282</v>
      </c>
      <c r="S1047">
        <v>66.02</v>
      </c>
    </row>
    <row r="1048" spans="1:19" x14ac:dyDescent="0.3">
      <c r="A1048" t="s">
        <v>1091</v>
      </c>
      <c r="B1048" s="3">
        <v>45723</v>
      </c>
      <c r="C1048" t="s">
        <v>2283</v>
      </c>
      <c r="D1048" t="s">
        <v>2407</v>
      </c>
      <c r="E1048">
        <v>3</v>
      </c>
      <c r="F1048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>
        <v>8</v>
      </c>
      <c r="L1048" t="s">
        <v>4275</v>
      </c>
      <c r="M1048" t="s">
        <v>4279</v>
      </c>
      <c r="N1048">
        <v>915.48</v>
      </c>
      <c r="O1048" t="s">
        <v>4290</v>
      </c>
      <c r="P1048" t="s">
        <v>2517</v>
      </c>
      <c r="Q1048" t="s">
        <v>3067</v>
      </c>
      <c r="R1048" t="s">
        <v>4279</v>
      </c>
      <c r="S1048">
        <v>114.44</v>
      </c>
    </row>
    <row r="1049" spans="1:19" x14ac:dyDescent="0.3">
      <c r="A1049" t="s">
        <v>205</v>
      </c>
      <c r="B1049" s="3">
        <v>45724</v>
      </c>
      <c r="C1049" t="s">
        <v>1405</v>
      </c>
      <c r="D1049" t="s">
        <v>2408</v>
      </c>
      <c r="E1049">
        <v>2</v>
      </c>
      <c r="F1049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>
        <v>4</v>
      </c>
      <c r="L1049" t="s">
        <v>4276</v>
      </c>
      <c r="M1049" t="s">
        <v>4282</v>
      </c>
      <c r="N1049">
        <v>977.74</v>
      </c>
      <c r="O1049" t="s">
        <v>4290</v>
      </c>
      <c r="P1049" t="s">
        <v>2583</v>
      </c>
      <c r="Q1049" t="s">
        <v>3066</v>
      </c>
      <c r="R1049" t="s">
        <v>4282</v>
      </c>
      <c r="S1049">
        <v>244.44</v>
      </c>
    </row>
    <row r="1050" spans="1:19" x14ac:dyDescent="0.3">
      <c r="A1050" t="s">
        <v>840</v>
      </c>
      <c r="B1050" s="3">
        <v>45724</v>
      </c>
      <c r="C1050" t="s">
        <v>2036</v>
      </c>
      <c r="D1050" t="s">
        <v>2407</v>
      </c>
      <c r="E1050">
        <v>3</v>
      </c>
      <c r="F1050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>
        <v>8</v>
      </c>
      <c r="L1050" t="s">
        <v>4277</v>
      </c>
      <c r="M1050" t="s">
        <v>4280</v>
      </c>
      <c r="N1050">
        <v>1391.43</v>
      </c>
      <c r="O1050" t="s">
        <v>4290</v>
      </c>
      <c r="P1050" t="s">
        <v>2570</v>
      </c>
      <c r="Q1050" t="s">
        <v>3066</v>
      </c>
      <c r="R1050" t="s">
        <v>4280</v>
      </c>
      <c r="S1050">
        <v>173.93</v>
      </c>
    </row>
    <row r="1051" spans="1:19" x14ac:dyDescent="0.3">
      <c r="A1051" t="s">
        <v>93</v>
      </c>
      <c r="B1051" s="3">
        <v>45726</v>
      </c>
      <c r="C1051" t="s">
        <v>1293</v>
      </c>
      <c r="D1051" t="s">
        <v>2405</v>
      </c>
      <c r="E1051">
        <v>2</v>
      </c>
      <c r="F1051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>
        <v>2</v>
      </c>
      <c r="L1051" t="s">
        <v>4283</v>
      </c>
      <c r="M1051" t="s">
        <v>4281</v>
      </c>
      <c r="N1051">
        <v>623.82000000000005</v>
      </c>
      <c r="O1051" t="s">
        <v>4290</v>
      </c>
      <c r="P1051" t="s">
        <v>2483</v>
      </c>
      <c r="Q1051" t="s">
        <v>3066</v>
      </c>
      <c r="R1051" t="s">
        <v>4281</v>
      </c>
      <c r="S1051">
        <v>311.91000000000003</v>
      </c>
    </row>
    <row r="1052" spans="1:19" x14ac:dyDescent="0.3">
      <c r="A1052" t="s">
        <v>1176</v>
      </c>
      <c r="B1052" s="3">
        <v>45727</v>
      </c>
      <c r="C1052" t="s">
        <v>2365</v>
      </c>
      <c r="D1052" t="s">
        <v>2404</v>
      </c>
      <c r="E1052">
        <v>2</v>
      </c>
      <c r="F1052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>
        <v>3</v>
      </c>
      <c r="L1052" t="s">
        <v>4277</v>
      </c>
      <c r="M1052" t="s">
        <v>4279</v>
      </c>
      <c r="N1052">
        <v>448.74</v>
      </c>
      <c r="O1052" t="s">
        <v>4290</v>
      </c>
      <c r="P1052" t="s">
        <v>3049</v>
      </c>
      <c r="Q1052" t="s">
        <v>3065</v>
      </c>
      <c r="R1052" t="s">
        <v>4279</v>
      </c>
      <c r="S1052">
        <v>149.58000000000001</v>
      </c>
    </row>
    <row r="1053" spans="1:19" x14ac:dyDescent="0.3">
      <c r="A1053" t="s">
        <v>707</v>
      </c>
      <c r="B1053" s="3">
        <v>45728</v>
      </c>
      <c r="C1053" t="s">
        <v>1905</v>
      </c>
      <c r="D1053" t="s">
        <v>2403</v>
      </c>
      <c r="E1053">
        <v>1</v>
      </c>
      <c r="F1053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>
        <v>4</v>
      </c>
      <c r="L1053" t="s">
        <v>4283</v>
      </c>
      <c r="M1053" t="s">
        <v>4279</v>
      </c>
      <c r="N1053">
        <v>176.58</v>
      </c>
      <c r="O1053" t="s">
        <v>4290</v>
      </c>
      <c r="P1053" t="s">
        <v>2878</v>
      </c>
      <c r="Q1053" t="s">
        <v>3065</v>
      </c>
      <c r="R1053" t="s">
        <v>4279</v>
      </c>
      <c r="S1053">
        <v>44.14</v>
      </c>
    </row>
    <row r="1054" spans="1:19" x14ac:dyDescent="0.3">
      <c r="A1054" t="s">
        <v>761</v>
      </c>
      <c r="B1054" s="3">
        <v>45728</v>
      </c>
      <c r="C1054" t="s">
        <v>1958</v>
      </c>
      <c r="D1054" t="s">
        <v>2405</v>
      </c>
      <c r="E1054">
        <v>2</v>
      </c>
      <c r="F1054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>
        <v>7</v>
      </c>
      <c r="L1054" t="s">
        <v>4276</v>
      </c>
      <c r="M1054" t="s">
        <v>4278</v>
      </c>
      <c r="N1054">
        <v>519.16</v>
      </c>
      <c r="O1054" t="s">
        <v>4290</v>
      </c>
      <c r="P1054" t="s">
        <v>2903</v>
      </c>
      <c r="Q1054" t="s">
        <v>3065</v>
      </c>
      <c r="R1054" t="s">
        <v>4278</v>
      </c>
      <c r="S1054">
        <v>74.17</v>
      </c>
    </row>
    <row r="1055" spans="1:19" x14ac:dyDescent="0.3">
      <c r="A1055" t="s">
        <v>894</v>
      </c>
      <c r="B1055" s="3">
        <v>45728</v>
      </c>
      <c r="C1055" t="s">
        <v>2090</v>
      </c>
      <c r="D1055" t="s">
        <v>2408</v>
      </c>
      <c r="E1055">
        <v>4</v>
      </c>
      <c r="F1055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>
        <v>8</v>
      </c>
      <c r="L1055" t="s">
        <v>4275</v>
      </c>
      <c r="M1055" t="s">
        <v>4281</v>
      </c>
      <c r="N1055">
        <v>934.8</v>
      </c>
      <c r="O1055" t="s">
        <v>4290</v>
      </c>
      <c r="P1055" t="s">
        <v>2620</v>
      </c>
      <c r="Q1055" t="s">
        <v>3066</v>
      </c>
      <c r="R1055" t="s">
        <v>4281</v>
      </c>
      <c r="S1055">
        <v>116.85</v>
      </c>
    </row>
    <row r="1056" spans="1:19" x14ac:dyDescent="0.3">
      <c r="A1056" t="s">
        <v>934</v>
      </c>
      <c r="B1056" s="3">
        <v>45728</v>
      </c>
      <c r="C1056" t="s">
        <v>2130</v>
      </c>
      <c r="D1056" t="s">
        <v>2405</v>
      </c>
      <c r="E1056">
        <v>2</v>
      </c>
      <c r="F1056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>
        <v>6</v>
      </c>
      <c r="L1056" t="s">
        <v>4283</v>
      </c>
      <c r="M1056" t="s">
        <v>4278</v>
      </c>
      <c r="N1056">
        <v>856.18</v>
      </c>
      <c r="O1056" t="s">
        <v>4290</v>
      </c>
      <c r="P1056" t="s">
        <v>2674</v>
      </c>
      <c r="Q1056" t="s">
        <v>3067</v>
      </c>
      <c r="R1056" t="s">
        <v>4278</v>
      </c>
      <c r="S1056">
        <v>142.69999999999999</v>
      </c>
    </row>
    <row r="1057" spans="1:19" x14ac:dyDescent="0.3">
      <c r="A1057" t="s">
        <v>510</v>
      </c>
      <c r="B1057" s="3">
        <v>45730</v>
      </c>
      <c r="C1057" t="s">
        <v>1710</v>
      </c>
      <c r="D1057" t="s">
        <v>2407</v>
      </c>
      <c r="E1057">
        <v>3</v>
      </c>
      <c r="F105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>
        <v>3</v>
      </c>
      <c r="L1057" t="s">
        <v>4275</v>
      </c>
      <c r="M1057" t="s">
        <v>4282</v>
      </c>
      <c r="N1057">
        <v>603.63</v>
      </c>
      <c r="O1057" t="s">
        <v>4290</v>
      </c>
      <c r="P1057" t="s">
        <v>2789</v>
      </c>
      <c r="Q1057" t="s">
        <v>3066</v>
      </c>
      <c r="R1057" t="s">
        <v>4282</v>
      </c>
      <c r="S1057">
        <v>201.21</v>
      </c>
    </row>
    <row r="1058" spans="1:19" x14ac:dyDescent="0.3">
      <c r="A1058" t="s">
        <v>847</v>
      </c>
      <c r="B1058" s="3">
        <v>45730</v>
      </c>
      <c r="C1058" t="s">
        <v>2043</v>
      </c>
      <c r="D1058" t="s">
        <v>2404</v>
      </c>
      <c r="E1058">
        <v>5</v>
      </c>
      <c r="F1058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>
        <v>5</v>
      </c>
      <c r="L1058" t="s">
        <v>4277</v>
      </c>
      <c r="M1058" t="s">
        <v>4279</v>
      </c>
      <c r="N1058">
        <v>391.45</v>
      </c>
      <c r="O1058" t="s">
        <v>4290</v>
      </c>
      <c r="P1058" t="s">
        <v>2948</v>
      </c>
      <c r="Q1058" t="s">
        <v>3067</v>
      </c>
      <c r="R1058" t="s">
        <v>4279</v>
      </c>
      <c r="S1058">
        <v>78.290000000000006</v>
      </c>
    </row>
    <row r="1059" spans="1:19" x14ac:dyDescent="0.3">
      <c r="A1059" t="s">
        <v>202</v>
      </c>
      <c r="B1059" s="3">
        <v>45731</v>
      </c>
      <c r="C1059" t="s">
        <v>1402</v>
      </c>
      <c r="D1059" t="s">
        <v>2406</v>
      </c>
      <c r="E1059">
        <v>2</v>
      </c>
      <c r="F1059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>
        <v>2</v>
      </c>
      <c r="L1059" t="s">
        <v>4276</v>
      </c>
      <c r="M1059" t="s">
        <v>4279</v>
      </c>
      <c r="N1059">
        <v>727.82</v>
      </c>
      <c r="O1059" t="s">
        <v>4290</v>
      </c>
      <c r="P1059" t="s">
        <v>2580</v>
      </c>
      <c r="Q1059" t="s">
        <v>3068</v>
      </c>
      <c r="R1059" t="s">
        <v>4279</v>
      </c>
      <c r="S1059">
        <v>363.91</v>
      </c>
    </row>
    <row r="1060" spans="1:19" x14ac:dyDescent="0.3">
      <c r="A1060" t="s">
        <v>827</v>
      </c>
      <c r="B1060" s="3">
        <v>45731</v>
      </c>
      <c r="C1060" t="s">
        <v>2023</v>
      </c>
      <c r="D1060" t="s">
        <v>2408</v>
      </c>
      <c r="E1060">
        <v>5</v>
      </c>
      <c r="F1060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>
        <v>8</v>
      </c>
      <c r="L1060" t="s">
        <v>4276</v>
      </c>
      <c r="M1060" t="s">
        <v>4280</v>
      </c>
      <c r="N1060">
        <v>1462.7</v>
      </c>
      <c r="O1060" t="s">
        <v>4290</v>
      </c>
      <c r="P1060" t="s">
        <v>2649</v>
      </c>
      <c r="Q1060" t="s">
        <v>3065</v>
      </c>
      <c r="R1060" t="s">
        <v>4280</v>
      </c>
      <c r="S1060">
        <v>182.84</v>
      </c>
    </row>
    <row r="1061" spans="1:19" x14ac:dyDescent="0.3">
      <c r="A1061" t="s">
        <v>836</v>
      </c>
      <c r="B1061" s="3">
        <v>45731</v>
      </c>
      <c r="C1061" t="s">
        <v>2032</v>
      </c>
      <c r="D1061" t="s">
        <v>2404</v>
      </c>
      <c r="E1061">
        <v>1</v>
      </c>
      <c r="F1061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>
        <v>1</v>
      </c>
      <c r="L1061" t="s">
        <v>4275</v>
      </c>
      <c r="M1061" t="s">
        <v>4282</v>
      </c>
      <c r="N1061">
        <v>479.56</v>
      </c>
      <c r="O1061" t="s">
        <v>4290</v>
      </c>
      <c r="P1061" t="s">
        <v>2476</v>
      </c>
      <c r="Q1061" t="s">
        <v>3068</v>
      </c>
      <c r="R1061" t="s">
        <v>4282</v>
      </c>
      <c r="S1061">
        <v>479.56</v>
      </c>
    </row>
    <row r="1062" spans="1:19" x14ac:dyDescent="0.3">
      <c r="A1062" t="s">
        <v>1052</v>
      </c>
      <c r="B1062" s="3">
        <v>45731</v>
      </c>
      <c r="C1062" t="s">
        <v>2244</v>
      </c>
      <c r="D1062" t="s">
        <v>2405</v>
      </c>
      <c r="E1062">
        <v>3</v>
      </c>
      <c r="F1062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>
        <v>5</v>
      </c>
      <c r="L1062" t="s">
        <v>4283</v>
      </c>
      <c r="M1062" t="s">
        <v>4281</v>
      </c>
      <c r="N1062">
        <v>1087.5899999999999</v>
      </c>
      <c r="O1062" t="s">
        <v>4290</v>
      </c>
      <c r="P1062" t="s">
        <v>3010</v>
      </c>
      <c r="Q1062" t="s">
        <v>3065</v>
      </c>
      <c r="R1062" t="s">
        <v>4281</v>
      </c>
      <c r="S1062">
        <v>217.52</v>
      </c>
    </row>
    <row r="1063" spans="1:19" x14ac:dyDescent="0.3">
      <c r="A1063" t="s">
        <v>1103</v>
      </c>
      <c r="B1063" s="3">
        <v>45731</v>
      </c>
      <c r="C1063" t="s">
        <v>2295</v>
      </c>
      <c r="D1063" t="s">
        <v>2405</v>
      </c>
      <c r="E1063">
        <v>2</v>
      </c>
      <c r="F1063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>
        <v>2</v>
      </c>
      <c r="L1063" t="s">
        <v>4283</v>
      </c>
      <c r="M1063" t="s">
        <v>4278</v>
      </c>
      <c r="N1063">
        <v>1199.48</v>
      </c>
      <c r="O1063" t="s">
        <v>4290</v>
      </c>
      <c r="P1063" t="s">
        <v>2473</v>
      </c>
      <c r="Q1063" t="s">
        <v>3068</v>
      </c>
      <c r="R1063" t="s">
        <v>4278</v>
      </c>
      <c r="S1063">
        <v>599.74</v>
      </c>
    </row>
    <row r="1064" spans="1:19" x14ac:dyDescent="0.3">
      <c r="A1064" t="s">
        <v>1141</v>
      </c>
      <c r="B1064" s="3">
        <v>45731</v>
      </c>
      <c r="C1064" t="s">
        <v>2331</v>
      </c>
      <c r="D1064" t="s">
        <v>2407</v>
      </c>
      <c r="E1064">
        <v>3</v>
      </c>
      <c r="F1064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>
        <v>6</v>
      </c>
      <c r="L1064" t="s">
        <v>4275</v>
      </c>
      <c r="M1064" t="s">
        <v>4280</v>
      </c>
      <c r="N1064">
        <v>1808.25</v>
      </c>
      <c r="O1064" t="s">
        <v>4290</v>
      </c>
      <c r="P1064" t="s">
        <v>2939</v>
      </c>
      <c r="Q1064" t="s">
        <v>3067</v>
      </c>
      <c r="R1064" t="s">
        <v>4280</v>
      </c>
      <c r="S1064">
        <v>301.38</v>
      </c>
    </row>
    <row r="1065" spans="1:19" x14ac:dyDescent="0.3">
      <c r="A1065" t="s">
        <v>440</v>
      </c>
      <c r="B1065" s="3">
        <v>45732</v>
      </c>
      <c r="C1065" t="s">
        <v>1640</v>
      </c>
      <c r="D1065" t="s">
        <v>2403</v>
      </c>
      <c r="E1065">
        <v>5</v>
      </c>
      <c r="F1065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>
        <v>10</v>
      </c>
      <c r="L1065" t="s">
        <v>4283</v>
      </c>
      <c r="M1065" t="s">
        <v>4281</v>
      </c>
      <c r="N1065">
        <v>287.25</v>
      </c>
      <c r="O1065" t="s">
        <v>4290</v>
      </c>
      <c r="P1065" t="s">
        <v>2747</v>
      </c>
      <c r="Q1065" t="s">
        <v>3069</v>
      </c>
      <c r="R1065" t="s">
        <v>4281</v>
      </c>
      <c r="S1065">
        <v>28.72</v>
      </c>
    </row>
    <row r="1066" spans="1:19" x14ac:dyDescent="0.3">
      <c r="A1066" t="s">
        <v>221</v>
      </c>
      <c r="B1066" s="3">
        <v>45734</v>
      </c>
      <c r="C1066" t="s">
        <v>1421</v>
      </c>
      <c r="D1066" t="s">
        <v>2404</v>
      </c>
      <c r="E1066">
        <v>1</v>
      </c>
      <c r="F1066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>
        <v>3</v>
      </c>
      <c r="L1066" t="s">
        <v>4283</v>
      </c>
      <c r="M1066" t="s">
        <v>4282</v>
      </c>
      <c r="N1066">
        <v>121.96</v>
      </c>
      <c r="O1066" t="s">
        <v>4290</v>
      </c>
      <c r="P1066" t="s">
        <v>2593</v>
      </c>
      <c r="Q1066" t="s">
        <v>3065</v>
      </c>
      <c r="R1066" t="s">
        <v>4282</v>
      </c>
      <c r="S1066">
        <v>40.65</v>
      </c>
    </row>
    <row r="1067" spans="1:19" x14ac:dyDescent="0.3">
      <c r="A1067" t="s">
        <v>196</v>
      </c>
      <c r="B1067" s="3">
        <v>45735</v>
      </c>
      <c r="C1067" t="s">
        <v>1396</v>
      </c>
      <c r="D1067" t="s">
        <v>2409</v>
      </c>
      <c r="E1067">
        <v>1</v>
      </c>
      <c r="F106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>
        <v>4</v>
      </c>
      <c r="L1067" t="s">
        <v>4277</v>
      </c>
      <c r="M1067" t="s">
        <v>4282</v>
      </c>
      <c r="N1067">
        <v>600.54</v>
      </c>
      <c r="O1067" t="s">
        <v>4290</v>
      </c>
      <c r="P1067" t="s">
        <v>2574</v>
      </c>
      <c r="Q1067" t="s">
        <v>3065</v>
      </c>
      <c r="R1067" t="s">
        <v>4282</v>
      </c>
      <c r="S1067">
        <v>150.13999999999999</v>
      </c>
    </row>
    <row r="1068" spans="1:19" x14ac:dyDescent="0.3">
      <c r="A1068" t="s">
        <v>598</v>
      </c>
      <c r="B1068" s="3">
        <v>45737</v>
      </c>
      <c r="C1068" t="s">
        <v>1798</v>
      </c>
      <c r="D1068" t="s">
        <v>2406</v>
      </c>
      <c r="E1068">
        <v>4</v>
      </c>
      <c r="F1068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>
        <v>6</v>
      </c>
      <c r="L1068" t="s">
        <v>4275</v>
      </c>
      <c r="M1068" t="s">
        <v>4282</v>
      </c>
      <c r="N1068">
        <v>580.20000000000005</v>
      </c>
      <c r="O1068" t="s">
        <v>4290</v>
      </c>
      <c r="P1068" t="s">
        <v>2827</v>
      </c>
      <c r="Q1068" t="s">
        <v>3066</v>
      </c>
      <c r="R1068" t="s">
        <v>4282</v>
      </c>
      <c r="S1068">
        <v>96.7</v>
      </c>
    </row>
    <row r="1069" spans="1:19" x14ac:dyDescent="0.3">
      <c r="A1069" t="s">
        <v>791</v>
      </c>
      <c r="B1069" s="3">
        <v>45737</v>
      </c>
      <c r="C1069" t="s">
        <v>1988</v>
      </c>
      <c r="D1069" t="s">
        <v>2406</v>
      </c>
      <c r="E1069">
        <v>5</v>
      </c>
      <c r="F1069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>
        <v>7</v>
      </c>
      <c r="L1069" t="s">
        <v>4283</v>
      </c>
      <c r="M1069" t="s">
        <v>4281</v>
      </c>
      <c r="N1069">
        <v>322.45</v>
      </c>
      <c r="O1069" t="s">
        <v>4290</v>
      </c>
      <c r="P1069" t="s">
        <v>2432</v>
      </c>
      <c r="Q1069" t="s">
        <v>3066</v>
      </c>
      <c r="R1069" t="s">
        <v>4281</v>
      </c>
      <c r="S1069">
        <v>46.06</v>
      </c>
    </row>
    <row r="1070" spans="1:19" x14ac:dyDescent="0.3">
      <c r="A1070" t="s">
        <v>44</v>
      </c>
      <c r="B1070" s="3">
        <v>45738</v>
      </c>
      <c r="C1070" t="s">
        <v>1244</v>
      </c>
      <c r="D1070" t="s">
        <v>2403</v>
      </c>
      <c r="E1070">
        <v>2</v>
      </c>
      <c r="F1070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>
        <v>5</v>
      </c>
      <c r="L1070" t="s">
        <v>4275</v>
      </c>
      <c r="M1070" t="s">
        <v>4279</v>
      </c>
      <c r="N1070">
        <v>853.4</v>
      </c>
      <c r="O1070" t="s">
        <v>4290</v>
      </c>
      <c r="P1070" t="s">
        <v>2440</v>
      </c>
      <c r="Q1070" t="s">
        <v>3066</v>
      </c>
      <c r="R1070" t="s">
        <v>4279</v>
      </c>
      <c r="S1070">
        <v>170.68</v>
      </c>
    </row>
    <row r="1071" spans="1:19" x14ac:dyDescent="0.3">
      <c r="A1071" t="s">
        <v>583</v>
      </c>
      <c r="B1071" s="3">
        <v>45738</v>
      </c>
      <c r="C1071" t="s">
        <v>1783</v>
      </c>
      <c r="D1071" t="s">
        <v>2409</v>
      </c>
      <c r="E1071">
        <v>5</v>
      </c>
      <c r="F1071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>
        <v>8</v>
      </c>
      <c r="L1071" t="s">
        <v>4275</v>
      </c>
      <c r="M1071" t="s">
        <v>4278</v>
      </c>
      <c r="N1071">
        <v>1253.4000000000001</v>
      </c>
      <c r="O1071" t="s">
        <v>4290</v>
      </c>
      <c r="P1071" t="s">
        <v>2774</v>
      </c>
      <c r="Q1071" t="s">
        <v>3069</v>
      </c>
      <c r="R1071" t="s">
        <v>4278</v>
      </c>
      <c r="S1071">
        <v>156.68</v>
      </c>
    </row>
    <row r="1072" spans="1:19" x14ac:dyDescent="0.3">
      <c r="A1072" t="s">
        <v>938</v>
      </c>
      <c r="B1072" s="3">
        <v>45738</v>
      </c>
      <c r="C1072" t="s">
        <v>2134</v>
      </c>
      <c r="D1072" t="s">
        <v>2407</v>
      </c>
      <c r="E1072">
        <v>5</v>
      </c>
      <c r="F1072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>
        <v>5</v>
      </c>
      <c r="L1072" t="s">
        <v>4275</v>
      </c>
      <c r="M1072" t="s">
        <v>4280</v>
      </c>
      <c r="N1072">
        <v>1342.15</v>
      </c>
      <c r="O1072" t="s">
        <v>4290</v>
      </c>
      <c r="P1072" t="s">
        <v>2802</v>
      </c>
      <c r="Q1072" t="s">
        <v>3069</v>
      </c>
      <c r="R1072" t="s">
        <v>4280</v>
      </c>
      <c r="S1072">
        <v>268.43</v>
      </c>
    </row>
    <row r="1073" spans="1:19" x14ac:dyDescent="0.3">
      <c r="A1073" t="s">
        <v>551</v>
      </c>
      <c r="B1073" s="3">
        <v>45739</v>
      </c>
      <c r="C1073" t="s">
        <v>1751</v>
      </c>
      <c r="D1073" t="s">
        <v>2405</v>
      </c>
      <c r="E1073">
        <v>3</v>
      </c>
      <c r="F1073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>
        <v>4</v>
      </c>
      <c r="L1073" t="s">
        <v>4275</v>
      </c>
      <c r="M1073" t="s">
        <v>4281</v>
      </c>
      <c r="N1073">
        <v>742.41</v>
      </c>
      <c r="O1073" t="s">
        <v>4290</v>
      </c>
      <c r="P1073" t="s">
        <v>2471</v>
      </c>
      <c r="Q1073" t="s">
        <v>3066</v>
      </c>
      <c r="R1073" t="s">
        <v>4281</v>
      </c>
      <c r="S1073">
        <v>185.6</v>
      </c>
    </row>
    <row r="1074" spans="1:19" x14ac:dyDescent="0.3">
      <c r="A1074" t="s">
        <v>1101</v>
      </c>
      <c r="B1074" s="3">
        <v>45739</v>
      </c>
      <c r="C1074" t="s">
        <v>2293</v>
      </c>
      <c r="D1074" t="s">
        <v>2408</v>
      </c>
      <c r="E1074">
        <v>4</v>
      </c>
      <c r="F1074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>
        <v>8</v>
      </c>
      <c r="L1074" t="s">
        <v>4275</v>
      </c>
      <c r="M1074" t="s">
        <v>4278</v>
      </c>
      <c r="N1074">
        <v>2772.28</v>
      </c>
      <c r="O1074" t="s">
        <v>4290</v>
      </c>
      <c r="P1074" t="s">
        <v>3024</v>
      </c>
      <c r="Q1074" t="s">
        <v>3066</v>
      </c>
      <c r="R1074" t="s">
        <v>4278</v>
      </c>
      <c r="S1074">
        <v>346.54</v>
      </c>
    </row>
    <row r="1075" spans="1:19" x14ac:dyDescent="0.3">
      <c r="A1075" t="s">
        <v>32</v>
      </c>
      <c r="B1075" s="3">
        <v>45742</v>
      </c>
      <c r="C1075" t="s">
        <v>1232</v>
      </c>
      <c r="D1075" t="s">
        <v>2409</v>
      </c>
      <c r="E1075">
        <v>1</v>
      </c>
      <c r="F1075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>
        <v>3</v>
      </c>
      <c r="L1075" t="s">
        <v>4275</v>
      </c>
      <c r="M1075" t="s">
        <v>4281</v>
      </c>
      <c r="N1075">
        <v>431.44</v>
      </c>
      <c r="O1075" t="s">
        <v>4290</v>
      </c>
      <c r="P1075" t="s">
        <v>2428</v>
      </c>
      <c r="Q1075" t="s">
        <v>3068</v>
      </c>
      <c r="R1075" t="s">
        <v>4281</v>
      </c>
      <c r="S1075">
        <v>143.81</v>
      </c>
    </row>
    <row r="1076" spans="1:19" x14ac:dyDescent="0.3">
      <c r="A1076" t="s">
        <v>839</v>
      </c>
      <c r="B1076" s="3">
        <v>45742</v>
      </c>
      <c r="C1076" t="s">
        <v>2035</v>
      </c>
      <c r="D1076" t="s">
        <v>2409</v>
      </c>
      <c r="E1076">
        <v>5</v>
      </c>
      <c r="F1076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>
        <v>7</v>
      </c>
      <c r="L1076" t="s">
        <v>4276</v>
      </c>
      <c r="M1076" t="s">
        <v>4278</v>
      </c>
      <c r="N1076">
        <v>1358.45</v>
      </c>
      <c r="O1076" t="s">
        <v>4290</v>
      </c>
      <c r="P1076" t="s">
        <v>2944</v>
      </c>
      <c r="Q1076" t="s">
        <v>3066</v>
      </c>
      <c r="R1076" t="s">
        <v>4278</v>
      </c>
      <c r="S1076">
        <v>194.06</v>
      </c>
    </row>
    <row r="1077" spans="1:19" x14ac:dyDescent="0.3">
      <c r="A1077" t="s">
        <v>68</v>
      </c>
      <c r="B1077" s="3">
        <v>45743</v>
      </c>
      <c r="C1077" t="s">
        <v>1268</v>
      </c>
      <c r="D1077" t="s">
        <v>2406</v>
      </c>
      <c r="E1077">
        <v>1</v>
      </c>
      <c r="F107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>
        <v>5</v>
      </c>
      <c r="L1077" t="s">
        <v>4277</v>
      </c>
      <c r="M1077" t="s">
        <v>4280</v>
      </c>
      <c r="N1077">
        <v>280.25</v>
      </c>
      <c r="O1077" t="s">
        <v>4290</v>
      </c>
      <c r="P1077" t="s">
        <v>2460</v>
      </c>
      <c r="Q1077" t="s">
        <v>3066</v>
      </c>
      <c r="R1077" t="s">
        <v>4280</v>
      </c>
      <c r="S1077">
        <v>56.05</v>
      </c>
    </row>
    <row r="1078" spans="1:19" x14ac:dyDescent="0.3">
      <c r="A1078" t="s">
        <v>243</v>
      </c>
      <c r="B1078" s="3">
        <v>45744</v>
      </c>
      <c r="C1078" t="s">
        <v>1443</v>
      </c>
      <c r="D1078" t="s">
        <v>2405</v>
      </c>
      <c r="E1078">
        <v>1</v>
      </c>
      <c r="F1078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>
        <v>3</v>
      </c>
      <c r="L1078" t="s">
        <v>4277</v>
      </c>
      <c r="M1078" t="s">
        <v>4281</v>
      </c>
      <c r="N1078">
        <v>562.61</v>
      </c>
      <c r="O1078" t="s">
        <v>4290</v>
      </c>
      <c r="P1078" t="s">
        <v>2607</v>
      </c>
      <c r="Q1078" t="s">
        <v>3067</v>
      </c>
      <c r="R1078" t="s">
        <v>4281</v>
      </c>
      <c r="S1078">
        <v>187.54</v>
      </c>
    </row>
    <row r="1079" spans="1:19" x14ac:dyDescent="0.3">
      <c r="A1079" t="s">
        <v>367</v>
      </c>
      <c r="B1079" s="3">
        <v>45744</v>
      </c>
      <c r="C1079" t="s">
        <v>1567</v>
      </c>
      <c r="D1079" t="s">
        <v>2405</v>
      </c>
      <c r="E1079">
        <v>1</v>
      </c>
      <c r="F1079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>
        <v>5</v>
      </c>
      <c r="L1079" t="s">
        <v>4276</v>
      </c>
      <c r="M1079" t="s">
        <v>4282</v>
      </c>
      <c r="N1079">
        <v>630.82000000000005</v>
      </c>
      <c r="O1079" t="s">
        <v>4290</v>
      </c>
      <c r="P1079" t="s">
        <v>2706</v>
      </c>
      <c r="Q1079" t="s">
        <v>3066</v>
      </c>
      <c r="R1079" t="s">
        <v>4282</v>
      </c>
      <c r="S1079">
        <v>126.16</v>
      </c>
    </row>
    <row r="1080" spans="1:19" x14ac:dyDescent="0.3">
      <c r="A1080" t="s">
        <v>814</v>
      </c>
      <c r="B1080" s="3">
        <v>45744</v>
      </c>
      <c r="C1080" t="s">
        <v>2011</v>
      </c>
      <c r="D1080" t="s">
        <v>2405</v>
      </c>
      <c r="E1080">
        <v>1</v>
      </c>
      <c r="F1080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>
        <v>3</v>
      </c>
      <c r="L1080" t="s">
        <v>4277</v>
      </c>
      <c r="M1080" t="s">
        <v>4281</v>
      </c>
      <c r="N1080">
        <v>68.39</v>
      </c>
      <c r="O1080" t="s">
        <v>4290</v>
      </c>
      <c r="P1080" t="s">
        <v>2930</v>
      </c>
      <c r="Q1080" t="s">
        <v>3066</v>
      </c>
      <c r="R1080" t="s">
        <v>4281</v>
      </c>
      <c r="S1080">
        <v>22.8</v>
      </c>
    </row>
    <row r="1081" spans="1:19" x14ac:dyDescent="0.3">
      <c r="A1081" t="s">
        <v>290</v>
      </c>
      <c r="B1081" s="3">
        <v>45745</v>
      </c>
      <c r="C1081" t="s">
        <v>1490</v>
      </c>
      <c r="D1081" t="s">
        <v>2407</v>
      </c>
      <c r="E1081">
        <v>2</v>
      </c>
      <c r="F1081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>
        <v>3</v>
      </c>
      <c r="L1081" t="s">
        <v>4277</v>
      </c>
      <c r="M1081" t="s">
        <v>4278</v>
      </c>
      <c r="N1081">
        <v>1201.1400000000001</v>
      </c>
      <c r="O1081" t="s">
        <v>4290</v>
      </c>
      <c r="P1081" t="s">
        <v>2646</v>
      </c>
      <c r="Q1081" t="s">
        <v>3065</v>
      </c>
      <c r="R1081" t="s">
        <v>4278</v>
      </c>
      <c r="S1081">
        <v>400.38</v>
      </c>
    </row>
    <row r="1082" spans="1:19" x14ac:dyDescent="0.3">
      <c r="A1082" t="s">
        <v>719</v>
      </c>
      <c r="B1082" s="3">
        <v>45746</v>
      </c>
      <c r="C1082" t="s">
        <v>1917</v>
      </c>
      <c r="D1082" t="s">
        <v>2403</v>
      </c>
      <c r="E1082">
        <v>2</v>
      </c>
      <c r="F1082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>
        <v>7</v>
      </c>
      <c r="L1082" t="s">
        <v>4276</v>
      </c>
      <c r="M1082" t="s">
        <v>4278</v>
      </c>
      <c r="N1082">
        <v>98.16</v>
      </c>
      <c r="O1082" t="s">
        <v>4290</v>
      </c>
      <c r="P1082" t="s">
        <v>2883</v>
      </c>
      <c r="Q1082" t="s">
        <v>3065</v>
      </c>
      <c r="R1082" t="s">
        <v>4278</v>
      </c>
      <c r="S1082">
        <v>14.02</v>
      </c>
    </row>
    <row r="1083" spans="1:19" x14ac:dyDescent="0.3">
      <c r="A1083" t="s">
        <v>476</v>
      </c>
      <c r="B1083" s="3">
        <v>45747</v>
      </c>
      <c r="C1083" t="s">
        <v>1676</v>
      </c>
      <c r="D1083" t="s">
        <v>2404</v>
      </c>
      <c r="E1083">
        <v>1</v>
      </c>
      <c r="F1083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>
        <v>1</v>
      </c>
      <c r="L1083" t="s">
        <v>4283</v>
      </c>
      <c r="M1083" t="s">
        <v>4279</v>
      </c>
      <c r="N1083">
        <v>252.68</v>
      </c>
      <c r="O1083" t="s">
        <v>4290</v>
      </c>
      <c r="P1083" t="s">
        <v>2769</v>
      </c>
      <c r="Q1083" t="s">
        <v>3066</v>
      </c>
      <c r="R1083" t="s">
        <v>4279</v>
      </c>
      <c r="S1083">
        <v>252.68</v>
      </c>
    </row>
    <row r="1084" spans="1:19" x14ac:dyDescent="0.3">
      <c r="A1084" t="s">
        <v>308</v>
      </c>
      <c r="B1084" s="3">
        <v>45748</v>
      </c>
      <c r="C1084" t="s">
        <v>1508</v>
      </c>
      <c r="D1084" t="s">
        <v>2404</v>
      </c>
      <c r="E1084">
        <v>2</v>
      </c>
      <c r="F1084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>
        <v>7</v>
      </c>
      <c r="L1084" t="s">
        <v>4275</v>
      </c>
      <c r="M1084" t="s">
        <v>4279</v>
      </c>
      <c r="N1084">
        <v>595.41999999999996</v>
      </c>
      <c r="O1084" t="s">
        <v>4290</v>
      </c>
      <c r="P1084" t="s">
        <v>2659</v>
      </c>
      <c r="Q1084" t="s">
        <v>3066</v>
      </c>
      <c r="R1084" t="s">
        <v>4279</v>
      </c>
      <c r="S1084">
        <v>85.06</v>
      </c>
    </row>
    <row r="1085" spans="1:19" x14ac:dyDescent="0.3">
      <c r="A1085" t="s">
        <v>22</v>
      </c>
      <c r="B1085" s="3">
        <v>45749</v>
      </c>
      <c r="C1085" t="s">
        <v>1222</v>
      </c>
      <c r="D1085" t="s">
        <v>2404</v>
      </c>
      <c r="E1085">
        <v>2</v>
      </c>
      <c r="F1085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>
        <v>2</v>
      </c>
      <c r="L1085" t="s">
        <v>4283</v>
      </c>
      <c r="M1085" t="s">
        <v>4280</v>
      </c>
      <c r="N1085">
        <v>268.56</v>
      </c>
      <c r="O1085" t="s">
        <v>4290</v>
      </c>
      <c r="P1085" t="s">
        <v>2418</v>
      </c>
      <c r="Q1085" t="s">
        <v>3068</v>
      </c>
      <c r="R1085" t="s">
        <v>4280</v>
      </c>
      <c r="S1085">
        <v>134.28</v>
      </c>
    </row>
    <row r="1086" spans="1:19" x14ac:dyDescent="0.3">
      <c r="A1086" t="s">
        <v>691</v>
      </c>
      <c r="B1086" s="3">
        <v>45750</v>
      </c>
      <c r="C1086" t="s">
        <v>1889</v>
      </c>
      <c r="D1086" t="s">
        <v>2405</v>
      </c>
      <c r="E1086">
        <v>5</v>
      </c>
      <c r="F1086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>
        <v>7</v>
      </c>
      <c r="L1086" t="s">
        <v>4276</v>
      </c>
      <c r="M1086" t="s">
        <v>4278</v>
      </c>
      <c r="N1086">
        <v>110.35</v>
      </c>
      <c r="O1086" t="s">
        <v>4290</v>
      </c>
      <c r="P1086" t="s">
        <v>2422</v>
      </c>
      <c r="Q1086" t="s">
        <v>3066</v>
      </c>
      <c r="R1086" t="s">
        <v>4278</v>
      </c>
      <c r="S1086">
        <v>15.76</v>
      </c>
    </row>
    <row r="1087" spans="1:19" x14ac:dyDescent="0.3">
      <c r="A1087" t="s">
        <v>184</v>
      </c>
      <c r="B1087" s="3">
        <v>45751</v>
      </c>
      <c r="C1087" t="s">
        <v>1384</v>
      </c>
      <c r="D1087" t="s">
        <v>2409</v>
      </c>
      <c r="E1087">
        <v>4</v>
      </c>
      <c r="F108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>
        <v>8</v>
      </c>
      <c r="L1087" t="s">
        <v>4275</v>
      </c>
      <c r="M1087" t="s">
        <v>4278</v>
      </c>
      <c r="N1087">
        <v>2651.76</v>
      </c>
      <c r="O1087" t="s">
        <v>4290</v>
      </c>
      <c r="P1087" t="s">
        <v>2563</v>
      </c>
      <c r="Q1087" t="s">
        <v>3069</v>
      </c>
      <c r="R1087" t="s">
        <v>4278</v>
      </c>
      <c r="S1087">
        <v>331.47</v>
      </c>
    </row>
    <row r="1088" spans="1:19" x14ac:dyDescent="0.3">
      <c r="A1088" t="s">
        <v>186</v>
      </c>
      <c r="B1088" s="3">
        <v>45753</v>
      </c>
      <c r="C1088" t="s">
        <v>1386</v>
      </c>
      <c r="D1088" t="s">
        <v>2407</v>
      </c>
      <c r="E1088">
        <v>1</v>
      </c>
      <c r="F1088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>
        <v>1</v>
      </c>
      <c r="L1088" t="s">
        <v>4277</v>
      </c>
      <c r="M1088" t="s">
        <v>4280</v>
      </c>
      <c r="N1088">
        <v>254.12</v>
      </c>
      <c r="O1088" t="s">
        <v>4290</v>
      </c>
      <c r="P1088" t="s">
        <v>2529</v>
      </c>
      <c r="Q1088" t="s">
        <v>3066</v>
      </c>
      <c r="R1088" t="s">
        <v>4280</v>
      </c>
      <c r="S1088">
        <v>254.12</v>
      </c>
    </row>
    <row r="1089" spans="1:19" x14ac:dyDescent="0.3">
      <c r="A1089" t="s">
        <v>429</v>
      </c>
      <c r="B1089" s="3">
        <v>45753</v>
      </c>
      <c r="C1089" t="s">
        <v>1629</v>
      </c>
      <c r="D1089" t="s">
        <v>2406</v>
      </c>
      <c r="E1089">
        <v>1</v>
      </c>
      <c r="F1089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>
        <v>5</v>
      </c>
      <c r="L1089" t="s">
        <v>4276</v>
      </c>
      <c r="M1089" t="s">
        <v>4281</v>
      </c>
      <c r="N1089">
        <v>184.15</v>
      </c>
      <c r="O1089" t="s">
        <v>4290</v>
      </c>
      <c r="P1089" t="s">
        <v>2639</v>
      </c>
      <c r="Q1089" t="s">
        <v>3068</v>
      </c>
      <c r="R1089" t="s">
        <v>4281</v>
      </c>
      <c r="S1089">
        <v>36.83</v>
      </c>
    </row>
    <row r="1090" spans="1:19" x14ac:dyDescent="0.3">
      <c r="A1090" t="s">
        <v>300</v>
      </c>
      <c r="B1090" s="3">
        <v>45754</v>
      </c>
      <c r="C1090" t="s">
        <v>1500</v>
      </c>
      <c r="D1090" t="s">
        <v>2403</v>
      </c>
      <c r="E1090">
        <v>3</v>
      </c>
      <c r="F1090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>
        <v>8</v>
      </c>
      <c r="L1090" t="s">
        <v>4277</v>
      </c>
      <c r="M1090" t="s">
        <v>4282</v>
      </c>
      <c r="N1090">
        <v>418.35</v>
      </c>
      <c r="O1090" t="s">
        <v>4290</v>
      </c>
      <c r="P1090" t="s">
        <v>2522</v>
      </c>
      <c r="Q1090" t="s">
        <v>3068</v>
      </c>
      <c r="R1090" t="s">
        <v>4282</v>
      </c>
      <c r="S1090">
        <v>52.29</v>
      </c>
    </row>
    <row r="1091" spans="1:19" x14ac:dyDescent="0.3">
      <c r="A1091" t="s">
        <v>578</v>
      </c>
      <c r="B1091" s="3">
        <v>45755</v>
      </c>
      <c r="C1091" t="s">
        <v>1778</v>
      </c>
      <c r="D1091" t="s">
        <v>2409</v>
      </c>
      <c r="E1091">
        <v>5</v>
      </c>
      <c r="F1091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>
        <v>5</v>
      </c>
      <c r="L1091" t="s">
        <v>4277</v>
      </c>
      <c r="M1091" t="s">
        <v>4282</v>
      </c>
      <c r="N1091">
        <v>1821.4</v>
      </c>
      <c r="O1091" t="s">
        <v>4290</v>
      </c>
      <c r="P1091" t="s">
        <v>2823</v>
      </c>
      <c r="Q1091" t="s">
        <v>3067</v>
      </c>
      <c r="R1091" t="s">
        <v>4282</v>
      </c>
      <c r="S1091">
        <v>364.28</v>
      </c>
    </row>
    <row r="1092" spans="1:19" x14ac:dyDescent="0.3">
      <c r="A1092" t="s">
        <v>893</v>
      </c>
      <c r="B1092" s="3">
        <v>45755</v>
      </c>
      <c r="C1092" t="s">
        <v>2089</v>
      </c>
      <c r="D1092" t="s">
        <v>2404</v>
      </c>
      <c r="E1092">
        <v>2</v>
      </c>
      <c r="F1092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>
        <v>3</v>
      </c>
      <c r="L1092" t="s">
        <v>4283</v>
      </c>
      <c r="M1092" t="s">
        <v>4278</v>
      </c>
      <c r="N1092">
        <v>1095.3399999999999</v>
      </c>
      <c r="O1092" t="s">
        <v>4290</v>
      </c>
      <c r="P1092" t="s">
        <v>2817</v>
      </c>
      <c r="Q1092" t="s">
        <v>3068</v>
      </c>
      <c r="R1092" t="s">
        <v>4278</v>
      </c>
      <c r="S1092">
        <v>365.11</v>
      </c>
    </row>
    <row r="1093" spans="1:19" x14ac:dyDescent="0.3">
      <c r="A1093" t="s">
        <v>37</v>
      </c>
      <c r="B1093" s="3">
        <v>45756</v>
      </c>
      <c r="C1093" t="s">
        <v>1237</v>
      </c>
      <c r="D1093" t="s">
        <v>2404</v>
      </c>
      <c r="E1093">
        <v>4</v>
      </c>
      <c r="F1093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>
        <v>5</v>
      </c>
      <c r="L1093" t="s">
        <v>4276</v>
      </c>
      <c r="M1093" t="s">
        <v>4279</v>
      </c>
      <c r="N1093">
        <v>1093</v>
      </c>
      <c r="O1093" t="s">
        <v>4290</v>
      </c>
      <c r="P1093" t="s">
        <v>2433</v>
      </c>
      <c r="Q1093" t="s">
        <v>3065</v>
      </c>
      <c r="R1093" t="s">
        <v>4279</v>
      </c>
      <c r="S1093">
        <v>218.6</v>
      </c>
    </row>
    <row r="1094" spans="1:19" x14ac:dyDescent="0.3">
      <c r="A1094" t="s">
        <v>415</v>
      </c>
      <c r="B1094" s="3">
        <v>45756</v>
      </c>
      <c r="C1094" t="s">
        <v>1615</v>
      </c>
      <c r="D1094" t="s">
        <v>2407</v>
      </c>
      <c r="E1094">
        <v>1</v>
      </c>
      <c r="F1094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>
        <v>6</v>
      </c>
      <c r="L1094" t="s">
        <v>4283</v>
      </c>
      <c r="M1094" t="s">
        <v>4279</v>
      </c>
      <c r="N1094">
        <v>538.67999999999995</v>
      </c>
      <c r="O1094" t="s">
        <v>4290</v>
      </c>
      <c r="P1094" t="s">
        <v>2713</v>
      </c>
      <c r="Q1094" t="s">
        <v>3065</v>
      </c>
      <c r="R1094" t="s">
        <v>4279</v>
      </c>
      <c r="S1094">
        <v>89.78</v>
      </c>
    </row>
    <row r="1095" spans="1:19" x14ac:dyDescent="0.3">
      <c r="A1095" t="s">
        <v>426</v>
      </c>
      <c r="B1095" s="3">
        <v>45758</v>
      </c>
      <c r="C1095" t="s">
        <v>1626</v>
      </c>
      <c r="D1095" t="s">
        <v>2405</v>
      </c>
      <c r="E1095">
        <v>5</v>
      </c>
      <c r="F1095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>
        <v>10</v>
      </c>
      <c r="L1095" t="s">
        <v>4283</v>
      </c>
      <c r="M1095" t="s">
        <v>4281</v>
      </c>
      <c r="N1095">
        <v>665.05</v>
      </c>
      <c r="O1095" t="s">
        <v>4290</v>
      </c>
      <c r="P1095" t="s">
        <v>2738</v>
      </c>
      <c r="Q1095" t="s">
        <v>3067</v>
      </c>
      <c r="R1095" t="s">
        <v>4281</v>
      </c>
      <c r="S1095">
        <v>66.5</v>
      </c>
    </row>
    <row r="1096" spans="1:19" x14ac:dyDescent="0.3">
      <c r="A1096" t="s">
        <v>113</v>
      </c>
      <c r="B1096" s="3">
        <v>45759</v>
      </c>
      <c r="C1096" t="s">
        <v>1313</v>
      </c>
      <c r="D1096" t="s">
        <v>2407</v>
      </c>
      <c r="E1096">
        <v>1</v>
      </c>
      <c r="F1096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>
        <v>2</v>
      </c>
      <c r="L1096" t="s">
        <v>4277</v>
      </c>
      <c r="M1096" t="s">
        <v>4280</v>
      </c>
      <c r="N1096">
        <v>201.58</v>
      </c>
      <c r="O1096" t="s">
        <v>4290</v>
      </c>
      <c r="P1096" t="s">
        <v>2502</v>
      </c>
      <c r="Q1096" t="s">
        <v>3065</v>
      </c>
      <c r="R1096" t="s">
        <v>4280</v>
      </c>
      <c r="S1096">
        <v>100.79</v>
      </c>
    </row>
    <row r="1097" spans="1:19" x14ac:dyDescent="0.3">
      <c r="A1097" t="s">
        <v>763</v>
      </c>
      <c r="B1097" s="3">
        <v>45760</v>
      </c>
      <c r="C1097" t="s">
        <v>1960</v>
      </c>
      <c r="D1097" t="s">
        <v>2408</v>
      </c>
      <c r="E1097">
        <v>1</v>
      </c>
      <c r="F109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>
        <v>4</v>
      </c>
      <c r="L1097" t="s">
        <v>4276</v>
      </c>
      <c r="M1097" t="s">
        <v>4278</v>
      </c>
      <c r="N1097">
        <v>518.39</v>
      </c>
      <c r="O1097" t="s">
        <v>4290</v>
      </c>
      <c r="P1097" t="s">
        <v>2904</v>
      </c>
      <c r="Q1097" t="s">
        <v>3065</v>
      </c>
      <c r="R1097" t="s">
        <v>4278</v>
      </c>
      <c r="S1097">
        <v>129.6</v>
      </c>
    </row>
    <row r="1098" spans="1:19" x14ac:dyDescent="0.3">
      <c r="A1098" t="s">
        <v>230</v>
      </c>
      <c r="B1098" s="3">
        <v>45762</v>
      </c>
      <c r="C1098" t="s">
        <v>1430</v>
      </c>
      <c r="D1098" t="s">
        <v>2403</v>
      </c>
      <c r="E1098">
        <v>4</v>
      </c>
      <c r="F1098">
        <v>496</v>
      </c>
      <c r="G1098" t="s">
        <v>2465</v>
      </c>
      <c r="H1098" t="s">
        <v>3066</v>
      </c>
      <c r="I1098" t="s">
        <v>3071</v>
      </c>
      <c r="J1098" t="s">
        <v>3291</v>
      </c>
      <c r="K1098">
        <v>8</v>
      </c>
      <c r="L1098" t="s">
        <v>4277</v>
      </c>
      <c r="M1098" t="s">
        <v>4282</v>
      </c>
      <c r="N1098">
        <v>1984</v>
      </c>
      <c r="O1098" t="s">
        <v>4290</v>
      </c>
      <c r="P1098" t="s">
        <v>2465</v>
      </c>
      <c r="Q1098" t="s">
        <v>3066</v>
      </c>
      <c r="R1098" t="s">
        <v>4282</v>
      </c>
      <c r="S1098">
        <v>248</v>
      </c>
    </row>
    <row r="1099" spans="1:19" x14ac:dyDescent="0.3">
      <c r="A1099" t="s">
        <v>788</v>
      </c>
      <c r="B1099" s="3">
        <v>45762</v>
      </c>
      <c r="C1099" t="s">
        <v>1985</v>
      </c>
      <c r="D1099" t="s">
        <v>2406</v>
      </c>
      <c r="E1099">
        <v>3</v>
      </c>
      <c r="F1099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>
        <v>3</v>
      </c>
      <c r="L1099" t="s">
        <v>4276</v>
      </c>
      <c r="M1099" t="s">
        <v>4278</v>
      </c>
      <c r="N1099">
        <v>61.62</v>
      </c>
      <c r="O1099" t="s">
        <v>4290</v>
      </c>
      <c r="P1099" t="s">
        <v>2916</v>
      </c>
      <c r="Q1099" t="s">
        <v>3067</v>
      </c>
      <c r="R1099" t="s">
        <v>4278</v>
      </c>
      <c r="S1099">
        <v>20.54</v>
      </c>
    </row>
    <row r="1100" spans="1:19" x14ac:dyDescent="0.3">
      <c r="A1100" t="s">
        <v>953</v>
      </c>
      <c r="B1100" s="3">
        <v>45763</v>
      </c>
      <c r="C1100" t="s">
        <v>2149</v>
      </c>
      <c r="D1100" t="s">
        <v>2408</v>
      </c>
      <c r="E1100">
        <v>2</v>
      </c>
      <c r="F1100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>
        <v>7</v>
      </c>
      <c r="L1100" t="s">
        <v>4275</v>
      </c>
      <c r="M1100" t="s">
        <v>4278</v>
      </c>
      <c r="N1100">
        <v>1042.8</v>
      </c>
      <c r="O1100" t="s">
        <v>4290</v>
      </c>
      <c r="P1100" t="s">
        <v>2983</v>
      </c>
      <c r="Q1100" t="s">
        <v>3069</v>
      </c>
      <c r="R1100" t="s">
        <v>4278</v>
      </c>
      <c r="S1100">
        <v>148.97</v>
      </c>
    </row>
    <row r="1101" spans="1:19" x14ac:dyDescent="0.3">
      <c r="A1101" t="s">
        <v>281</v>
      </c>
      <c r="B1101" s="3">
        <v>45764</v>
      </c>
      <c r="C1101" t="s">
        <v>1481</v>
      </c>
      <c r="D1101" t="s">
        <v>2406</v>
      </c>
      <c r="E1101">
        <v>5</v>
      </c>
      <c r="F1101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>
        <v>9</v>
      </c>
      <c r="L1101" t="s">
        <v>4283</v>
      </c>
      <c r="M1101" t="s">
        <v>4281</v>
      </c>
      <c r="N1101">
        <v>2342.5500000000002</v>
      </c>
      <c r="O1101" t="s">
        <v>4290</v>
      </c>
      <c r="P1101" t="s">
        <v>2638</v>
      </c>
      <c r="Q1101" t="s">
        <v>3065</v>
      </c>
      <c r="R1101" t="s">
        <v>4281</v>
      </c>
      <c r="S1101">
        <v>260.27999999999997</v>
      </c>
    </row>
    <row r="1102" spans="1:19" x14ac:dyDescent="0.3">
      <c r="A1102" t="s">
        <v>672</v>
      </c>
      <c r="B1102" s="3">
        <v>45765</v>
      </c>
      <c r="C1102" t="s">
        <v>1871</v>
      </c>
      <c r="D1102" t="s">
        <v>2407</v>
      </c>
      <c r="E1102">
        <v>2</v>
      </c>
      <c r="F1102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>
        <v>4</v>
      </c>
      <c r="L1102" t="s">
        <v>4275</v>
      </c>
      <c r="M1102" t="s">
        <v>4282</v>
      </c>
      <c r="N1102">
        <v>92.72</v>
      </c>
      <c r="O1102" t="s">
        <v>4290</v>
      </c>
      <c r="P1102" t="s">
        <v>2657</v>
      </c>
      <c r="Q1102" t="s">
        <v>3068</v>
      </c>
      <c r="R1102" t="s">
        <v>4282</v>
      </c>
      <c r="S1102">
        <v>23.18</v>
      </c>
    </row>
    <row r="1103" spans="1:19" x14ac:dyDescent="0.3">
      <c r="A1103" t="s">
        <v>781</v>
      </c>
      <c r="B1103" s="3">
        <v>45765</v>
      </c>
      <c r="C1103" t="s">
        <v>1978</v>
      </c>
      <c r="D1103" t="s">
        <v>2405</v>
      </c>
      <c r="E1103">
        <v>2</v>
      </c>
      <c r="F1103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>
        <v>7</v>
      </c>
      <c r="L1103" t="s">
        <v>4283</v>
      </c>
      <c r="M1103" t="s">
        <v>4278</v>
      </c>
      <c r="N1103">
        <v>646.44000000000005</v>
      </c>
      <c r="O1103" t="s">
        <v>4290</v>
      </c>
      <c r="P1103" t="s">
        <v>2912</v>
      </c>
      <c r="Q1103" t="s">
        <v>3067</v>
      </c>
      <c r="R1103" t="s">
        <v>4278</v>
      </c>
      <c r="S1103">
        <v>92.35</v>
      </c>
    </row>
    <row r="1104" spans="1:19" x14ac:dyDescent="0.3">
      <c r="A1104" t="s">
        <v>485</v>
      </c>
      <c r="B1104" s="3">
        <v>45766</v>
      </c>
      <c r="C1104" t="s">
        <v>1685</v>
      </c>
      <c r="D1104" t="s">
        <v>2409</v>
      </c>
      <c r="E1104">
        <v>5</v>
      </c>
      <c r="F1104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>
        <v>7</v>
      </c>
      <c r="L1104" t="s">
        <v>4276</v>
      </c>
      <c r="M1104" t="s">
        <v>4279</v>
      </c>
      <c r="N1104">
        <v>2756.35</v>
      </c>
      <c r="O1104" t="s">
        <v>4290</v>
      </c>
      <c r="P1104" t="s">
        <v>2775</v>
      </c>
      <c r="Q1104" t="s">
        <v>3066</v>
      </c>
      <c r="R1104" t="s">
        <v>4279</v>
      </c>
      <c r="S1104">
        <v>393.76</v>
      </c>
    </row>
    <row r="1105" spans="1:19" x14ac:dyDescent="0.3">
      <c r="A1105" t="s">
        <v>489</v>
      </c>
      <c r="B1105" s="3">
        <v>45766</v>
      </c>
      <c r="C1105" t="s">
        <v>1689</v>
      </c>
      <c r="D1105" t="s">
        <v>2405</v>
      </c>
      <c r="E1105">
        <v>2</v>
      </c>
      <c r="F1105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>
        <v>3</v>
      </c>
      <c r="L1105" t="s">
        <v>4275</v>
      </c>
      <c r="M1105" t="s">
        <v>4281</v>
      </c>
      <c r="N1105">
        <v>877.24</v>
      </c>
      <c r="O1105" t="s">
        <v>4290</v>
      </c>
      <c r="P1105" t="s">
        <v>2778</v>
      </c>
      <c r="Q1105" t="s">
        <v>3069</v>
      </c>
      <c r="R1105" t="s">
        <v>4281</v>
      </c>
      <c r="S1105">
        <v>292.41000000000003</v>
      </c>
    </row>
    <row r="1106" spans="1:19" x14ac:dyDescent="0.3">
      <c r="A1106" t="s">
        <v>259</v>
      </c>
      <c r="B1106" s="3">
        <v>45767</v>
      </c>
      <c r="C1106" t="s">
        <v>1459</v>
      </c>
      <c r="D1106" t="s">
        <v>2408</v>
      </c>
      <c r="E1106">
        <v>1</v>
      </c>
      <c r="F1106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>
        <v>1</v>
      </c>
      <c r="L1106" t="s">
        <v>4283</v>
      </c>
      <c r="M1106" t="s">
        <v>4281</v>
      </c>
      <c r="N1106">
        <v>223.3</v>
      </c>
      <c r="O1106" t="s">
        <v>4290</v>
      </c>
      <c r="P1106" t="s">
        <v>2622</v>
      </c>
      <c r="Q1106" t="s">
        <v>3066</v>
      </c>
      <c r="R1106" t="s">
        <v>4281</v>
      </c>
      <c r="S1106">
        <v>223.3</v>
      </c>
    </row>
    <row r="1107" spans="1:19" x14ac:dyDescent="0.3">
      <c r="A1107" t="s">
        <v>58</v>
      </c>
      <c r="B1107" s="3">
        <v>45768</v>
      </c>
      <c r="C1107" t="s">
        <v>1258</v>
      </c>
      <c r="D1107" t="s">
        <v>2404</v>
      </c>
      <c r="E1107">
        <v>2</v>
      </c>
      <c r="F110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>
        <v>3</v>
      </c>
      <c r="L1107" t="s">
        <v>4276</v>
      </c>
      <c r="M1107" t="s">
        <v>4279</v>
      </c>
      <c r="N1107">
        <v>1100.3599999999999</v>
      </c>
      <c r="O1107" t="s">
        <v>4290</v>
      </c>
      <c r="P1107" t="s">
        <v>2441</v>
      </c>
      <c r="Q1107" t="s">
        <v>3068</v>
      </c>
      <c r="R1107" t="s">
        <v>4279</v>
      </c>
      <c r="S1107">
        <v>366.79</v>
      </c>
    </row>
    <row r="1108" spans="1:19" x14ac:dyDescent="0.3">
      <c r="A1108" t="s">
        <v>296</v>
      </c>
      <c r="B1108" s="3">
        <v>45769</v>
      </c>
      <c r="C1108" t="s">
        <v>1496</v>
      </c>
      <c r="D1108" t="s">
        <v>2407</v>
      </c>
      <c r="E1108">
        <v>4</v>
      </c>
      <c r="F1108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>
        <v>9</v>
      </c>
      <c r="L1108" t="s">
        <v>4276</v>
      </c>
      <c r="M1108" t="s">
        <v>4282</v>
      </c>
      <c r="N1108">
        <v>2551.16</v>
      </c>
      <c r="O1108" t="s">
        <v>4290</v>
      </c>
      <c r="P1108" t="s">
        <v>2652</v>
      </c>
      <c r="Q1108" t="s">
        <v>3068</v>
      </c>
      <c r="R1108" t="s">
        <v>4282</v>
      </c>
      <c r="S1108">
        <v>283.45999999999998</v>
      </c>
    </row>
    <row r="1109" spans="1:19" x14ac:dyDescent="0.3">
      <c r="A1109" t="s">
        <v>913</v>
      </c>
      <c r="B1109" s="3">
        <v>45770</v>
      </c>
      <c r="C1109" t="s">
        <v>2109</v>
      </c>
      <c r="D1109" t="s">
        <v>2407</v>
      </c>
      <c r="E1109">
        <v>2</v>
      </c>
      <c r="F1109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>
        <v>3</v>
      </c>
      <c r="L1109" t="s">
        <v>4275</v>
      </c>
      <c r="M1109" t="s">
        <v>4278</v>
      </c>
      <c r="N1109">
        <v>646.74</v>
      </c>
      <c r="O1109" t="s">
        <v>4290</v>
      </c>
      <c r="P1109" t="s">
        <v>2474</v>
      </c>
      <c r="Q1109" t="s">
        <v>3066</v>
      </c>
      <c r="R1109" t="s">
        <v>4278</v>
      </c>
      <c r="S1109">
        <v>215.58</v>
      </c>
    </row>
    <row r="1110" spans="1:19" x14ac:dyDescent="0.3">
      <c r="A1110" t="s">
        <v>661</v>
      </c>
      <c r="B1110" s="3">
        <v>45771</v>
      </c>
      <c r="C1110" t="s">
        <v>1860</v>
      </c>
      <c r="D1110" t="s">
        <v>2409</v>
      </c>
      <c r="E1110">
        <v>3</v>
      </c>
      <c r="F1110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>
        <v>7</v>
      </c>
      <c r="L1110" t="s">
        <v>4276</v>
      </c>
      <c r="M1110" t="s">
        <v>4282</v>
      </c>
      <c r="N1110">
        <v>1018.17</v>
      </c>
      <c r="O1110" t="s">
        <v>4290</v>
      </c>
      <c r="P1110" t="s">
        <v>2558</v>
      </c>
      <c r="Q1110" t="s">
        <v>3069</v>
      </c>
      <c r="R1110" t="s">
        <v>4282</v>
      </c>
      <c r="S1110">
        <v>145.44999999999999</v>
      </c>
    </row>
    <row r="1111" spans="1:19" x14ac:dyDescent="0.3">
      <c r="A1111" t="s">
        <v>409</v>
      </c>
      <c r="B1111" s="3">
        <v>45772</v>
      </c>
      <c r="C1111" t="s">
        <v>1609</v>
      </c>
      <c r="D1111" t="s">
        <v>2404</v>
      </c>
      <c r="E1111">
        <v>3</v>
      </c>
      <c r="F1111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>
        <v>7</v>
      </c>
      <c r="L1111" t="s">
        <v>4275</v>
      </c>
      <c r="M1111" t="s">
        <v>4279</v>
      </c>
      <c r="N1111">
        <v>382.23</v>
      </c>
      <c r="O1111" t="s">
        <v>4290</v>
      </c>
      <c r="P1111" t="s">
        <v>2442</v>
      </c>
      <c r="Q1111" t="s">
        <v>3068</v>
      </c>
      <c r="R1111" t="s">
        <v>4279</v>
      </c>
      <c r="S1111">
        <v>54.6</v>
      </c>
    </row>
    <row r="1112" spans="1:19" x14ac:dyDescent="0.3">
      <c r="A1112" t="s">
        <v>1027</v>
      </c>
      <c r="B1112" s="3">
        <v>45773</v>
      </c>
      <c r="C1112" t="s">
        <v>2219</v>
      </c>
      <c r="D1112" t="s">
        <v>2408</v>
      </c>
      <c r="E1112">
        <v>4</v>
      </c>
      <c r="F1112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>
        <v>9</v>
      </c>
      <c r="L1112" t="s">
        <v>4276</v>
      </c>
      <c r="M1112" t="s">
        <v>4281</v>
      </c>
      <c r="N1112">
        <v>1202.24</v>
      </c>
      <c r="O1112" t="s">
        <v>4290</v>
      </c>
      <c r="P1112" t="s">
        <v>2463</v>
      </c>
      <c r="Q1112" t="s">
        <v>3069</v>
      </c>
      <c r="R1112" t="s">
        <v>4281</v>
      </c>
      <c r="S1112">
        <v>133.58000000000001</v>
      </c>
    </row>
    <row r="1113" spans="1:19" x14ac:dyDescent="0.3">
      <c r="A1113" t="s">
        <v>864</v>
      </c>
      <c r="B1113" s="3">
        <v>45774</v>
      </c>
      <c r="C1113" t="s">
        <v>2060</v>
      </c>
      <c r="D1113" t="s">
        <v>2403</v>
      </c>
      <c r="E1113">
        <v>3</v>
      </c>
      <c r="F1113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>
        <v>4</v>
      </c>
      <c r="L1113" t="s">
        <v>4276</v>
      </c>
      <c r="M1113" t="s">
        <v>4278</v>
      </c>
      <c r="N1113">
        <v>1915.5</v>
      </c>
      <c r="O1113" t="s">
        <v>4290</v>
      </c>
      <c r="P1113" t="s">
        <v>2893</v>
      </c>
      <c r="Q1113" t="s">
        <v>3065</v>
      </c>
      <c r="R1113" t="s">
        <v>4278</v>
      </c>
      <c r="S1113">
        <v>478.88</v>
      </c>
    </row>
    <row r="1114" spans="1:19" x14ac:dyDescent="0.3">
      <c r="A1114" t="s">
        <v>810</v>
      </c>
      <c r="B1114" s="3">
        <v>45776</v>
      </c>
      <c r="C1114" t="s">
        <v>2007</v>
      </c>
      <c r="D1114" t="s">
        <v>2404</v>
      </c>
      <c r="E1114">
        <v>3</v>
      </c>
      <c r="F1114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>
        <v>8</v>
      </c>
      <c r="L1114" t="s">
        <v>4277</v>
      </c>
      <c r="M1114" t="s">
        <v>4281</v>
      </c>
      <c r="N1114">
        <v>1738.65</v>
      </c>
      <c r="O1114" t="s">
        <v>4290</v>
      </c>
      <c r="P1114" t="s">
        <v>2599</v>
      </c>
      <c r="Q1114" t="s">
        <v>3068</v>
      </c>
      <c r="R1114" t="s">
        <v>4281</v>
      </c>
      <c r="S1114">
        <v>217.33</v>
      </c>
    </row>
    <row r="1115" spans="1:19" x14ac:dyDescent="0.3">
      <c r="A1115" t="s">
        <v>160</v>
      </c>
      <c r="B1115" s="3">
        <v>45777</v>
      </c>
      <c r="C1115" t="s">
        <v>1360</v>
      </c>
      <c r="D1115" t="s">
        <v>2405</v>
      </c>
      <c r="E1115">
        <v>2</v>
      </c>
      <c r="F1115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>
        <v>4</v>
      </c>
      <c r="L1115" t="s">
        <v>4283</v>
      </c>
      <c r="M1115" t="s">
        <v>4278</v>
      </c>
      <c r="N1115">
        <v>822.98</v>
      </c>
      <c r="O1115" t="s">
        <v>4290</v>
      </c>
      <c r="P1115" t="s">
        <v>2545</v>
      </c>
      <c r="Q1115" t="s">
        <v>3067</v>
      </c>
      <c r="R1115" t="s">
        <v>4278</v>
      </c>
      <c r="S1115">
        <v>205.74</v>
      </c>
    </row>
    <row r="1116" spans="1:19" x14ac:dyDescent="0.3">
      <c r="A1116" t="s">
        <v>233</v>
      </c>
      <c r="B1116" s="3">
        <v>45779</v>
      </c>
      <c r="C1116" t="s">
        <v>1433</v>
      </c>
      <c r="D1116" t="s">
        <v>2408</v>
      </c>
      <c r="E1116">
        <v>5</v>
      </c>
      <c r="F1116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>
        <v>6</v>
      </c>
      <c r="L1116" t="s">
        <v>4275</v>
      </c>
      <c r="M1116" t="s">
        <v>4280</v>
      </c>
      <c r="N1116">
        <v>309.85000000000002</v>
      </c>
      <c r="O1116" t="s">
        <v>4290</v>
      </c>
      <c r="P1116" t="s">
        <v>2600</v>
      </c>
      <c r="Q1116" t="s">
        <v>3069</v>
      </c>
      <c r="R1116" t="s">
        <v>4280</v>
      </c>
      <c r="S1116">
        <v>51.64</v>
      </c>
    </row>
    <row r="1117" spans="1:19" x14ac:dyDescent="0.3">
      <c r="A1117" t="s">
        <v>467</v>
      </c>
      <c r="B1117" s="3">
        <v>45779</v>
      </c>
      <c r="C1117" t="s">
        <v>1667</v>
      </c>
      <c r="D1117" t="s">
        <v>2405</v>
      </c>
      <c r="E1117">
        <v>1</v>
      </c>
      <c r="F111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>
        <v>1</v>
      </c>
      <c r="L1117" t="s">
        <v>4277</v>
      </c>
      <c r="M1117" t="s">
        <v>4281</v>
      </c>
      <c r="N1117">
        <v>675.57</v>
      </c>
      <c r="O1117" t="s">
        <v>4290</v>
      </c>
      <c r="P1117" t="s">
        <v>2764</v>
      </c>
      <c r="Q1117" t="s">
        <v>3069</v>
      </c>
      <c r="R1117" t="s">
        <v>4281</v>
      </c>
      <c r="S1117">
        <v>675.57</v>
      </c>
    </row>
    <row r="1118" spans="1:19" x14ac:dyDescent="0.3">
      <c r="A1118" t="s">
        <v>140</v>
      </c>
      <c r="B1118" s="3">
        <v>45780</v>
      </c>
      <c r="C1118" t="s">
        <v>1340</v>
      </c>
      <c r="D1118" t="s">
        <v>2409</v>
      </c>
      <c r="E1118">
        <v>4</v>
      </c>
      <c r="F1118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>
        <v>8</v>
      </c>
      <c r="L1118" t="s">
        <v>4276</v>
      </c>
      <c r="M1118" t="s">
        <v>4282</v>
      </c>
      <c r="N1118">
        <v>1102</v>
      </c>
      <c r="O1118" t="s">
        <v>4290</v>
      </c>
      <c r="P1118" t="s">
        <v>2528</v>
      </c>
      <c r="Q1118" t="s">
        <v>3068</v>
      </c>
      <c r="R1118" t="s">
        <v>4282</v>
      </c>
      <c r="S1118">
        <v>137.75</v>
      </c>
    </row>
    <row r="1119" spans="1:19" x14ac:dyDescent="0.3">
      <c r="A1119" t="s">
        <v>384</v>
      </c>
      <c r="B1119" s="3">
        <v>45780</v>
      </c>
      <c r="C1119" t="s">
        <v>1584</v>
      </c>
      <c r="D1119" t="s">
        <v>2404</v>
      </c>
      <c r="E1119">
        <v>1</v>
      </c>
      <c r="F1119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>
        <v>4</v>
      </c>
      <c r="L1119" t="s">
        <v>4277</v>
      </c>
      <c r="M1119" t="s">
        <v>4281</v>
      </c>
      <c r="N1119">
        <v>312.11</v>
      </c>
      <c r="O1119" t="s">
        <v>4290</v>
      </c>
      <c r="P1119" t="s">
        <v>2718</v>
      </c>
      <c r="Q1119" t="s">
        <v>3066</v>
      </c>
      <c r="R1119" t="s">
        <v>4281</v>
      </c>
      <c r="S1119">
        <v>78.03</v>
      </c>
    </row>
    <row r="1120" spans="1:19" x14ac:dyDescent="0.3">
      <c r="A1120" t="s">
        <v>546</v>
      </c>
      <c r="B1120" s="3">
        <v>45780</v>
      </c>
      <c r="C1120" t="s">
        <v>1746</v>
      </c>
      <c r="D1120" t="s">
        <v>2408</v>
      </c>
      <c r="E1120">
        <v>2</v>
      </c>
      <c r="F1120">
        <v>41</v>
      </c>
      <c r="G1120" t="s">
        <v>2806</v>
      </c>
      <c r="H1120" t="s">
        <v>3066</v>
      </c>
      <c r="I1120" t="s">
        <v>3073</v>
      </c>
      <c r="J1120" t="s">
        <v>3607</v>
      </c>
      <c r="K1120">
        <v>7</v>
      </c>
      <c r="L1120" t="s">
        <v>4283</v>
      </c>
      <c r="M1120" t="s">
        <v>4280</v>
      </c>
      <c r="N1120">
        <v>82</v>
      </c>
      <c r="O1120" t="s">
        <v>4290</v>
      </c>
      <c r="P1120" t="s">
        <v>2806</v>
      </c>
      <c r="Q1120" t="s">
        <v>3066</v>
      </c>
      <c r="R1120" t="s">
        <v>4280</v>
      </c>
      <c r="S1120">
        <v>11.71</v>
      </c>
    </row>
    <row r="1121" spans="1:19" x14ac:dyDescent="0.3">
      <c r="A1121" t="s">
        <v>1110</v>
      </c>
      <c r="B1121" s="3">
        <v>45780</v>
      </c>
      <c r="C1121" t="s">
        <v>2302</v>
      </c>
      <c r="D1121" t="s">
        <v>2405</v>
      </c>
      <c r="E1121">
        <v>2</v>
      </c>
      <c r="F1121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>
        <v>2</v>
      </c>
      <c r="L1121" t="s">
        <v>4283</v>
      </c>
      <c r="M1121" t="s">
        <v>4281</v>
      </c>
      <c r="N1121">
        <v>929.84</v>
      </c>
      <c r="O1121" t="s">
        <v>4290</v>
      </c>
      <c r="P1121" t="s">
        <v>3029</v>
      </c>
      <c r="Q1121" t="s">
        <v>3065</v>
      </c>
      <c r="R1121" t="s">
        <v>4281</v>
      </c>
      <c r="S1121">
        <v>464.92</v>
      </c>
    </row>
    <row r="1122" spans="1:19" x14ac:dyDescent="0.3">
      <c r="A1122" t="s">
        <v>428</v>
      </c>
      <c r="B1122" s="3">
        <v>45781</v>
      </c>
      <c r="C1122" t="s">
        <v>1628</v>
      </c>
      <c r="D1122" t="s">
        <v>2409</v>
      </c>
      <c r="E1122">
        <v>2</v>
      </c>
      <c r="F1122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>
        <v>4</v>
      </c>
      <c r="L1122" t="s">
        <v>4277</v>
      </c>
      <c r="M1122" t="s">
        <v>4281</v>
      </c>
      <c r="N1122">
        <v>279.14</v>
      </c>
      <c r="O1122" t="s">
        <v>4290</v>
      </c>
      <c r="P1122" t="s">
        <v>2740</v>
      </c>
      <c r="Q1122" t="s">
        <v>3069</v>
      </c>
      <c r="R1122" t="s">
        <v>4281</v>
      </c>
      <c r="S1122">
        <v>69.78</v>
      </c>
    </row>
    <row r="1123" spans="1:19" x14ac:dyDescent="0.3">
      <c r="A1123" t="s">
        <v>161</v>
      </c>
      <c r="B1123" s="3">
        <v>45783</v>
      </c>
      <c r="C1123" t="s">
        <v>1361</v>
      </c>
      <c r="D1123" t="s">
        <v>2408</v>
      </c>
      <c r="E1123">
        <v>2</v>
      </c>
      <c r="F1123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>
        <v>2</v>
      </c>
      <c r="L1123" t="s">
        <v>4275</v>
      </c>
      <c r="M1123" t="s">
        <v>4282</v>
      </c>
      <c r="N1123">
        <v>930.36</v>
      </c>
      <c r="O1123" t="s">
        <v>4290</v>
      </c>
      <c r="P1123" t="s">
        <v>2546</v>
      </c>
      <c r="Q1123" t="s">
        <v>3067</v>
      </c>
      <c r="R1123" t="s">
        <v>4282</v>
      </c>
      <c r="S1123">
        <v>465.18</v>
      </c>
    </row>
    <row r="1124" spans="1:19" x14ac:dyDescent="0.3">
      <c r="A1124" t="s">
        <v>922</v>
      </c>
      <c r="B1124" s="3">
        <v>45783</v>
      </c>
      <c r="C1124" t="s">
        <v>2118</v>
      </c>
      <c r="D1124" t="s">
        <v>2409</v>
      </c>
      <c r="E1124">
        <v>2</v>
      </c>
      <c r="F1124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>
        <v>2</v>
      </c>
      <c r="L1124" t="s">
        <v>4275</v>
      </c>
      <c r="M1124" t="s">
        <v>4282</v>
      </c>
      <c r="N1124">
        <v>1395.86</v>
      </c>
      <c r="O1124" t="s">
        <v>4290</v>
      </c>
      <c r="P1124" t="s">
        <v>2567</v>
      </c>
      <c r="Q1124" t="s">
        <v>3067</v>
      </c>
      <c r="R1124" t="s">
        <v>4282</v>
      </c>
      <c r="S1124">
        <v>697.93</v>
      </c>
    </row>
    <row r="1125" spans="1:19" x14ac:dyDescent="0.3">
      <c r="A1125" t="s">
        <v>981</v>
      </c>
      <c r="B1125" s="3">
        <v>45783</v>
      </c>
      <c r="C1125" t="s">
        <v>2174</v>
      </c>
      <c r="D1125" t="s">
        <v>2405</v>
      </c>
      <c r="E1125">
        <v>5</v>
      </c>
      <c r="F1125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>
        <v>5</v>
      </c>
      <c r="L1125" t="s">
        <v>4276</v>
      </c>
      <c r="M1125" t="s">
        <v>4282</v>
      </c>
      <c r="N1125">
        <v>3194.6</v>
      </c>
      <c r="O1125" t="s">
        <v>4290</v>
      </c>
      <c r="P1125" t="s">
        <v>2990</v>
      </c>
      <c r="Q1125" t="s">
        <v>3067</v>
      </c>
      <c r="R1125" t="s">
        <v>4282</v>
      </c>
      <c r="S1125">
        <v>638.91999999999996</v>
      </c>
    </row>
    <row r="1126" spans="1:19" x14ac:dyDescent="0.3">
      <c r="A1126" t="s">
        <v>125</v>
      </c>
      <c r="B1126" s="3">
        <v>45784</v>
      </c>
      <c r="C1126" t="s">
        <v>1325</v>
      </c>
      <c r="D1126" t="s">
        <v>2409</v>
      </c>
      <c r="E1126">
        <v>3</v>
      </c>
      <c r="F1126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>
        <v>7</v>
      </c>
      <c r="L1126" t="s">
        <v>4276</v>
      </c>
      <c r="M1126" t="s">
        <v>4282</v>
      </c>
      <c r="N1126">
        <v>927.66000000000008</v>
      </c>
      <c r="O1126" t="s">
        <v>4290</v>
      </c>
      <c r="P1126" t="s">
        <v>2514</v>
      </c>
      <c r="Q1126" t="s">
        <v>3066</v>
      </c>
      <c r="R1126" t="s">
        <v>4282</v>
      </c>
      <c r="S1126">
        <v>132.52000000000001</v>
      </c>
    </row>
    <row r="1127" spans="1:19" x14ac:dyDescent="0.3">
      <c r="A1127" t="s">
        <v>856</v>
      </c>
      <c r="B1127" s="3">
        <v>45784</v>
      </c>
      <c r="C1127" t="s">
        <v>2052</v>
      </c>
      <c r="D1127" t="s">
        <v>2408</v>
      </c>
      <c r="E1127">
        <v>3</v>
      </c>
      <c r="F112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>
        <v>7</v>
      </c>
      <c r="L1127" t="s">
        <v>4277</v>
      </c>
      <c r="M1127" t="s">
        <v>4279</v>
      </c>
      <c r="N1127">
        <v>1092.42</v>
      </c>
      <c r="O1127" t="s">
        <v>4290</v>
      </c>
      <c r="P1127" t="s">
        <v>2877</v>
      </c>
      <c r="Q1127" t="s">
        <v>3066</v>
      </c>
      <c r="R1127" t="s">
        <v>4279</v>
      </c>
      <c r="S1127">
        <v>156.06</v>
      </c>
    </row>
    <row r="1128" spans="1:19" x14ac:dyDescent="0.3">
      <c r="A1128" t="s">
        <v>18</v>
      </c>
      <c r="B1128" s="3">
        <v>45785</v>
      </c>
      <c r="C1128" t="s">
        <v>1218</v>
      </c>
      <c r="D1128" t="s">
        <v>2407</v>
      </c>
      <c r="E1128">
        <v>4</v>
      </c>
      <c r="F1128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>
        <v>8</v>
      </c>
      <c r="L1128" t="s">
        <v>4275</v>
      </c>
      <c r="M1128" t="s">
        <v>4280</v>
      </c>
      <c r="N1128">
        <v>2504.04</v>
      </c>
      <c r="O1128" t="s">
        <v>4290</v>
      </c>
      <c r="P1128" t="s">
        <v>2414</v>
      </c>
      <c r="Q1128" t="s">
        <v>3066</v>
      </c>
      <c r="R1128" t="s">
        <v>4280</v>
      </c>
      <c r="S1128">
        <v>313</v>
      </c>
    </row>
    <row r="1129" spans="1:19" x14ac:dyDescent="0.3">
      <c r="A1129" t="s">
        <v>50</v>
      </c>
      <c r="B1129" s="3">
        <v>45785</v>
      </c>
      <c r="C1129" t="s">
        <v>1250</v>
      </c>
      <c r="D1129" t="s">
        <v>2408</v>
      </c>
      <c r="E1129">
        <v>2</v>
      </c>
      <c r="F1129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>
        <v>5</v>
      </c>
      <c r="L1129" t="s">
        <v>4283</v>
      </c>
      <c r="M1129" t="s">
        <v>4281</v>
      </c>
      <c r="N1129">
        <v>1068.8599999999999</v>
      </c>
      <c r="O1129" t="s">
        <v>4290</v>
      </c>
      <c r="P1129" t="s">
        <v>2446</v>
      </c>
      <c r="Q1129" t="s">
        <v>3065</v>
      </c>
      <c r="R1129" t="s">
        <v>4281</v>
      </c>
      <c r="S1129">
        <v>213.77</v>
      </c>
    </row>
    <row r="1130" spans="1:19" x14ac:dyDescent="0.3">
      <c r="A1130" t="s">
        <v>257</v>
      </c>
      <c r="B1130" s="3">
        <v>45786</v>
      </c>
      <c r="C1130" t="s">
        <v>1457</v>
      </c>
      <c r="D1130" t="s">
        <v>2406</v>
      </c>
      <c r="E1130">
        <v>2</v>
      </c>
      <c r="F1130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>
        <v>7</v>
      </c>
      <c r="L1130" t="s">
        <v>4276</v>
      </c>
      <c r="M1130" t="s">
        <v>4282</v>
      </c>
      <c r="N1130">
        <v>289.32</v>
      </c>
      <c r="O1130" t="s">
        <v>4290</v>
      </c>
      <c r="P1130" t="s">
        <v>2620</v>
      </c>
      <c r="Q1130" t="s">
        <v>3066</v>
      </c>
      <c r="R1130" t="s">
        <v>4282</v>
      </c>
      <c r="S1130">
        <v>41.33</v>
      </c>
    </row>
    <row r="1131" spans="1:19" x14ac:dyDescent="0.3">
      <c r="A1131" t="s">
        <v>533</v>
      </c>
      <c r="B1131" s="3">
        <v>45787</v>
      </c>
      <c r="C1131" t="s">
        <v>1733</v>
      </c>
      <c r="D1131" t="s">
        <v>2408</v>
      </c>
      <c r="E1131">
        <v>4</v>
      </c>
      <c r="F1131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>
        <v>5</v>
      </c>
      <c r="L1131" t="s">
        <v>4275</v>
      </c>
      <c r="M1131" t="s">
        <v>4280</v>
      </c>
      <c r="N1131">
        <v>1857.16</v>
      </c>
      <c r="O1131" t="s">
        <v>4290</v>
      </c>
      <c r="P1131" t="s">
        <v>2800</v>
      </c>
      <c r="Q1131" t="s">
        <v>3065</v>
      </c>
      <c r="R1131" t="s">
        <v>4280</v>
      </c>
      <c r="S1131">
        <v>371.43</v>
      </c>
    </row>
    <row r="1132" spans="1:19" x14ac:dyDescent="0.3">
      <c r="A1132" t="s">
        <v>1134</v>
      </c>
      <c r="B1132" s="3">
        <v>45787</v>
      </c>
      <c r="C1132" t="s">
        <v>2325</v>
      </c>
      <c r="D1132" t="s">
        <v>2405</v>
      </c>
      <c r="E1132">
        <v>1</v>
      </c>
      <c r="F1132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>
        <v>3</v>
      </c>
      <c r="L1132" t="s">
        <v>4283</v>
      </c>
      <c r="M1132" t="s">
        <v>4281</v>
      </c>
      <c r="N1132">
        <v>195.86</v>
      </c>
      <c r="O1132" t="s">
        <v>4290</v>
      </c>
      <c r="P1132" t="s">
        <v>2450</v>
      </c>
      <c r="Q1132" t="s">
        <v>3066</v>
      </c>
      <c r="R1132" t="s">
        <v>4281</v>
      </c>
      <c r="S1132">
        <v>65.290000000000006</v>
      </c>
    </row>
    <row r="1133" spans="1:19" x14ac:dyDescent="0.3">
      <c r="A1133" t="s">
        <v>329</v>
      </c>
      <c r="B1133" s="3">
        <v>45789</v>
      </c>
      <c r="C1133" t="s">
        <v>1529</v>
      </c>
      <c r="D1133" t="s">
        <v>2405</v>
      </c>
      <c r="E1133">
        <v>5</v>
      </c>
      <c r="F1133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>
        <v>9</v>
      </c>
      <c r="L1133" t="s">
        <v>4276</v>
      </c>
      <c r="M1133" t="s">
        <v>4280</v>
      </c>
      <c r="N1133">
        <v>458.35</v>
      </c>
      <c r="O1133" t="s">
        <v>4290</v>
      </c>
      <c r="P1133" t="s">
        <v>2676</v>
      </c>
      <c r="Q1133" t="s">
        <v>3066</v>
      </c>
      <c r="R1133" t="s">
        <v>4280</v>
      </c>
      <c r="S1133">
        <v>50.93</v>
      </c>
    </row>
    <row r="1134" spans="1:19" x14ac:dyDescent="0.3">
      <c r="A1134" t="s">
        <v>1159</v>
      </c>
      <c r="B1134" s="3">
        <v>45789</v>
      </c>
      <c r="C1134" t="s">
        <v>2348</v>
      </c>
      <c r="D1134" t="s">
        <v>2409</v>
      </c>
      <c r="E1134">
        <v>3</v>
      </c>
      <c r="F1134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>
        <v>6</v>
      </c>
      <c r="L1134" t="s">
        <v>4276</v>
      </c>
      <c r="M1134" t="s">
        <v>4281</v>
      </c>
      <c r="N1134">
        <v>1714.59</v>
      </c>
      <c r="O1134" t="s">
        <v>4290</v>
      </c>
      <c r="P1134" t="s">
        <v>2628</v>
      </c>
      <c r="Q1134" t="s">
        <v>3065</v>
      </c>
      <c r="R1134" t="s">
        <v>4281</v>
      </c>
      <c r="S1134">
        <v>285.76</v>
      </c>
    </row>
    <row r="1135" spans="1:19" x14ac:dyDescent="0.3">
      <c r="A1135" t="s">
        <v>857</v>
      </c>
      <c r="B1135" s="3">
        <v>45790</v>
      </c>
      <c r="C1135" t="s">
        <v>2053</v>
      </c>
      <c r="D1135" t="s">
        <v>2409</v>
      </c>
      <c r="E1135">
        <v>3</v>
      </c>
      <c r="F1135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>
        <v>8</v>
      </c>
      <c r="L1135" t="s">
        <v>4276</v>
      </c>
      <c r="M1135" t="s">
        <v>4278</v>
      </c>
      <c r="N1135">
        <v>1290.18</v>
      </c>
      <c r="O1135" t="s">
        <v>4290</v>
      </c>
      <c r="P1135" t="s">
        <v>2951</v>
      </c>
      <c r="Q1135" t="s">
        <v>3068</v>
      </c>
      <c r="R1135" t="s">
        <v>4278</v>
      </c>
      <c r="S1135">
        <v>161.27000000000001</v>
      </c>
    </row>
    <row r="1136" spans="1:19" x14ac:dyDescent="0.3">
      <c r="A1136" t="s">
        <v>897</v>
      </c>
      <c r="B1136" s="3">
        <v>45790</v>
      </c>
      <c r="C1136" t="s">
        <v>2093</v>
      </c>
      <c r="D1136" t="s">
        <v>2407</v>
      </c>
      <c r="E1136">
        <v>5</v>
      </c>
      <c r="F1136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>
        <v>9</v>
      </c>
      <c r="L1136" t="s">
        <v>4276</v>
      </c>
      <c r="M1136" t="s">
        <v>4281</v>
      </c>
      <c r="N1136">
        <v>2807.4</v>
      </c>
      <c r="O1136" t="s">
        <v>4290</v>
      </c>
      <c r="P1136" t="s">
        <v>2967</v>
      </c>
      <c r="Q1136" t="s">
        <v>3066</v>
      </c>
      <c r="R1136" t="s">
        <v>4281</v>
      </c>
      <c r="S1136">
        <v>311.93</v>
      </c>
    </row>
    <row r="1137" spans="1:19" x14ac:dyDescent="0.3">
      <c r="A1137" t="s">
        <v>522</v>
      </c>
      <c r="B1137" s="3">
        <v>45791</v>
      </c>
      <c r="C1137" t="s">
        <v>1722</v>
      </c>
      <c r="D1137" t="s">
        <v>2404</v>
      </c>
      <c r="E1137">
        <v>1</v>
      </c>
      <c r="F113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>
        <v>1</v>
      </c>
      <c r="L1137" t="s">
        <v>4283</v>
      </c>
      <c r="M1137" t="s">
        <v>4279</v>
      </c>
      <c r="N1137">
        <v>558.27</v>
      </c>
      <c r="O1137" t="s">
        <v>4290</v>
      </c>
      <c r="P1137" t="s">
        <v>2797</v>
      </c>
      <c r="Q1137" t="s">
        <v>3066</v>
      </c>
      <c r="R1137" t="s">
        <v>4279</v>
      </c>
      <c r="S1137">
        <v>558.27</v>
      </c>
    </row>
    <row r="1138" spans="1:19" x14ac:dyDescent="0.3">
      <c r="A1138" t="s">
        <v>265</v>
      </c>
      <c r="B1138" s="3">
        <v>45792</v>
      </c>
      <c r="C1138" t="s">
        <v>1465</v>
      </c>
      <c r="D1138" t="s">
        <v>2403</v>
      </c>
      <c r="E1138">
        <v>4</v>
      </c>
      <c r="F1138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>
        <v>9</v>
      </c>
      <c r="L1138" t="s">
        <v>4283</v>
      </c>
      <c r="M1138" t="s">
        <v>4280</v>
      </c>
      <c r="N1138">
        <v>58.76</v>
      </c>
      <c r="O1138" t="s">
        <v>4290</v>
      </c>
      <c r="P1138" t="s">
        <v>2627</v>
      </c>
      <c r="Q1138" t="s">
        <v>3069</v>
      </c>
      <c r="R1138" t="s">
        <v>4280</v>
      </c>
      <c r="S1138">
        <v>6.53</v>
      </c>
    </row>
    <row r="1139" spans="1:19" x14ac:dyDescent="0.3">
      <c r="A1139" t="s">
        <v>798</v>
      </c>
      <c r="B1139" s="3">
        <v>45793</v>
      </c>
      <c r="C1139" t="s">
        <v>1995</v>
      </c>
      <c r="D1139" t="s">
        <v>2408</v>
      </c>
      <c r="E1139">
        <v>1</v>
      </c>
      <c r="F1139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>
        <v>1</v>
      </c>
      <c r="L1139" t="s">
        <v>4277</v>
      </c>
      <c r="M1139" t="s">
        <v>4279</v>
      </c>
      <c r="N1139">
        <v>325.81</v>
      </c>
      <c r="O1139" t="s">
        <v>4290</v>
      </c>
      <c r="P1139" t="s">
        <v>2459</v>
      </c>
      <c r="Q1139" t="s">
        <v>3067</v>
      </c>
      <c r="R1139" t="s">
        <v>4279</v>
      </c>
      <c r="S1139">
        <v>325.81</v>
      </c>
    </row>
    <row r="1140" spans="1:19" x14ac:dyDescent="0.3">
      <c r="A1140" t="s">
        <v>325</v>
      </c>
      <c r="B1140" s="3">
        <v>45794</v>
      </c>
      <c r="C1140" t="s">
        <v>1525</v>
      </c>
      <c r="D1140" t="s">
        <v>2409</v>
      </c>
      <c r="E1140">
        <v>5</v>
      </c>
      <c r="F1140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>
        <v>8</v>
      </c>
      <c r="L1140" t="s">
        <v>4283</v>
      </c>
      <c r="M1140" t="s">
        <v>4278</v>
      </c>
      <c r="N1140">
        <v>2446.85</v>
      </c>
      <c r="O1140" t="s">
        <v>4290</v>
      </c>
      <c r="P1140" t="s">
        <v>2673</v>
      </c>
      <c r="Q1140" t="s">
        <v>3066</v>
      </c>
      <c r="R1140" t="s">
        <v>4278</v>
      </c>
      <c r="S1140">
        <v>305.86</v>
      </c>
    </row>
    <row r="1141" spans="1:19" x14ac:dyDescent="0.3">
      <c r="A1141" t="s">
        <v>1039</v>
      </c>
      <c r="B1141" s="3">
        <v>45794</v>
      </c>
      <c r="C1141" t="s">
        <v>2231</v>
      </c>
      <c r="D1141" t="s">
        <v>2406</v>
      </c>
      <c r="E1141">
        <v>1</v>
      </c>
      <c r="F1141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>
        <v>2</v>
      </c>
      <c r="L1141" t="s">
        <v>4276</v>
      </c>
      <c r="M1141" t="s">
        <v>4278</v>
      </c>
      <c r="N1141">
        <v>23.53</v>
      </c>
      <c r="O1141" t="s">
        <v>4290</v>
      </c>
      <c r="P1141" t="s">
        <v>2548</v>
      </c>
      <c r="Q1141" t="s">
        <v>3068</v>
      </c>
      <c r="R1141" t="s">
        <v>4278</v>
      </c>
      <c r="S1141">
        <v>11.76</v>
      </c>
    </row>
    <row r="1142" spans="1:19" x14ac:dyDescent="0.3">
      <c r="A1142" t="s">
        <v>697</v>
      </c>
      <c r="B1142" s="3">
        <v>45795</v>
      </c>
      <c r="C1142" t="s">
        <v>1895</v>
      </c>
      <c r="D1142" t="s">
        <v>2409</v>
      </c>
      <c r="E1142">
        <v>4</v>
      </c>
      <c r="F1142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>
        <v>5</v>
      </c>
      <c r="L1142" t="s">
        <v>4276</v>
      </c>
      <c r="M1142" t="s">
        <v>4278</v>
      </c>
      <c r="N1142">
        <v>2609.92</v>
      </c>
      <c r="O1142" t="s">
        <v>4290</v>
      </c>
      <c r="P1142" t="s">
        <v>2871</v>
      </c>
      <c r="Q1142" t="s">
        <v>3069</v>
      </c>
      <c r="R1142" t="s">
        <v>4278</v>
      </c>
      <c r="S1142">
        <v>521.98</v>
      </c>
    </row>
    <row r="1143" spans="1:19" x14ac:dyDescent="0.3">
      <c r="A1143" t="s">
        <v>812</v>
      </c>
      <c r="B1143" s="3">
        <v>45796</v>
      </c>
      <c r="C1143" t="s">
        <v>2009</v>
      </c>
      <c r="D1143" t="s">
        <v>2404</v>
      </c>
      <c r="E1143">
        <v>5</v>
      </c>
      <c r="F1143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>
        <v>9</v>
      </c>
      <c r="L1143" t="s">
        <v>4276</v>
      </c>
      <c r="M1143" t="s">
        <v>4280</v>
      </c>
      <c r="N1143">
        <v>2441.75</v>
      </c>
      <c r="O1143" t="s">
        <v>4290</v>
      </c>
      <c r="P1143" t="s">
        <v>2672</v>
      </c>
      <c r="Q1143" t="s">
        <v>3065</v>
      </c>
      <c r="R1143" t="s">
        <v>4280</v>
      </c>
      <c r="S1143">
        <v>271.31</v>
      </c>
    </row>
    <row r="1144" spans="1:19" x14ac:dyDescent="0.3">
      <c r="A1144" t="s">
        <v>980</v>
      </c>
      <c r="B1144" s="3">
        <v>45797</v>
      </c>
      <c r="C1144" t="s">
        <v>2173</v>
      </c>
      <c r="D1144" t="s">
        <v>2403</v>
      </c>
      <c r="E1144">
        <v>5</v>
      </c>
      <c r="F1144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>
        <v>7</v>
      </c>
      <c r="L1144" t="s">
        <v>4277</v>
      </c>
      <c r="M1144" t="s">
        <v>4281</v>
      </c>
      <c r="N1144">
        <v>1402.6</v>
      </c>
      <c r="O1144" t="s">
        <v>4290</v>
      </c>
      <c r="P1144" t="s">
        <v>2989</v>
      </c>
      <c r="Q1144" t="s">
        <v>3067</v>
      </c>
      <c r="R1144" t="s">
        <v>4281</v>
      </c>
      <c r="S1144">
        <v>200.37</v>
      </c>
    </row>
    <row r="1145" spans="1:19" x14ac:dyDescent="0.3">
      <c r="A1145" t="s">
        <v>326</v>
      </c>
      <c r="B1145" s="3">
        <v>45801</v>
      </c>
      <c r="C1145" t="s">
        <v>1526</v>
      </c>
      <c r="D1145" t="s">
        <v>2407</v>
      </c>
      <c r="E1145">
        <v>5</v>
      </c>
      <c r="F1145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>
        <v>7</v>
      </c>
      <c r="L1145" t="s">
        <v>4276</v>
      </c>
      <c r="M1145" t="s">
        <v>4279</v>
      </c>
      <c r="N1145">
        <v>331.55</v>
      </c>
      <c r="O1145" t="s">
        <v>4290</v>
      </c>
      <c r="P1145" t="s">
        <v>2606</v>
      </c>
      <c r="Q1145" t="s">
        <v>3068</v>
      </c>
      <c r="R1145" t="s">
        <v>4279</v>
      </c>
      <c r="S1145">
        <v>47.36</v>
      </c>
    </row>
    <row r="1146" spans="1:19" x14ac:dyDescent="0.3">
      <c r="A1146" t="s">
        <v>471</v>
      </c>
      <c r="B1146" s="3">
        <v>45802</v>
      </c>
      <c r="C1146" t="s">
        <v>1671</v>
      </c>
      <c r="D1146" t="s">
        <v>2409</v>
      </c>
      <c r="E1146">
        <v>4</v>
      </c>
      <c r="F1146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>
        <v>4</v>
      </c>
      <c r="L1146" t="s">
        <v>4277</v>
      </c>
      <c r="M1146" t="s">
        <v>4278</v>
      </c>
      <c r="N1146">
        <v>2463.3200000000002</v>
      </c>
      <c r="O1146" t="s">
        <v>4290</v>
      </c>
      <c r="P1146" t="s">
        <v>2767</v>
      </c>
      <c r="Q1146" t="s">
        <v>3066</v>
      </c>
      <c r="R1146" t="s">
        <v>4278</v>
      </c>
      <c r="S1146">
        <v>615.83000000000004</v>
      </c>
    </row>
    <row r="1147" spans="1:19" x14ac:dyDescent="0.3">
      <c r="A1147" t="s">
        <v>797</v>
      </c>
      <c r="B1147" s="3">
        <v>45803</v>
      </c>
      <c r="C1147" t="s">
        <v>1994</v>
      </c>
      <c r="D1147" t="s">
        <v>2407</v>
      </c>
      <c r="E1147">
        <v>1</v>
      </c>
      <c r="F114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>
        <v>5</v>
      </c>
      <c r="L1147" t="s">
        <v>4276</v>
      </c>
      <c r="M1147" t="s">
        <v>4281</v>
      </c>
      <c r="N1147">
        <v>438.34</v>
      </c>
      <c r="O1147" t="s">
        <v>4290</v>
      </c>
      <c r="P1147" t="s">
        <v>2888</v>
      </c>
      <c r="Q1147" t="s">
        <v>3068</v>
      </c>
      <c r="R1147" t="s">
        <v>4281</v>
      </c>
      <c r="S1147">
        <v>87.67</v>
      </c>
    </row>
    <row r="1148" spans="1:19" x14ac:dyDescent="0.3">
      <c r="A1148" t="s">
        <v>275</v>
      </c>
      <c r="B1148" s="3">
        <v>45805</v>
      </c>
      <c r="C1148" t="s">
        <v>1475</v>
      </c>
      <c r="D1148" t="s">
        <v>2404</v>
      </c>
      <c r="E1148">
        <v>5</v>
      </c>
      <c r="F1148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>
        <v>9</v>
      </c>
      <c r="L1148" t="s">
        <v>4275</v>
      </c>
      <c r="M1148" t="s">
        <v>4280</v>
      </c>
      <c r="N1148">
        <v>868.25</v>
      </c>
      <c r="O1148" t="s">
        <v>4290</v>
      </c>
      <c r="P1148" t="s">
        <v>2633</v>
      </c>
      <c r="Q1148" t="s">
        <v>3068</v>
      </c>
      <c r="R1148" t="s">
        <v>4280</v>
      </c>
      <c r="S1148">
        <v>96.47</v>
      </c>
    </row>
    <row r="1149" spans="1:19" x14ac:dyDescent="0.3">
      <c r="A1149" t="s">
        <v>568</v>
      </c>
      <c r="B1149" s="3">
        <v>45807</v>
      </c>
      <c r="C1149" t="s">
        <v>1768</v>
      </c>
      <c r="D1149" t="s">
        <v>2408</v>
      </c>
      <c r="E1149">
        <v>2</v>
      </c>
      <c r="F1149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>
        <v>5</v>
      </c>
      <c r="L1149" t="s">
        <v>4276</v>
      </c>
      <c r="M1149" t="s">
        <v>4278</v>
      </c>
      <c r="N1149">
        <v>985.8</v>
      </c>
      <c r="O1149" t="s">
        <v>4290</v>
      </c>
      <c r="P1149" t="s">
        <v>2610</v>
      </c>
      <c r="Q1149" t="s">
        <v>3069</v>
      </c>
      <c r="R1149" t="s">
        <v>4278</v>
      </c>
      <c r="S1149">
        <v>197.16</v>
      </c>
    </row>
    <row r="1150" spans="1:19" x14ac:dyDescent="0.3">
      <c r="A1150" t="s">
        <v>154</v>
      </c>
      <c r="B1150" s="3">
        <v>45808</v>
      </c>
      <c r="C1150" t="s">
        <v>1354</v>
      </c>
      <c r="D1150" t="s">
        <v>2406</v>
      </c>
      <c r="E1150">
        <v>3</v>
      </c>
      <c r="F1150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>
        <v>3</v>
      </c>
      <c r="L1150" t="s">
        <v>4276</v>
      </c>
      <c r="M1150" t="s">
        <v>4280</v>
      </c>
      <c r="N1150">
        <v>1584.42</v>
      </c>
      <c r="O1150" t="s">
        <v>4290</v>
      </c>
      <c r="P1150" t="s">
        <v>2513</v>
      </c>
      <c r="Q1150" t="s">
        <v>3066</v>
      </c>
      <c r="R1150" t="s">
        <v>4280</v>
      </c>
      <c r="S1150">
        <v>528.14</v>
      </c>
    </row>
    <row r="1151" spans="1:19" x14ac:dyDescent="0.3">
      <c r="A1151" t="s">
        <v>621</v>
      </c>
      <c r="B1151" s="3">
        <v>45808</v>
      </c>
      <c r="C1151" t="s">
        <v>1820</v>
      </c>
      <c r="D1151" t="s">
        <v>2407</v>
      </c>
      <c r="E1151">
        <v>4</v>
      </c>
      <c r="F1151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>
        <v>6</v>
      </c>
      <c r="L1151" t="s">
        <v>4275</v>
      </c>
      <c r="M1151" t="s">
        <v>4282</v>
      </c>
      <c r="N1151">
        <v>2536.1999999999998</v>
      </c>
      <c r="O1151" t="s">
        <v>4290</v>
      </c>
      <c r="P1151" t="s">
        <v>2839</v>
      </c>
      <c r="Q1151" t="s">
        <v>3069</v>
      </c>
      <c r="R1151" t="s">
        <v>4282</v>
      </c>
      <c r="S1151">
        <v>422.7</v>
      </c>
    </row>
    <row r="1152" spans="1:19" x14ac:dyDescent="0.3">
      <c r="A1152" t="s">
        <v>768</v>
      </c>
      <c r="B1152" s="3">
        <v>45808</v>
      </c>
      <c r="C1152" t="s">
        <v>1965</v>
      </c>
      <c r="D1152" t="s">
        <v>2407</v>
      </c>
      <c r="E1152">
        <v>2</v>
      </c>
      <c r="F1152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>
        <v>3</v>
      </c>
      <c r="L1152" t="s">
        <v>4277</v>
      </c>
      <c r="M1152" t="s">
        <v>4280</v>
      </c>
      <c r="N1152">
        <v>904.1</v>
      </c>
      <c r="O1152" t="s">
        <v>4290</v>
      </c>
      <c r="P1152" t="s">
        <v>2908</v>
      </c>
      <c r="Q1152" t="s">
        <v>3067</v>
      </c>
      <c r="R1152" t="s">
        <v>4280</v>
      </c>
      <c r="S1152">
        <v>301.37</v>
      </c>
    </row>
    <row r="1153" spans="1:19" x14ac:dyDescent="0.3">
      <c r="A1153" t="s">
        <v>884</v>
      </c>
      <c r="B1153" s="3">
        <v>45809</v>
      </c>
      <c r="C1153" t="s">
        <v>2080</v>
      </c>
      <c r="D1153" t="s">
        <v>2404</v>
      </c>
      <c r="E1153">
        <v>4</v>
      </c>
      <c r="F1153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>
        <v>4</v>
      </c>
      <c r="L1153" t="s">
        <v>4276</v>
      </c>
      <c r="M1153" t="s">
        <v>4282</v>
      </c>
      <c r="N1153">
        <v>1880.36</v>
      </c>
      <c r="O1153" t="s">
        <v>4290</v>
      </c>
      <c r="P1153" t="s">
        <v>2962</v>
      </c>
      <c r="Q1153" t="s">
        <v>3065</v>
      </c>
      <c r="R1153" t="s">
        <v>4282</v>
      </c>
      <c r="S1153">
        <v>470.09</v>
      </c>
    </row>
    <row r="1154" spans="1:19" x14ac:dyDescent="0.3">
      <c r="A1154" t="s">
        <v>948</v>
      </c>
      <c r="B1154" s="3">
        <v>45809</v>
      </c>
      <c r="C1154" t="s">
        <v>2144</v>
      </c>
      <c r="D1154" t="s">
        <v>2408</v>
      </c>
      <c r="E1154">
        <v>4</v>
      </c>
      <c r="F1154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>
        <v>8</v>
      </c>
      <c r="L1154" t="s">
        <v>4276</v>
      </c>
      <c r="M1154" t="s">
        <v>4279</v>
      </c>
      <c r="N1154">
        <v>479.36</v>
      </c>
      <c r="O1154" t="s">
        <v>4290</v>
      </c>
      <c r="P1154" t="s">
        <v>2604</v>
      </c>
      <c r="Q1154" t="s">
        <v>3068</v>
      </c>
      <c r="R1154" t="s">
        <v>4279</v>
      </c>
      <c r="S1154">
        <v>59.92</v>
      </c>
    </row>
    <row r="1155" spans="1:19" x14ac:dyDescent="0.3">
      <c r="A1155" t="s">
        <v>369</v>
      </c>
      <c r="B1155" s="3">
        <v>45811</v>
      </c>
      <c r="C1155" t="s">
        <v>1569</v>
      </c>
      <c r="D1155" t="s">
        <v>2405</v>
      </c>
      <c r="E1155">
        <v>3</v>
      </c>
      <c r="F1155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>
        <v>4</v>
      </c>
      <c r="L1155" t="s">
        <v>4276</v>
      </c>
      <c r="M1155" t="s">
        <v>4279</v>
      </c>
      <c r="N1155">
        <v>1299.99</v>
      </c>
      <c r="O1155" t="s">
        <v>4290</v>
      </c>
      <c r="P1155" t="s">
        <v>2708</v>
      </c>
      <c r="Q1155" t="s">
        <v>3067</v>
      </c>
      <c r="R1155" t="s">
        <v>4279</v>
      </c>
      <c r="S1155">
        <v>325</v>
      </c>
    </row>
    <row r="1156" spans="1:19" x14ac:dyDescent="0.3">
      <c r="A1156" t="s">
        <v>752</v>
      </c>
      <c r="B1156" s="3">
        <v>45812</v>
      </c>
      <c r="C1156" t="s">
        <v>1949</v>
      </c>
      <c r="D1156" t="s">
        <v>2404</v>
      </c>
      <c r="E1156">
        <v>2</v>
      </c>
      <c r="F1156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>
        <v>5</v>
      </c>
      <c r="L1156" t="s">
        <v>4275</v>
      </c>
      <c r="M1156" t="s">
        <v>4280</v>
      </c>
      <c r="N1156">
        <v>970.74</v>
      </c>
      <c r="O1156" t="s">
        <v>4290</v>
      </c>
      <c r="P1156" t="s">
        <v>2898</v>
      </c>
      <c r="Q1156" t="s">
        <v>3067</v>
      </c>
      <c r="R1156" t="s">
        <v>4280</v>
      </c>
      <c r="S1156">
        <v>194.15</v>
      </c>
    </row>
    <row r="1157" spans="1:19" x14ac:dyDescent="0.3">
      <c r="A1157" t="s">
        <v>102</v>
      </c>
      <c r="B1157" s="3">
        <v>45813</v>
      </c>
      <c r="C1157" t="s">
        <v>1302</v>
      </c>
      <c r="D1157" t="s">
        <v>2409</v>
      </c>
      <c r="E1157">
        <v>3</v>
      </c>
      <c r="F115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>
        <v>7</v>
      </c>
      <c r="L1157" t="s">
        <v>4283</v>
      </c>
      <c r="M1157" t="s">
        <v>4282</v>
      </c>
      <c r="N1157">
        <v>344.43</v>
      </c>
      <c r="O1157" t="s">
        <v>4290</v>
      </c>
      <c r="P1157" t="s">
        <v>2492</v>
      </c>
      <c r="Q1157" t="s">
        <v>3068</v>
      </c>
      <c r="R1157" t="s">
        <v>4282</v>
      </c>
      <c r="S1157">
        <v>49.2</v>
      </c>
    </row>
    <row r="1158" spans="1:19" x14ac:dyDescent="0.3">
      <c r="A1158" t="s">
        <v>509</v>
      </c>
      <c r="B1158" s="3">
        <v>45813</v>
      </c>
      <c r="C1158" t="s">
        <v>1709</v>
      </c>
      <c r="D1158" t="s">
        <v>2404</v>
      </c>
      <c r="E1158">
        <v>4</v>
      </c>
      <c r="F1158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>
        <v>6</v>
      </c>
      <c r="L1158" t="s">
        <v>4275</v>
      </c>
      <c r="M1158" t="s">
        <v>4281</v>
      </c>
      <c r="N1158">
        <v>1974.92</v>
      </c>
      <c r="O1158" t="s">
        <v>4290</v>
      </c>
      <c r="P1158" t="s">
        <v>2550</v>
      </c>
      <c r="Q1158" t="s">
        <v>3065</v>
      </c>
      <c r="R1158" t="s">
        <v>4281</v>
      </c>
      <c r="S1158">
        <v>329.15</v>
      </c>
    </row>
    <row r="1159" spans="1:19" x14ac:dyDescent="0.3">
      <c r="A1159" t="s">
        <v>983</v>
      </c>
      <c r="B1159" s="3">
        <v>45813</v>
      </c>
      <c r="C1159" t="s">
        <v>2176</v>
      </c>
      <c r="D1159" t="s">
        <v>2409</v>
      </c>
      <c r="E1159">
        <v>1</v>
      </c>
      <c r="F1159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>
        <v>2</v>
      </c>
      <c r="L1159" t="s">
        <v>4277</v>
      </c>
      <c r="M1159" t="s">
        <v>4281</v>
      </c>
      <c r="N1159">
        <v>440.34</v>
      </c>
      <c r="O1159" t="s">
        <v>4290</v>
      </c>
      <c r="P1159" t="s">
        <v>2991</v>
      </c>
      <c r="Q1159" t="s">
        <v>3068</v>
      </c>
      <c r="R1159" t="s">
        <v>4281</v>
      </c>
      <c r="S1159">
        <v>220.17</v>
      </c>
    </row>
    <row r="1160" spans="1:19" x14ac:dyDescent="0.3">
      <c r="A1160" t="s">
        <v>1001</v>
      </c>
      <c r="B1160" s="3">
        <v>45813</v>
      </c>
      <c r="C1160" t="s">
        <v>2194</v>
      </c>
      <c r="D1160" t="s">
        <v>2404</v>
      </c>
      <c r="E1160">
        <v>5</v>
      </c>
      <c r="F1160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>
        <v>8</v>
      </c>
      <c r="L1160" t="s">
        <v>4276</v>
      </c>
      <c r="M1160" t="s">
        <v>4278</v>
      </c>
      <c r="N1160">
        <v>1418.65</v>
      </c>
      <c r="O1160" t="s">
        <v>4290</v>
      </c>
      <c r="P1160" t="s">
        <v>2752</v>
      </c>
      <c r="Q1160" t="s">
        <v>3068</v>
      </c>
      <c r="R1160" t="s">
        <v>4278</v>
      </c>
      <c r="S1160">
        <v>177.33</v>
      </c>
    </row>
    <row r="1161" spans="1:19" x14ac:dyDescent="0.3">
      <c r="A1161" t="s">
        <v>214</v>
      </c>
      <c r="B1161" s="3">
        <v>45815</v>
      </c>
      <c r="C1161" t="s">
        <v>1414</v>
      </c>
      <c r="D1161" t="s">
        <v>2405</v>
      </c>
      <c r="E1161">
        <v>5</v>
      </c>
      <c r="F1161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>
        <v>9</v>
      </c>
      <c r="L1161" t="s">
        <v>4275</v>
      </c>
      <c r="M1161" t="s">
        <v>4282</v>
      </c>
      <c r="N1161">
        <v>2166.3000000000002</v>
      </c>
      <c r="O1161" t="s">
        <v>4290</v>
      </c>
      <c r="P1161" t="s">
        <v>2440</v>
      </c>
      <c r="Q1161" t="s">
        <v>3067</v>
      </c>
      <c r="R1161" t="s">
        <v>4282</v>
      </c>
      <c r="S1161">
        <v>240.7</v>
      </c>
    </row>
    <row r="1162" spans="1:19" x14ac:dyDescent="0.3">
      <c r="A1162" t="s">
        <v>1115</v>
      </c>
      <c r="B1162" s="3">
        <v>45816</v>
      </c>
      <c r="C1162" t="s">
        <v>2307</v>
      </c>
      <c r="D1162" t="s">
        <v>2403</v>
      </c>
      <c r="E1162">
        <v>3</v>
      </c>
      <c r="F1162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>
        <v>4</v>
      </c>
      <c r="L1162" t="s">
        <v>4275</v>
      </c>
      <c r="M1162" t="s">
        <v>4280</v>
      </c>
      <c r="N1162">
        <v>485.91</v>
      </c>
      <c r="O1162" t="s">
        <v>4290</v>
      </c>
      <c r="P1162" t="s">
        <v>2418</v>
      </c>
      <c r="Q1162" t="s">
        <v>3069</v>
      </c>
      <c r="R1162" t="s">
        <v>4280</v>
      </c>
      <c r="S1162">
        <v>121.48</v>
      </c>
    </row>
    <row r="1163" spans="1:19" x14ac:dyDescent="0.3">
      <c r="A1163" t="s">
        <v>1204</v>
      </c>
      <c r="B1163" s="3">
        <v>45816</v>
      </c>
      <c r="C1163" t="s">
        <v>2393</v>
      </c>
      <c r="D1163" t="s">
        <v>2409</v>
      </c>
      <c r="E1163">
        <v>3</v>
      </c>
      <c r="F1163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>
        <v>6</v>
      </c>
      <c r="L1163" t="s">
        <v>4276</v>
      </c>
      <c r="M1163" t="s">
        <v>4278</v>
      </c>
      <c r="N1163">
        <v>1849.17</v>
      </c>
      <c r="O1163" t="s">
        <v>4290</v>
      </c>
      <c r="P1163" t="s">
        <v>3061</v>
      </c>
      <c r="Q1163" t="s">
        <v>3067</v>
      </c>
      <c r="R1163" t="s">
        <v>4278</v>
      </c>
      <c r="S1163">
        <v>308.2</v>
      </c>
    </row>
    <row r="1164" spans="1:19" x14ac:dyDescent="0.3">
      <c r="A1164" t="s">
        <v>863</v>
      </c>
      <c r="B1164" s="3">
        <v>45817</v>
      </c>
      <c r="C1164" t="s">
        <v>2059</v>
      </c>
      <c r="D1164" t="s">
        <v>2407</v>
      </c>
      <c r="E1164">
        <v>4</v>
      </c>
      <c r="F1164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>
        <v>7</v>
      </c>
      <c r="L1164" t="s">
        <v>4277</v>
      </c>
      <c r="M1164" t="s">
        <v>4279</v>
      </c>
      <c r="N1164">
        <v>857.4</v>
      </c>
      <c r="O1164" t="s">
        <v>4290</v>
      </c>
      <c r="P1164" t="s">
        <v>2943</v>
      </c>
      <c r="Q1164" t="s">
        <v>3065</v>
      </c>
      <c r="R1164" t="s">
        <v>4279</v>
      </c>
      <c r="S1164">
        <v>122.49</v>
      </c>
    </row>
    <row r="1165" spans="1:19" x14ac:dyDescent="0.3">
      <c r="A1165" t="s">
        <v>987</v>
      </c>
      <c r="B1165" s="3">
        <v>45817</v>
      </c>
      <c r="C1165" t="s">
        <v>2180</v>
      </c>
      <c r="D1165" t="s">
        <v>2409</v>
      </c>
      <c r="E1165">
        <v>5</v>
      </c>
      <c r="F1165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>
        <v>10</v>
      </c>
      <c r="L1165" t="s">
        <v>4277</v>
      </c>
      <c r="M1165" t="s">
        <v>4279</v>
      </c>
      <c r="N1165">
        <v>1153.8499999999999</v>
      </c>
      <c r="O1165" t="s">
        <v>4290</v>
      </c>
      <c r="P1165" t="s">
        <v>2977</v>
      </c>
      <c r="Q1165" t="s">
        <v>3066</v>
      </c>
      <c r="R1165" t="s">
        <v>4279</v>
      </c>
      <c r="S1165">
        <v>115.38</v>
      </c>
    </row>
    <row r="1166" spans="1:19" x14ac:dyDescent="0.3">
      <c r="A1166" t="s">
        <v>1018</v>
      </c>
      <c r="B1166" s="3">
        <v>45817</v>
      </c>
      <c r="C1166" t="s">
        <v>2211</v>
      </c>
      <c r="D1166" t="s">
        <v>2406</v>
      </c>
      <c r="E1166">
        <v>4</v>
      </c>
      <c r="F1166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>
        <v>8</v>
      </c>
      <c r="L1166" t="s">
        <v>4275</v>
      </c>
      <c r="M1166" t="s">
        <v>4279</v>
      </c>
      <c r="N1166">
        <v>987.64</v>
      </c>
      <c r="O1166" t="s">
        <v>4290</v>
      </c>
      <c r="P1166" t="s">
        <v>2436</v>
      </c>
      <c r="Q1166" t="s">
        <v>3066</v>
      </c>
      <c r="R1166" t="s">
        <v>4279</v>
      </c>
      <c r="S1166">
        <v>123.46</v>
      </c>
    </row>
    <row r="1167" spans="1:19" x14ac:dyDescent="0.3">
      <c r="A1167" t="s">
        <v>85</v>
      </c>
      <c r="B1167" s="3">
        <v>45818</v>
      </c>
      <c r="C1167" t="s">
        <v>1285</v>
      </c>
      <c r="D1167" t="s">
        <v>2403</v>
      </c>
      <c r="E1167">
        <v>3</v>
      </c>
      <c r="F116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>
        <v>4</v>
      </c>
      <c r="L1167" t="s">
        <v>4283</v>
      </c>
      <c r="M1167" t="s">
        <v>4279</v>
      </c>
      <c r="N1167">
        <v>1303.3499999999999</v>
      </c>
      <c r="O1167" t="s">
        <v>4290</v>
      </c>
      <c r="P1167" t="s">
        <v>2476</v>
      </c>
      <c r="Q1167" t="s">
        <v>3067</v>
      </c>
      <c r="R1167" t="s">
        <v>4279</v>
      </c>
      <c r="S1167">
        <v>325.83999999999997</v>
      </c>
    </row>
    <row r="1168" spans="1:19" x14ac:dyDescent="0.3">
      <c r="A1168" t="s">
        <v>299</v>
      </c>
      <c r="B1168" s="3">
        <v>45818</v>
      </c>
      <c r="C1168" t="s">
        <v>1499</v>
      </c>
      <c r="D1168" t="s">
        <v>2404</v>
      </c>
      <c r="E1168">
        <v>1</v>
      </c>
      <c r="F1168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>
        <v>3</v>
      </c>
      <c r="L1168" t="s">
        <v>4283</v>
      </c>
      <c r="M1168" t="s">
        <v>4282</v>
      </c>
      <c r="N1168">
        <v>338.31</v>
      </c>
      <c r="O1168" t="s">
        <v>4290</v>
      </c>
      <c r="P1168" t="s">
        <v>2643</v>
      </c>
      <c r="Q1168" t="s">
        <v>3066</v>
      </c>
      <c r="R1168" t="s">
        <v>4282</v>
      </c>
      <c r="S1168">
        <v>112.77</v>
      </c>
    </row>
    <row r="1169" spans="1:19" x14ac:dyDescent="0.3">
      <c r="A1169" t="s">
        <v>133</v>
      </c>
      <c r="B1169" s="3">
        <v>45819</v>
      </c>
      <c r="C1169" t="s">
        <v>1333</v>
      </c>
      <c r="D1169" t="s">
        <v>2409</v>
      </c>
      <c r="E1169">
        <v>2</v>
      </c>
      <c r="F1169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>
        <v>7</v>
      </c>
      <c r="L1169" t="s">
        <v>4276</v>
      </c>
      <c r="M1169" t="s">
        <v>4279</v>
      </c>
      <c r="N1169">
        <v>1069.3399999999999</v>
      </c>
      <c r="O1169" t="s">
        <v>4290</v>
      </c>
      <c r="P1169" t="s">
        <v>2522</v>
      </c>
      <c r="Q1169" t="s">
        <v>3065</v>
      </c>
      <c r="R1169" t="s">
        <v>4279</v>
      </c>
      <c r="S1169">
        <v>152.76</v>
      </c>
    </row>
    <row r="1170" spans="1:19" x14ac:dyDescent="0.3">
      <c r="A1170" t="s">
        <v>518</v>
      </c>
      <c r="B1170" s="3">
        <v>45819</v>
      </c>
      <c r="C1170" t="s">
        <v>1718</v>
      </c>
      <c r="D1170" t="s">
        <v>2403</v>
      </c>
      <c r="E1170">
        <v>2</v>
      </c>
      <c r="F1170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>
        <v>2</v>
      </c>
      <c r="L1170" t="s">
        <v>4277</v>
      </c>
      <c r="M1170" t="s">
        <v>4278</v>
      </c>
      <c r="N1170">
        <v>929</v>
      </c>
      <c r="O1170" t="s">
        <v>4290</v>
      </c>
      <c r="P1170" t="s">
        <v>2795</v>
      </c>
      <c r="Q1170" t="s">
        <v>3066</v>
      </c>
      <c r="R1170" t="s">
        <v>4278</v>
      </c>
      <c r="S1170">
        <v>464.5</v>
      </c>
    </row>
    <row r="1171" spans="1:19" x14ac:dyDescent="0.3">
      <c r="A1171" t="s">
        <v>1168</v>
      </c>
      <c r="B1171" s="3">
        <v>45819</v>
      </c>
      <c r="C1171" t="s">
        <v>2357</v>
      </c>
      <c r="D1171" t="s">
        <v>2403</v>
      </c>
      <c r="E1171">
        <v>3</v>
      </c>
      <c r="F1171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>
        <v>8</v>
      </c>
      <c r="L1171" t="s">
        <v>4275</v>
      </c>
      <c r="M1171" t="s">
        <v>4278</v>
      </c>
      <c r="N1171">
        <v>595.89</v>
      </c>
      <c r="O1171" t="s">
        <v>4290</v>
      </c>
      <c r="P1171" t="s">
        <v>2520</v>
      </c>
      <c r="Q1171" t="s">
        <v>3069</v>
      </c>
      <c r="R1171" t="s">
        <v>4278</v>
      </c>
      <c r="S1171">
        <v>74.489999999999995</v>
      </c>
    </row>
    <row r="1172" spans="1:19" x14ac:dyDescent="0.3">
      <c r="A1172" t="s">
        <v>532</v>
      </c>
      <c r="B1172" s="3">
        <v>45821</v>
      </c>
      <c r="C1172" t="s">
        <v>1732</v>
      </c>
      <c r="D1172" t="s">
        <v>2407</v>
      </c>
      <c r="E1172">
        <v>4</v>
      </c>
      <c r="F1172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>
        <v>9</v>
      </c>
      <c r="L1172" t="s">
        <v>4275</v>
      </c>
      <c r="M1172" t="s">
        <v>4279</v>
      </c>
      <c r="N1172">
        <v>1614.32</v>
      </c>
      <c r="O1172" t="s">
        <v>4290</v>
      </c>
      <c r="P1172" t="s">
        <v>2732</v>
      </c>
      <c r="Q1172" t="s">
        <v>3066</v>
      </c>
      <c r="R1172" t="s">
        <v>4279</v>
      </c>
      <c r="S1172">
        <v>179.37</v>
      </c>
    </row>
    <row r="1173" spans="1:19" x14ac:dyDescent="0.3">
      <c r="A1173" t="s">
        <v>868</v>
      </c>
      <c r="B1173" s="3">
        <v>45821</v>
      </c>
      <c r="C1173" t="s">
        <v>2064</v>
      </c>
      <c r="D1173" t="s">
        <v>2408</v>
      </c>
      <c r="E1173">
        <v>3</v>
      </c>
      <c r="F1173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>
        <v>7</v>
      </c>
      <c r="L1173" t="s">
        <v>4277</v>
      </c>
      <c r="M1173" t="s">
        <v>4279</v>
      </c>
      <c r="N1173">
        <v>1117.8</v>
      </c>
      <c r="O1173" t="s">
        <v>4290</v>
      </c>
      <c r="P1173" t="s">
        <v>2759</v>
      </c>
      <c r="Q1173" t="s">
        <v>3067</v>
      </c>
      <c r="R1173" t="s">
        <v>4279</v>
      </c>
      <c r="S1173">
        <v>159.69</v>
      </c>
    </row>
    <row r="1174" spans="1:19" x14ac:dyDescent="0.3">
      <c r="A1174" t="s">
        <v>851</v>
      </c>
      <c r="B1174" s="3">
        <v>45822</v>
      </c>
      <c r="C1174" t="s">
        <v>2047</v>
      </c>
      <c r="D1174" t="s">
        <v>2406</v>
      </c>
      <c r="E1174">
        <v>5</v>
      </c>
      <c r="F1174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>
        <v>5</v>
      </c>
      <c r="L1174" t="s">
        <v>4283</v>
      </c>
      <c r="M1174" t="s">
        <v>4280</v>
      </c>
      <c r="N1174">
        <v>3277.75</v>
      </c>
      <c r="O1174" t="s">
        <v>4290</v>
      </c>
      <c r="P1174" t="s">
        <v>2839</v>
      </c>
      <c r="Q1174" t="s">
        <v>3066</v>
      </c>
      <c r="R1174" t="s">
        <v>4280</v>
      </c>
      <c r="S1174">
        <v>655.55</v>
      </c>
    </row>
    <row r="1175" spans="1:19" x14ac:dyDescent="0.3">
      <c r="A1175" t="s">
        <v>1196</v>
      </c>
      <c r="B1175" s="3">
        <v>45822</v>
      </c>
      <c r="C1175" t="s">
        <v>2385</v>
      </c>
      <c r="D1175" t="s">
        <v>2406</v>
      </c>
      <c r="E1175">
        <v>2</v>
      </c>
      <c r="F1175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>
        <v>3</v>
      </c>
      <c r="L1175" t="s">
        <v>4275</v>
      </c>
      <c r="M1175" t="s">
        <v>4282</v>
      </c>
      <c r="N1175">
        <v>840.58</v>
      </c>
      <c r="O1175" t="s">
        <v>4290</v>
      </c>
      <c r="P1175" t="s">
        <v>2835</v>
      </c>
      <c r="Q1175" t="s">
        <v>3068</v>
      </c>
      <c r="R1175" t="s">
        <v>4282</v>
      </c>
      <c r="S1175">
        <v>280.19</v>
      </c>
    </row>
    <row r="1176" spans="1:19" x14ac:dyDescent="0.3">
      <c r="A1176" t="s">
        <v>597</v>
      </c>
      <c r="B1176" s="3">
        <v>45823</v>
      </c>
      <c r="C1176" t="s">
        <v>1797</v>
      </c>
      <c r="D1176" t="s">
        <v>2406</v>
      </c>
      <c r="E1176">
        <v>3</v>
      </c>
      <c r="F1176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>
        <v>4</v>
      </c>
      <c r="L1176" t="s">
        <v>4283</v>
      </c>
      <c r="M1176" t="s">
        <v>4278</v>
      </c>
      <c r="N1176">
        <v>463.11</v>
      </c>
      <c r="O1176" t="s">
        <v>4290</v>
      </c>
      <c r="P1176" t="s">
        <v>2441</v>
      </c>
      <c r="Q1176" t="s">
        <v>3068</v>
      </c>
      <c r="R1176" t="s">
        <v>4278</v>
      </c>
      <c r="S1176">
        <v>115.78</v>
      </c>
    </row>
    <row r="1177" spans="1:19" x14ac:dyDescent="0.3">
      <c r="A1177" t="s">
        <v>1207</v>
      </c>
      <c r="B1177" s="3">
        <v>45824</v>
      </c>
      <c r="C1177" t="s">
        <v>2396</v>
      </c>
      <c r="D1177" t="s">
        <v>2405</v>
      </c>
      <c r="E1177">
        <v>1</v>
      </c>
      <c r="F117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>
        <v>1</v>
      </c>
      <c r="L1177" t="s">
        <v>4276</v>
      </c>
      <c r="M1177" t="s">
        <v>4280</v>
      </c>
      <c r="N1177">
        <v>687.89</v>
      </c>
      <c r="O1177" t="s">
        <v>4290</v>
      </c>
      <c r="P1177" t="s">
        <v>2481</v>
      </c>
      <c r="Q1177" t="s">
        <v>3069</v>
      </c>
      <c r="R1177" t="s">
        <v>4280</v>
      </c>
      <c r="S1177">
        <v>687.89</v>
      </c>
    </row>
    <row r="1178" spans="1:19" x14ac:dyDescent="0.3">
      <c r="A1178" t="s">
        <v>20</v>
      </c>
      <c r="B1178" s="3">
        <v>45825</v>
      </c>
      <c r="C1178" t="s">
        <v>1220</v>
      </c>
      <c r="D1178" t="s">
        <v>2408</v>
      </c>
      <c r="E1178">
        <v>1</v>
      </c>
      <c r="F1178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>
        <v>6</v>
      </c>
      <c r="L1178" t="s">
        <v>4275</v>
      </c>
      <c r="M1178" t="s">
        <v>4281</v>
      </c>
      <c r="N1178">
        <v>664.42</v>
      </c>
      <c r="O1178" t="s">
        <v>4290</v>
      </c>
      <c r="P1178" t="s">
        <v>2416</v>
      </c>
      <c r="Q1178" t="s">
        <v>3068</v>
      </c>
      <c r="R1178" t="s">
        <v>4281</v>
      </c>
      <c r="S1178">
        <v>110.74</v>
      </c>
    </row>
    <row r="1179" spans="1:19" x14ac:dyDescent="0.3">
      <c r="A1179" t="s">
        <v>979</v>
      </c>
      <c r="B1179" s="3">
        <v>45826</v>
      </c>
      <c r="C1179" t="s">
        <v>2172</v>
      </c>
      <c r="D1179" t="s">
        <v>2408</v>
      </c>
      <c r="E1179">
        <v>4</v>
      </c>
      <c r="F1179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>
        <v>5</v>
      </c>
      <c r="L1179" t="s">
        <v>4276</v>
      </c>
      <c r="M1179" t="s">
        <v>4280</v>
      </c>
      <c r="N1179">
        <v>2313.12</v>
      </c>
      <c r="O1179" t="s">
        <v>4290</v>
      </c>
      <c r="P1179" t="s">
        <v>2641</v>
      </c>
      <c r="Q1179" t="s">
        <v>3068</v>
      </c>
      <c r="R1179" t="s">
        <v>4280</v>
      </c>
      <c r="S1179">
        <v>462.62</v>
      </c>
    </row>
    <row r="1180" spans="1:19" x14ac:dyDescent="0.3">
      <c r="A1180" t="s">
        <v>1016</v>
      </c>
      <c r="B1180" s="3">
        <v>45827</v>
      </c>
      <c r="C1180" t="s">
        <v>2209</v>
      </c>
      <c r="D1180" t="s">
        <v>2405</v>
      </c>
      <c r="E1180">
        <v>4</v>
      </c>
      <c r="F1180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>
        <v>5</v>
      </c>
      <c r="L1180" t="s">
        <v>4277</v>
      </c>
      <c r="M1180" t="s">
        <v>4279</v>
      </c>
      <c r="N1180">
        <v>2799.52</v>
      </c>
      <c r="O1180" t="s">
        <v>4290</v>
      </c>
      <c r="P1180" t="s">
        <v>2505</v>
      </c>
      <c r="Q1180" t="s">
        <v>3069</v>
      </c>
      <c r="R1180" t="s">
        <v>4279</v>
      </c>
      <c r="S1180">
        <v>559.9</v>
      </c>
    </row>
    <row r="1181" spans="1:19" x14ac:dyDescent="0.3">
      <c r="A1181" t="s">
        <v>147</v>
      </c>
      <c r="B1181" s="3">
        <v>45828</v>
      </c>
      <c r="C1181" t="s">
        <v>1347</v>
      </c>
      <c r="D1181" t="s">
        <v>2406</v>
      </c>
      <c r="E1181">
        <v>4</v>
      </c>
      <c r="F1181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>
        <v>6</v>
      </c>
      <c r="L1181" t="s">
        <v>4275</v>
      </c>
      <c r="M1181" t="s">
        <v>4282</v>
      </c>
      <c r="N1181">
        <v>1208.2</v>
      </c>
      <c r="O1181" t="s">
        <v>4290</v>
      </c>
      <c r="P1181" t="s">
        <v>2535</v>
      </c>
      <c r="Q1181" t="s">
        <v>3065</v>
      </c>
      <c r="R1181" t="s">
        <v>4282</v>
      </c>
      <c r="S1181">
        <v>201.37</v>
      </c>
    </row>
    <row r="1182" spans="1:19" x14ac:dyDescent="0.3">
      <c r="A1182" t="s">
        <v>1129</v>
      </c>
      <c r="B1182" s="3">
        <v>45828</v>
      </c>
      <c r="C1182" t="s">
        <v>2320</v>
      </c>
      <c r="D1182" t="s">
        <v>2408</v>
      </c>
      <c r="E1182">
        <v>2</v>
      </c>
      <c r="F1182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>
        <v>3</v>
      </c>
      <c r="L1182" t="s">
        <v>4283</v>
      </c>
      <c r="M1182" t="s">
        <v>4282</v>
      </c>
      <c r="N1182">
        <v>672.64</v>
      </c>
      <c r="O1182" t="s">
        <v>4290</v>
      </c>
      <c r="P1182" t="s">
        <v>2613</v>
      </c>
      <c r="Q1182" t="s">
        <v>3066</v>
      </c>
      <c r="R1182" t="s">
        <v>4282</v>
      </c>
      <c r="S1182">
        <v>224.21</v>
      </c>
    </row>
    <row r="1183" spans="1:19" x14ac:dyDescent="0.3">
      <c r="A1183" t="s">
        <v>482</v>
      </c>
      <c r="B1183" s="3">
        <v>45829</v>
      </c>
      <c r="C1183" t="s">
        <v>1682</v>
      </c>
      <c r="D1183" t="s">
        <v>2404</v>
      </c>
      <c r="E1183">
        <v>1</v>
      </c>
      <c r="F1183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>
        <v>5</v>
      </c>
      <c r="L1183" t="s">
        <v>4276</v>
      </c>
      <c r="M1183" t="s">
        <v>4280</v>
      </c>
      <c r="N1183">
        <v>418.36</v>
      </c>
      <c r="O1183" t="s">
        <v>4290</v>
      </c>
      <c r="P1183" t="s">
        <v>2773</v>
      </c>
      <c r="Q1183" t="s">
        <v>3067</v>
      </c>
      <c r="R1183" t="s">
        <v>4280</v>
      </c>
      <c r="S1183">
        <v>83.67</v>
      </c>
    </row>
    <row r="1184" spans="1:19" x14ac:dyDescent="0.3">
      <c r="A1184" t="s">
        <v>727</v>
      </c>
      <c r="B1184" s="3">
        <v>45829</v>
      </c>
      <c r="C1184" t="s">
        <v>1924</v>
      </c>
      <c r="D1184" t="s">
        <v>2405</v>
      </c>
      <c r="E1184">
        <v>4</v>
      </c>
      <c r="F1184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>
        <v>6</v>
      </c>
      <c r="L1184" t="s">
        <v>4275</v>
      </c>
      <c r="M1184" t="s">
        <v>4281</v>
      </c>
      <c r="N1184">
        <v>2129.96</v>
      </c>
      <c r="O1184" t="s">
        <v>4290</v>
      </c>
      <c r="P1184" t="s">
        <v>2873</v>
      </c>
      <c r="Q1184" t="s">
        <v>3066</v>
      </c>
      <c r="R1184" t="s">
        <v>4281</v>
      </c>
      <c r="S1184">
        <v>354.99</v>
      </c>
    </row>
    <row r="1185" spans="1:19" x14ac:dyDescent="0.3">
      <c r="A1185" t="s">
        <v>618</v>
      </c>
      <c r="B1185" s="3">
        <v>45830</v>
      </c>
      <c r="C1185" t="s">
        <v>1817</v>
      </c>
      <c r="D1185" t="s">
        <v>2406</v>
      </c>
      <c r="E1185">
        <v>3</v>
      </c>
      <c r="F1185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>
        <v>6</v>
      </c>
      <c r="L1185" t="s">
        <v>4283</v>
      </c>
      <c r="M1185" t="s">
        <v>4281</v>
      </c>
      <c r="N1185">
        <v>97.859999999999985</v>
      </c>
      <c r="O1185" t="s">
        <v>4290</v>
      </c>
      <c r="P1185" t="s">
        <v>2661</v>
      </c>
      <c r="Q1185" t="s">
        <v>3065</v>
      </c>
      <c r="R1185" t="s">
        <v>4281</v>
      </c>
      <c r="S1185">
        <v>16.309999999999999</v>
      </c>
    </row>
    <row r="1186" spans="1:19" x14ac:dyDescent="0.3">
      <c r="A1186" t="s">
        <v>1058</v>
      </c>
      <c r="B1186" s="3">
        <v>45830</v>
      </c>
      <c r="C1186" t="s">
        <v>2250</v>
      </c>
      <c r="D1186" t="s">
        <v>2407</v>
      </c>
      <c r="E1186">
        <v>1</v>
      </c>
      <c r="F1186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>
        <v>4</v>
      </c>
      <c r="L1186" t="s">
        <v>4276</v>
      </c>
      <c r="M1186" t="s">
        <v>4279</v>
      </c>
      <c r="N1186">
        <v>38.49</v>
      </c>
      <c r="O1186" t="s">
        <v>4290</v>
      </c>
      <c r="P1186" t="s">
        <v>3012</v>
      </c>
      <c r="Q1186" t="s">
        <v>3067</v>
      </c>
      <c r="R1186" t="s">
        <v>4279</v>
      </c>
      <c r="S1186">
        <v>9.6199999999999992</v>
      </c>
    </row>
    <row r="1187" spans="1:19" x14ac:dyDescent="0.3">
      <c r="A1187" t="s">
        <v>148</v>
      </c>
      <c r="B1187" s="3">
        <v>45831</v>
      </c>
      <c r="C1187" t="s">
        <v>1348</v>
      </c>
      <c r="D1187" t="s">
        <v>2408</v>
      </c>
      <c r="E1187">
        <v>2</v>
      </c>
      <c r="F118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>
        <v>4</v>
      </c>
      <c r="L1187" t="s">
        <v>4283</v>
      </c>
      <c r="M1187" t="s">
        <v>4280</v>
      </c>
      <c r="N1187">
        <v>399.4</v>
      </c>
      <c r="O1187" t="s">
        <v>4290</v>
      </c>
      <c r="P1187" t="s">
        <v>2534</v>
      </c>
      <c r="Q1187" t="s">
        <v>3069</v>
      </c>
      <c r="R1187" t="s">
        <v>4280</v>
      </c>
      <c r="S1187">
        <v>99.85</v>
      </c>
    </row>
    <row r="1188" spans="1:19" x14ac:dyDescent="0.3">
      <c r="A1188" t="s">
        <v>690</v>
      </c>
      <c r="B1188" s="3">
        <v>45831</v>
      </c>
      <c r="C1188" t="s">
        <v>1888</v>
      </c>
      <c r="D1188" t="s">
        <v>2408</v>
      </c>
      <c r="E1188">
        <v>2</v>
      </c>
      <c r="F1188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>
        <v>4</v>
      </c>
      <c r="L1188" t="s">
        <v>4276</v>
      </c>
      <c r="M1188" t="s">
        <v>4278</v>
      </c>
      <c r="N1188">
        <v>844.68</v>
      </c>
      <c r="O1188" t="s">
        <v>4290</v>
      </c>
      <c r="P1188" t="s">
        <v>2864</v>
      </c>
      <c r="Q1188" t="s">
        <v>3067</v>
      </c>
      <c r="R1188" t="s">
        <v>4278</v>
      </c>
      <c r="S1188">
        <v>211.17</v>
      </c>
    </row>
    <row r="1189" spans="1:19" x14ac:dyDescent="0.3">
      <c r="A1189" t="s">
        <v>69</v>
      </c>
      <c r="B1189" s="3">
        <v>45832</v>
      </c>
      <c r="C1189" t="s">
        <v>1269</v>
      </c>
      <c r="D1189" t="s">
        <v>2407</v>
      </c>
      <c r="E1189">
        <v>3</v>
      </c>
      <c r="F1189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>
        <v>3</v>
      </c>
      <c r="L1189" t="s">
        <v>4283</v>
      </c>
      <c r="M1189" t="s">
        <v>4281</v>
      </c>
      <c r="N1189">
        <v>1033.2</v>
      </c>
      <c r="O1189" t="s">
        <v>4290</v>
      </c>
      <c r="P1189" t="s">
        <v>2461</v>
      </c>
      <c r="Q1189" t="s">
        <v>3066</v>
      </c>
      <c r="R1189" t="s">
        <v>4281</v>
      </c>
      <c r="S1189">
        <v>344.4</v>
      </c>
    </row>
    <row r="1190" spans="1:19" x14ac:dyDescent="0.3">
      <c r="A1190" t="s">
        <v>177</v>
      </c>
      <c r="B1190" s="3">
        <v>45832</v>
      </c>
      <c r="C1190" t="s">
        <v>1377</v>
      </c>
      <c r="D1190" t="s">
        <v>2405</v>
      </c>
      <c r="E1190">
        <v>1</v>
      </c>
      <c r="F1190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>
        <v>1</v>
      </c>
      <c r="L1190" t="s">
        <v>4283</v>
      </c>
      <c r="M1190" t="s">
        <v>4279</v>
      </c>
      <c r="N1190">
        <v>641.39</v>
      </c>
      <c r="O1190" t="s">
        <v>4290</v>
      </c>
      <c r="P1190" t="s">
        <v>2557</v>
      </c>
      <c r="Q1190" t="s">
        <v>3066</v>
      </c>
      <c r="R1190" t="s">
        <v>4279</v>
      </c>
      <c r="S1190">
        <v>641.39</v>
      </c>
    </row>
    <row r="1191" spans="1:19" x14ac:dyDescent="0.3">
      <c r="A1191" t="s">
        <v>356</v>
      </c>
      <c r="B1191" s="3">
        <v>45832</v>
      </c>
      <c r="C1191" t="s">
        <v>1556</v>
      </c>
      <c r="D1191" t="s">
        <v>2403</v>
      </c>
      <c r="E1191">
        <v>5</v>
      </c>
      <c r="F1191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>
        <v>5</v>
      </c>
      <c r="L1191" t="s">
        <v>4283</v>
      </c>
      <c r="M1191" t="s">
        <v>4279</v>
      </c>
      <c r="N1191">
        <v>2332.1</v>
      </c>
      <c r="O1191" t="s">
        <v>4290</v>
      </c>
      <c r="P1191" t="s">
        <v>2695</v>
      </c>
      <c r="Q1191" t="s">
        <v>3068</v>
      </c>
      <c r="R1191" t="s">
        <v>4279</v>
      </c>
      <c r="S1191">
        <v>466.42</v>
      </c>
    </row>
    <row r="1192" spans="1:19" x14ac:dyDescent="0.3">
      <c r="A1192" t="s">
        <v>932</v>
      </c>
      <c r="B1192" s="3">
        <v>45832</v>
      </c>
      <c r="C1192" t="s">
        <v>2128</v>
      </c>
      <c r="D1192" t="s">
        <v>2408</v>
      </c>
      <c r="E1192">
        <v>5</v>
      </c>
      <c r="F1192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>
        <v>5</v>
      </c>
      <c r="L1192" t="s">
        <v>4283</v>
      </c>
      <c r="M1192" t="s">
        <v>4278</v>
      </c>
      <c r="N1192">
        <v>1841.25</v>
      </c>
      <c r="O1192" t="s">
        <v>4290</v>
      </c>
      <c r="P1192" t="s">
        <v>2417</v>
      </c>
      <c r="Q1192" t="s">
        <v>3066</v>
      </c>
      <c r="R1192" t="s">
        <v>4278</v>
      </c>
      <c r="S1192">
        <v>368.25</v>
      </c>
    </row>
    <row r="1193" spans="1:19" x14ac:dyDescent="0.3">
      <c r="A1193" t="s">
        <v>1085</v>
      </c>
      <c r="B1193" s="3">
        <v>45832</v>
      </c>
      <c r="C1193" t="s">
        <v>2277</v>
      </c>
      <c r="D1193" t="s">
        <v>2404</v>
      </c>
      <c r="E1193">
        <v>2</v>
      </c>
      <c r="F1193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>
        <v>2</v>
      </c>
      <c r="L1193" t="s">
        <v>4283</v>
      </c>
      <c r="M1193" t="s">
        <v>4282</v>
      </c>
      <c r="N1193">
        <v>510.28</v>
      </c>
      <c r="O1193" t="s">
        <v>4290</v>
      </c>
      <c r="P1193" t="s">
        <v>2717</v>
      </c>
      <c r="Q1193" t="s">
        <v>3069</v>
      </c>
      <c r="R1193" t="s">
        <v>4282</v>
      </c>
      <c r="S1193">
        <v>255.14</v>
      </c>
    </row>
    <row r="1194" spans="1:19" x14ac:dyDescent="0.3">
      <c r="A1194" t="s">
        <v>78</v>
      </c>
      <c r="B1194" s="3">
        <v>45833</v>
      </c>
      <c r="C1194" t="s">
        <v>1278</v>
      </c>
      <c r="D1194" t="s">
        <v>2407</v>
      </c>
      <c r="E1194">
        <v>3</v>
      </c>
      <c r="F1194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>
        <v>4</v>
      </c>
      <c r="L1194" t="s">
        <v>4276</v>
      </c>
      <c r="M1194" t="s">
        <v>4281</v>
      </c>
      <c r="N1194">
        <v>391.83</v>
      </c>
      <c r="O1194" t="s">
        <v>4290</v>
      </c>
      <c r="P1194" t="s">
        <v>2470</v>
      </c>
      <c r="Q1194" t="s">
        <v>3065</v>
      </c>
      <c r="R1194" t="s">
        <v>4281</v>
      </c>
      <c r="S1194">
        <v>97.96</v>
      </c>
    </row>
    <row r="1195" spans="1:19" x14ac:dyDescent="0.3">
      <c r="A1195" t="s">
        <v>240</v>
      </c>
      <c r="B1195" s="3">
        <v>45835</v>
      </c>
      <c r="C1195" t="s">
        <v>1440</v>
      </c>
      <c r="D1195" t="s">
        <v>2409</v>
      </c>
      <c r="E1195">
        <v>3</v>
      </c>
      <c r="F1195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>
        <v>8</v>
      </c>
      <c r="L1195" t="s">
        <v>4283</v>
      </c>
      <c r="M1195" t="s">
        <v>4278</v>
      </c>
      <c r="N1195">
        <v>1764.15</v>
      </c>
      <c r="O1195" t="s">
        <v>4290</v>
      </c>
      <c r="P1195" t="s">
        <v>2605</v>
      </c>
      <c r="Q1195" t="s">
        <v>3068</v>
      </c>
      <c r="R1195" t="s">
        <v>4278</v>
      </c>
      <c r="S1195">
        <v>220.52</v>
      </c>
    </row>
    <row r="1196" spans="1:19" x14ac:dyDescent="0.3">
      <c r="A1196" t="s">
        <v>190</v>
      </c>
      <c r="B1196" s="3">
        <v>45836</v>
      </c>
      <c r="C1196" t="s">
        <v>1390</v>
      </c>
      <c r="D1196" t="s">
        <v>2405</v>
      </c>
      <c r="E1196">
        <v>4</v>
      </c>
      <c r="F1196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>
        <v>8</v>
      </c>
      <c r="L1196" t="s">
        <v>4277</v>
      </c>
      <c r="M1196" t="s">
        <v>4279</v>
      </c>
      <c r="N1196">
        <v>1723.32</v>
      </c>
      <c r="O1196" t="s">
        <v>4290</v>
      </c>
      <c r="P1196" t="s">
        <v>2568</v>
      </c>
      <c r="Q1196" t="s">
        <v>3068</v>
      </c>
      <c r="R1196" t="s">
        <v>4279</v>
      </c>
      <c r="S1196">
        <v>215.42</v>
      </c>
    </row>
    <row r="1197" spans="1:19" x14ac:dyDescent="0.3">
      <c r="A1197" t="s">
        <v>787</v>
      </c>
      <c r="B1197" s="3">
        <v>45836</v>
      </c>
      <c r="C1197" t="s">
        <v>1984</v>
      </c>
      <c r="D1197" t="s">
        <v>2404</v>
      </c>
      <c r="E1197">
        <v>2</v>
      </c>
      <c r="F119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>
        <v>7</v>
      </c>
      <c r="L1197" t="s">
        <v>4283</v>
      </c>
      <c r="M1197" t="s">
        <v>4281</v>
      </c>
      <c r="N1197">
        <v>1024.6600000000001</v>
      </c>
      <c r="O1197" t="s">
        <v>4290</v>
      </c>
      <c r="P1197" t="s">
        <v>2915</v>
      </c>
      <c r="Q1197" t="s">
        <v>3069</v>
      </c>
      <c r="R1197" t="s">
        <v>4281</v>
      </c>
      <c r="S1197">
        <v>146.38</v>
      </c>
    </row>
    <row r="1198" spans="1:19" x14ac:dyDescent="0.3">
      <c r="A1198" t="s">
        <v>896</v>
      </c>
      <c r="B1198" s="3">
        <v>45836</v>
      </c>
      <c r="C1198" t="s">
        <v>2092</v>
      </c>
      <c r="D1198" t="s">
        <v>2404</v>
      </c>
      <c r="E1198">
        <v>2</v>
      </c>
      <c r="F1198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>
        <v>6</v>
      </c>
      <c r="L1198" t="s">
        <v>4276</v>
      </c>
      <c r="M1198" t="s">
        <v>4279</v>
      </c>
      <c r="N1198">
        <v>548.24</v>
      </c>
      <c r="O1198" t="s">
        <v>4290</v>
      </c>
      <c r="P1198" t="s">
        <v>2501</v>
      </c>
      <c r="Q1198" t="s">
        <v>3069</v>
      </c>
      <c r="R1198" t="s">
        <v>4279</v>
      </c>
      <c r="S1198">
        <v>91.37</v>
      </c>
    </row>
    <row r="1199" spans="1:19" x14ac:dyDescent="0.3">
      <c r="A1199" t="s">
        <v>1053</v>
      </c>
      <c r="B1199" s="3">
        <v>45836</v>
      </c>
      <c r="C1199" t="s">
        <v>2245</v>
      </c>
      <c r="D1199" t="s">
        <v>2409</v>
      </c>
      <c r="E1199">
        <v>2</v>
      </c>
      <c r="F1199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>
        <v>2</v>
      </c>
      <c r="L1199" t="s">
        <v>4277</v>
      </c>
      <c r="M1199" t="s">
        <v>4278</v>
      </c>
      <c r="N1199">
        <v>598.46</v>
      </c>
      <c r="O1199" t="s">
        <v>4290</v>
      </c>
      <c r="P1199" t="s">
        <v>3011</v>
      </c>
      <c r="Q1199" t="s">
        <v>3067</v>
      </c>
      <c r="R1199" t="s">
        <v>4278</v>
      </c>
      <c r="S1199">
        <v>299.23</v>
      </c>
    </row>
    <row r="1200" spans="1:19" x14ac:dyDescent="0.3">
      <c r="A1200" t="s">
        <v>270</v>
      </c>
      <c r="B1200" s="3">
        <v>45838</v>
      </c>
      <c r="C1200" t="s">
        <v>1470</v>
      </c>
      <c r="D1200" t="s">
        <v>2406</v>
      </c>
      <c r="E1200">
        <v>5</v>
      </c>
      <c r="F1200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>
        <v>10</v>
      </c>
      <c r="L1200" t="s">
        <v>4277</v>
      </c>
      <c r="M1200" t="s">
        <v>4278</v>
      </c>
      <c r="N1200">
        <v>379.05</v>
      </c>
      <c r="O1200" t="s">
        <v>4290</v>
      </c>
      <c r="P1200" t="s">
        <v>2629</v>
      </c>
      <c r="Q1200" t="s">
        <v>3068</v>
      </c>
      <c r="R1200" t="s">
        <v>4278</v>
      </c>
      <c r="S1200">
        <v>37.9</v>
      </c>
    </row>
    <row r="1201" spans="1:19" x14ac:dyDescent="0.3">
      <c r="A1201" t="s">
        <v>1121</v>
      </c>
      <c r="B1201" s="3">
        <v>45838</v>
      </c>
      <c r="C1201" t="s">
        <v>2312</v>
      </c>
      <c r="D1201" t="s">
        <v>2405</v>
      </c>
      <c r="E1201">
        <v>2</v>
      </c>
      <c r="F1201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>
        <v>4</v>
      </c>
      <c r="L1201" t="s">
        <v>4275</v>
      </c>
      <c r="M1201" t="s">
        <v>4282</v>
      </c>
      <c r="N1201">
        <v>126.42</v>
      </c>
      <c r="O1201" t="s">
        <v>4290</v>
      </c>
      <c r="P1201" t="s">
        <v>2839</v>
      </c>
      <c r="Q1201" t="s">
        <v>3066</v>
      </c>
      <c r="R1201" t="s">
        <v>4282</v>
      </c>
      <c r="S1201">
        <v>31.6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2"/>
  <sheetViews>
    <sheetView tabSelected="1" topLeftCell="F1" zoomScale="115" zoomScaleNormal="115" workbookViewId="0">
      <selection activeCell="W17" sqref="W17"/>
    </sheetView>
  </sheetViews>
  <sheetFormatPr defaultRowHeight="15.05" x14ac:dyDescent="0.3"/>
  <cols>
    <col min="1" max="1" width="11.77734375" bestFit="1" customWidth="1"/>
    <col min="2" max="2" width="10.33203125" bestFit="1" customWidth="1"/>
    <col min="3" max="3" width="15.109375" bestFit="1" customWidth="1"/>
    <col min="4" max="4" width="11.88671875" bestFit="1" customWidth="1"/>
    <col min="5" max="5" width="12.5546875" bestFit="1" customWidth="1"/>
    <col min="6" max="6" width="12.88671875" bestFit="1" customWidth="1"/>
    <col min="7" max="7" width="19.33203125" bestFit="1" customWidth="1"/>
    <col min="8" max="8" width="19.6640625" bestFit="1" customWidth="1"/>
    <col min="9" max="9" width="15.21875" bestFit="1" customWidth="1"/>
    <col min="10" max="10" width="19.33203125" bestFit="1" customWidth="1"/>
    <col min="11" max="11" width="15" bestFit="1" customWidth="1"/>
    <col min="12" max="12" width="16.21875" bestFit="1" customWidth="1"/>
    <col min="13" max="13" width="17.6640625" bestFit="1" customWidth="1"/>
    <col min="14" max="14" width="13.5546875" style="5" bestFit="1" customWidth="1"/>
    <col min="15" max="15" width="18.88671875" bestFit="1" customWidth="1"/>
    <col min="16" max="16" width="12.77734375" bestFit="1" customWidth="1"/>
    <col min="17" max="17" width="20" bestFit="1" customWidth="1"/>
    <col min="18" max="18" width="12.77734375" bestFit="1" customWidth="1"/>
    <col min="19" max="19" width="20.109375" style="5" bestFit="1" customWidth="1"/>
    <col min="20" max="20" width="15.1093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4289</v>
      </c>
      <c r="P1" s="2" t="s">
        <v>4285</v>
      </c>
      <c r="Q1" s="2" t="s">
        <v>4286</v>
      </c>
      <c r="R1" s="2" t="s">
        <v>4284</v>
      </c>
      <c r="S1" s="4" t="s">
        <v>4287</v>
      </c>
      <c r="T1" s="2" t="s">
        <v>4288</v>
      </c>
    </row>
    <row r="2" spans="1:20" x14ac:dyDescent="0.3">
      <c r="A2" t="s">
        <v>126</v>
      </c>
      <c r="B2" s="1">
        <v>44927</v>
      </c>
      <c r="C2" t="s">
        <v>1326</v>
      </c>
      <c r="D2" t="s">
        <v>2403</v>
      </c>
      <c r="E2">
        <v>1</v>
      </c>
      <c r="F2">
        <v>410.6</v>
      </c>
      <c r="G2" t="s">
        <v>2515</v>
      </c>
      <c r="H2" t="s">
        <v>3066</v>
      </c>
      <c r="I2" t="s">
        <v>3071</v>
      </c>
      <c r="J2" t="s">
        <v>3187</v>
      </c>
      <c r="K2">
        <v>2</v>
      </c>
      <c r="L2" t="s">
        <v>4277</v>
      </c>
      <c r="M2" t="s">
        <v>4279</v>
      </c>
      <c r="N2" s="5">
        <v>410.6</v>
      </c>
      <c r="O2" t="str">
        <f>IF(ABS(Table1[[#This Row],[TotalPrice]]-Table1[[#This Row],[Quantity]]*Table1[[#This Row],[UnitPrice]]) &lt;0.01, "ok",)</f>
        <v>ok</v>
      </c>
      <c r="P2" t="str">
        <f>PROPER(TRIM(Table1[[#This Row],[ShippingAddress]]))</f>
        <v>423 Main St</v>
      </c>
      <c r="Q2" t="str">
        <f>PROPER(TRIM((Table1[[#This Row],[PaymentMethod]])))</f>
        <v>Online</v>
      </c>
      <c r="R2" t="str">
        <f>PROPER(TRIM(Table1[[#This Row],[ReferralSource]]))</f>
        <v>Referral</v>
      </c>
      <c r="S2" s="5">
        <f>Table1[[#This Row],[TotalPrice]]/Table1[[#This Row],[ItemsInCart]]</f>
        <v>205.3</v>
      </c>
    </row>
    <row r="3" spans="1:20" x14ac:dyDescent="0.3">
      <c r="A3" t="s">
        <v>250</v>
      </c>
      <c r="B3" s="1">
        <v>44927</v>
      </c>
      <c r="C3" t="s">
        <v>1450</v>
      </c>
      <c r="D3" t="s">
        <v>2403</v>
      </c>
      <c r="E3">
        <v>1</v>
      </c>
      <c r="F3">
        <v>318.81</v>
      </c>
      <c r="G3" t="s">
        <v>2613</v>
      </c>
      <c r="H3" t="s">
        <v>3065</v>
      </c>
      <c r="I3" t="s">
        <v>3074</v>
      </c>
      <c r="J3" t="s">
        <v>3311</v>
      </c>
      <c r="K3">
        <v>3</v>
      </c>
      <c r="L3" t="s">
        <v>4277</v>
      </c>
      <c r="M3" t="s">
        <v>4280</v>
      </c>
      <c r="N3" s="5">
        <v>318.81</v>
      </c>
      <c r="O3" t="str">
        <f>IF(ABS(Table1[[#This Row],[TotalPrice]]-Table1[[#This Row],[Quantity]]*Table1[[#This Row],[UnitPrice]]) &lt;0.01, "ok",)</f>
        <v>ok</v>
      </c>
      <c r="P3" t="str">
        <f>PROPER(TRIM(Table1[[#This Row],[ShippingAddress]]))</f>
        <v>562 Main St</v>
      </c>
      <c r="Q3" t="str">
        <f>PROPER(TRIM((Table1[[#This Row],[PaymentMethod]])))</f>
        <v>Debit Card</v>
      </c>
      <c r="R3" t="str">
        <f>PROPER(TRIM(Table1[[#This Row],[ReferralSource]]))</f>
        <v>Email</v>
      </c>
      <c r="S3" s="5">
        <f>Table1[[#This Row],[TotalPrice]]/Table1[[#This Row],[ItemsInCart]]</f>
        <v>106.27</v>
      </c>
    </row>
    <row r="4" spans="1:20" x14ac:dyDescent="0.3">
      <c r="A4" t="s">
        <v>862</v>
      </c>
      <c r="B4" s="1">
        <v>44927</v>
      </c>
      <c r="C4" t="s">
        <v>2058</v>
      </c>
      <c r="D4" t="s">
        <v>2406</v>
      </c>
      <c r="E4">
        <v>2</v>
      </c>
      <c r="F4">
        <v>645.85</v>
      </c>
      <c r="G4" t="s">
        <v>2466</v>
      </c>
      <c r="H4" t="s">
        <v>3066</v>
      </c>
      <c r="I4" t="s">
        <v>3070</v>
      </c>
      <c r="J4" t="s">
        <v>3923</v>
      </c>
      <c r="K4">
        <v>5</v>
      </c>
      <c r="L4" t="s">
        <v>4283</v>
      </c>
      <c r="M4" t="s">
        <v>4279</v>
      </c>
      <c r="N4" s="5">
        <v>1291.7</v>
      </c>
      <c r="O4" t="str">
        <f>IF(ABS(Table1[[#This Row],[TotalPrice]]-Table1[[#This Row],[Quantity]]*Table1[[#This Row],[UnitPrice]]) &lt;0.01, "ok",)</f>
        <v>ok</v>
      </c>
      <c r="P4" t="str">
        <f>PROPER(TRIM(Table1[[#This Row],[ShippingAddress]]))</f>
        <v>634 Main St</v>
      </c>
      <c r="Q4" t="str">
        <f>PROPER(TRIM((Table1[[#This Row],[PaymentMethod]])))</f>
        <v>Online</v>
      </c>
      <c r="R4" t="str">
        <f>PROPER(TRIM(Table1[[#This Row],[ReferralSource]]))</f>
        <v>Referral</v>
      </c>
      <c r="S4" s="5">
        <f>Table1[[#This Row],[TotalPrice]]/Table1[[#This Row],[ItemsInCart]]</f>
        <v>258.34000000000003</v>
      </c>
    </row>
    <row r="5" spans="1:20" x14ac:dyDescent="0.3">
      <c r="A5" t="s">
        <v>387</v>
      </c>
      <c r="B5" s="1">
        <v>44928</v>
      </c>
      <c r="C5" t="s">
        <v>1587</v>
      </c>
      <c r="D5" t="s">
        <v>2408</v>
      </c>
      <c r="E5">
        <v>3</v>
      </c>
      <c r="F5">
        <v>341.15</v>
      </c>
      <c r="G5" t="s">
        <v>2720</v>
      </c>
      <c r="H5" t="s">
        <v>3069</v>
      </c>
      <c r="I5" t="s">
        <v>3074</v>
      </c>
      <c r="J5" t="s">
        <v>3448</v>
      </c>
      <c r="K5">
        <v>4</v>
      </c>
      <c r="L5" t="s">
        <v>4276</v>
      </c>
      <c r="M5" t="s">
        <v>4278</v>
      </c>
      <c r="N5" s="5">
        <v>1023.45</v>
      </c>
      <c r="O5" t="str">
        <f>IF(ABS(Table1[[#This Row],[TotalPrice]]-Table1[[#This Row],[Quantity]]*Table1[[#This Row],[UnitPrice]]) &lt;0.01, "ok",)</f>
        <v>ok</v>
      </c>
      <c r="P5" t="str">
        <f>PROPER(TRIM(Table1[[#This Row],[ShippingAddress]]))</f>
        <v>969 Main St</v>
      </c>
      <c r="Q5" t="str">
        <f>PROPER(TRIM((Table1[[#This Row],[PaymentMethod]])))</f>
        <v>Cash</v>
      </c>
      <c r="R5" t="str">
        <f>PROPER(TRIM(Table1[[#This Row],[ReferralSource]]))</f>
        <v>Instagram</v>
      </c>
      <c r="S5" s="5">
        <f>Table1[[#This Row],[TotalPrice]]/Table1[[#This Row],[ItemsInCart]]</f>
        <v>255.86250000000001</v>
      </c>
    </row>
    <row r="6" spans="1:20" x14ac:dyDescent="0.3">
      <c r="A6" t="s">
        <v>659</v>
      </c>
      <c r="B6" s="1">
        <v>44928</v>
      </c>
      <c r="C6" t="s">
        <v>1858</v>
      </c>
      <c r="D6" t="s">
        <v>2408</v>
      </c>
      <c r="E6">
        <v>2</v>
      </c>
      <c r="F6">
        <v>150.05000000000001</v>
      </c>
      <c r="G6" t="s">
        <v>2525</v>
      </c>
      <c r="H6" t="s">
        <v>3067</v>
      </c>
      <c r="I6" t="s">
        <v>3071</v>
      </c>
      <c r="J6" t="s">
        <v>3720</v>
      </c>
      <c r="K6">
        <v>4</v>
      </c>
      <c r="L6" t="s">
        <v>4275</v>
      </c>
      <c r="M6" t="s">
        <v>4281</v>
      </c>
      <c r="N6" s="5">
        <v>300.10000000000002</v>
      </c>
      <c r="O6" t="str">
        <f>IF(ABS(Table1[[#This Row],[TotalPrice]]-Table1[[#This Row],[Quantity]]*Table1[[#This Row],[UnitPrice]]) &lt;0.01, "ok",)</f>
        <v>ok</v>
      </c>
      <c r="P6" t="str">
        <f>PROPER(TRIM(Table1[[#This Row],[ShippingAddress]]))</f>
        <v>727 Main St</v>
      </c>
      <c r="Q6" t="str">
        <f>PROPER(TRIM((Table1[[#This Row],[PaymentMethod]])))</f>
        <v>Credit Card</v>
      </c>
      <c r="R6" t="str">
        <f>PROPER(TRIM(Table1[[#This Row],[ReferralSource]]))</f>
        <v>Facebook</v>
      </c>
      <c r="S6" s="5">
        <f>Table1[[#This Row],[TotalPrice]]/Table1[[#This Row],[ItemsInCart]]</f>
        <v>75.025000000000006</v>
      </c>
    </row>
    <row r="7" spans="1:20" x14ac:dyDescent="0.3">
      <c r="A7" t="s">
        <v>895</v>
      </c>
      <c r="B7" s="1">
        <v>44929</v>
      </c>
      <c r="C7" t="s">
        <v>2091</v>
      </c>
      <c r="D7" t="s">
        <v>2405</v>
      </c>
      <c r="E7">
        <v>2</v>
      </c>
      <c r="F7">
        <v>448.85</v>
      </c>
      <c r="G7" t="s">
        <v>2966</v>
      </c>
      <c r="H7" t="s">
        <v>3067</v>
      </c>
      <c r="I7" t="s">
        <v>3074</v>
      </c>
      <c r="J7" t="s">
        <v>3956</v>
      </c>
      <c r="K7">
        <v>6</v>
      </c>
      <c r="L7" t="s">
        <v>4283</v>
      </c>
      <c r="M7" t="s">
        <v>4278</v>
      </c>
      <c r="N7" s="5">
        <v>897.7</v>
      </c>
      <c r="O7" t="str">
        <f>IF(ABS(Table1[[#This Row],[TotalPrice]]-Table1[[#This Row],[Quantity]]*Table1[[#This Row],[UnitPrice]]) &lt;0.01, "ok",)</f>
        <v>ok</v>
      </c>
      <c r="P7" t="str">
        <f>PROPER(TRIM(Table1[[#This Row],[ShippingAddress]]))</f>
        <v>386 Main St</v>
      </c>
      <c r="Q7" t="str">
        <f>PROPER(TRIM((Table1[[#This Row],[PaymentMethod]])))</f>
        <v>Credit Card</v>
      </c>
      <c r="R7" t="str">
        <f>PROPER(TRIM(Table1[[#This Row],[ReferralSource]]))</f>
        <v>Instagram</v>
      </c>
      <c r="S7" s="5">
        <f>Table1[[#This Row],[TotalPrice]]/Table1[[#This Row],[ItemsInCart]]</f>
        <v>149.61666666666667</v>
      </c>
    </row>
    <row r="8" spans="1:20" x14ac:dyDescent="0.3">
      <c r="A8" t="s">
        <v>14</v>
      </c>
      <c r="B8" s="1">
        <v>44930</v>
      </c>
      <c r="C8" t="s">
        <v>1214</v>
      </c>
      <c r="D8" t="s">
        <v>2403</v>
      </c>
      <c r="E8">
        <v>5</v>
      </c>
      <c r="F8">
        <v>570.62</v>
      </c>
      <c r="G8" t="s">
        <v>2410</v>
      </c>
      <c r="H8" t="s">
        <v>3065</v>
      </c>
      <c r="I8" t="s">
        <v>3070</v>
      </c>
      <c r="J8" t="s">
        <v>3075</v>
      </c>
      <c r="K8">
        <v>7</v>
      </c>
      <c r="L8" t="s">
        <v>4275</v>
      </c>
      <c r="M8" t="s">
        <v>4278</v>
      </c>
      <c r="N8" s="5">
        <v>2853.1</v>
      </c>
      <c r="O8" t="str">
        <f>IF(ABS(Table1[[#This Row],[TotalPrice]]-Table1[[#This Row],[Quantity]]*Table1[[#This Row],[UnitPrice]]) &lt;0.01, "ok",)</f>
        <v>ok</v>
      </c>
      <c r="P8" t="str">
        <f>PROPER(TRIM(Table1[[#This Row],[ShippingAddress]]))</f>
        <v>928 Main St</v>
      </c>
      <c r="Q8" t="str">
        <f>PROPER(TRIM((Table1[[#This Row],[PaymentMethod]])))</f>
        <v>Debit Card</v>
      </c>
      <c r="R8" t="str">
        <f>PROPER(TRIM(Table1[[#This Row],[ReferralSource]]))</f>
        <v>Instagram</v>
      </c>
      <c r="S8" s="5">
        <f>Table1[[#This Row],[TotalPrice]]/Table1[[#This Row],[ItemsInCart]]</f>
        <v>407.58571428571429</v>
      </c>
    </row>
    <row r="9" spans="1:20" x14ac:dyDescent="0.3">
      <c r="A9" t="s">
        <v>712</v>
      </c>
      <c r="B9" s="1">
        <v>44930</v>
      </c>
      <c r="C9" t="s">
        <v>1910</v>
      </c>
      <c r="D9" t="s">
        <v>2408</v>
      </c>
      <c r="E9">
        <v>2</v>
      </c>
      <c r="F9">
        <v>388.22</v>
      </c>
      <c r="G9" t="s">
        <v>2792</v>
      </c>
      <c r="H9" t="s">
        <v>3069</v>
      </c>
      <c r="I9" t="s">
        <v>3073</v>
      </c>
      <c r="J9" t="s">
        <v>3773</v>
      </c>
      <c r="K9">
        <v>2</v>
      </c>
      <c r="L9" t="s">
        <v>4277</v>
      </c>
      <c r="M9" t="s">
        <v>4278</v>
      </c>
      <c r="N9" s="5">
        <v>776.44</v>
      </c>
      <c r="O9" t="str">
        <f>IF(ABS(Table1[[#This Row],[TotalPrice]]-Table1[[#This Row],[Quantity]]*Table1[[#This Row],[UnitPrice]]) &lt;0.01, "ok",)</f>
        <v>ok</v>
      </c>
      <c r="P9" t="str">
        <f>PROPER(TRIM(Table1[[#This Row],[ShippingAddress]]))</f>
        <v>169 Main St</v>
      </c>
      <c r="Q9" t="str">
        <f>PROPER(TRIM((Table1[[#This Row],[PaymentMethod]])))</f>
        <v>Cash</v>
      </c>
      <c r="R9" t="str">
        <f>PROPER(TRIM(Table1[[#This Row],[ReferralSource]]))</f>
        <v>Instagram</v>
      </c>
      <c r="S9" s="5">
        <f>Table1[[#This Row],[TotalPrice]]/Table1[[#This Row],[ItemsInCart]]</f>
        <v>388.22</v>
      </c>
    </row>
    <row r="10" spans="1:20" x14ac:dyDescent="0.3">
      <c r="A10" t="s">
        <v>385</v>
      </c>
      <c r="B10" s="1">
        <v>44931</v>
      </c>
      <c r="C10" t="s">
        <v>1585</v>
      </c>
      <c r="D10" t="s">
        <v>2404</v>
      </c>
      <c r="E10">
        <v>5</v>
      </c>
      <c r="F10">
        <v>307.76</v>
      </c>
      <c r="G10" t="s">
        <v>2422</v>
      </c>
      <c r="H10" t="s">
        <v>3068</v>
      </c>
      <c r="I10" t="s">
        <v>3074</v>
      </c>
      <c r="J10" t="s">
        <v>3446</v>
      </c>
      <c r="K10">
        <v>9</v>
      </c>
      <c r="L10" t="s">
        <v>4276</v>
      </c>
      <c r="M10" t="s">
        <v>4282</v>
      </c>
      <c r="N10" s="5">
        <v>1538.8</v>
      </c>
      <c r="O10" t="str">
        <f>IF(ABS(Table1[[#This Row],[TotalPrice]]-Table1[[#This Row],[Quantity]]*Table1[[#This Row],[UnitPrice]]) &lt;0.01, "ok",)</f>
        <v>ok</v>
      </c>
      <c r="P10" t="str">
        <f>PROPER(TRIM(Table1[[#This Row],[ShippingAddress]]))</f>
        <v>179 Main St</v>
      </c>
      <c r="Q10" t="str">
        <f>PROPER(TRIM((Table1[[#This Row],[PaymentMethod]])))</f>
        <v>Gift Card</v>
      </c>
      <c r="R10" t="str">
        <f>PROPER(TRIM(Table1[[#This Row],[ReferralSource]]))</f>
        <v>Google</v>
      </c>
      <c r="S10" s="5">
        <f>Table1[[#This Row],[TotalPrice]]/Table1[[#This Row],[ItemsInCart]]</f>
        <v>170.97777777777776</v>
      </c>
    </row>
    <row r="11" spans="1:20" x14ac:dyDescent="0.3">
      <c r="A11" t="s">
        <v>505</v>
      </c>
      <c r="B11" s="1">
        <v>44931</v>
      </c>
      <c r="C11" t="s">
        <v>1705</v>
      </c>
      <c r="D11" t="s">
        <v>2404</v>
      </c>
      <c r="E11">
        <v>5</v>
      </c>
      <c r="F11">
        <v>420.7</v>
      </c>
      <c r="G11" t="s">
        <v>2780</v>
      </c>
      <c r="H11" t="s">
        <v>3069</v>
      </c>
      <c r="I11" t="s">
        <v>3074</v>
      </c>
      <c r="J11" t="s">
        <v>3566</v>
      </c>
      <c r="K11">
        <v>5</v>
      </c>
      <c r="L11" t="s">
        <v>4277</v>
      </c>
      <c r="M11" t="s">
        <v>4281</v>
      </c>
      <c r="N11" s="5">
        <v>2103.5</v>
      </c>
      <c r="O11" t="str">
        <f>IF(ABS(Table1[[#This Row],[TotalPrice]]-Table1[[#This Row],[Quantity]]*Table1[[#This Row],[UnitPrice]]) &lt;0.01, "ok",)</f>
        <v>ok</v>
      </c>
      <c r="P11" t="str">
        <f>PROPER(TRIM(Table1[[#This Row],[ShippingAddress]]))</f>
        <v>481 Main St</v>
      </c>
      <c r="Q11" t="str">
        <f>PROPER(TRIM((Table1[[#This Row],[PaymentMethod]])))</f>
        <v>Cash</v>
      </c>
      <c r="R11" t="str">
        <f>PROPER(TRIM(Table1[[#This Row],[ReferralSource]]))</f>
        <v>Facebook</v>
      </c>
      <c r="S11" s="5">
        <f>Table1[[#This Row],[TotalPrice]]/Table1[[#This Row],[ItemsInCart]]</f>
        <v>420.7</v>
      </c>
    </row>
    <row r="12" spans="1:20" x14ac:dyDescent="0.3">
      <c r="A12" t="s">
        <v>486</v>
      </c>
      <c r="B12" s="1">
        <v>44932</v>
      </c>
      <c r="C12" t="s">
        <v>1686</v>
      </c>
      <c r="D12" t="s">
        <v>2406</v>
      </c>
      <c r="E12">
        <v>3</v>
      </c>
      <c r="F12">
        <v>508.12</v>
      </c>
      <c r="G12" t="s">
        <v>2776</v>
      </c>
      <c r="H12" t="s">
        <v>3067</v>
      </c>
      <c r="I12" t="s">
        <v>3071</v>
      </c>
      <c r="J12" t="s">
        <v>3547</v>
      </c>
      <c r="K12">
        <v>8</v>
      </c>
      <c r="L12" t="s">
        <v>4276</v>
      </c>
      <c r="M12" t="s">
        <v>4279</v>
      </c>
      <c r="N12" s="5">
        <v>1524.36</v>
      </c>
      <c r="O12" t="str">
        <f>IF(ABS(Table1[[#This Row],[TotalPrice]]-Table1[[#This Row],[Quantity]]*Table1[[#This Row],[UnitPrice]]) &lt;0.01, "ok",)</f>
        <v>ok</v>
      </c>
      <c r="P12" t="str">
        <f>PROPER(TRIM(Table1[[#This Row],[ShippingAddress]]))</f>
        <v>796 Main St</v>
      </c>
      <c r="Q12" t="str">
        <f>PROPER(TRIM((Table1[[#This Row],[PaymentMethod]])))</f>
        <v>Credit Card</v>
      </c>
      <c r="R12" t="str">
        <f>PROPER(TRIM(Table1[[#This Row],[ReferralSource]]))</f>
        <v>Referral</v>
      </c>
      <c r="S12" s="5">
        <f>Table1[[#This Row],[TotalPrice]]/Table1[[#This Row],[ItemsInCart]]</f>
        <v>190.54499999999999</v>
      </c>
    </row>
    <row r="13" spans="1:20" x14ac:dyDescent="0.3">
      <c r="A13" t="s">
        <v>48</v>
      </c>
      <c r="B13" s="1">
        <v>44933</v>
      </c>
      <c r="C13" t="s">
        <v>1248</v>
      </c>
      <c r="D13" t="s">
        <v>2406</v>
      </c>
      <c r="E13">
        <v>4</v>
      </c>
      <c r="F13">
        <v>576.52</v>
      </c>
      <c r="G13" t="s">
        <v>2444</v>
      </c>
      <c r="H13" t="s">
        <v>3067</v>
      </c>
      <c r="I13" t="s">
        <v>3074</v>
      </c>
      <c r="J13" t="s">
        <v>3109</v>
      </c>
      <c r="K13">
        <v>5</v>
      </c>
      <c r="L13" t="s">
        <v>4277</v>
      </c>
      <c r="M13" t="s">
        <v>4281</v>
      </c>
      <c r="N13" s="5">
        <v>2306.08</v>
      </c>
      <c r="O13" t="str">
        <f>IF(ABS(Table1[[#This Row],[TotalPrice]]-Table1[[#This Row],[Quantity]]*Table1[[#This Row],[UnitPrice]]) &lt;0.01, "ok",)</f>
        <v>ok</v>
      </c>
      <c r="P13" t="str">
        <f>PROPER(TRIM(Table1[[#This Row],[ShippingAddress]]))</f>
        <v>926 Main St</v>
      </c>
      <c r="Q13" t="str">
        <f>PROPER(TRIM((Table1[[#This Row],[PaymentMethod]])))</f>
        <v>Credit Card</v>
      </c>
      <c r="R13" t="str">
        <f>PROPER(TRIM(Table1[[#This Row],[ReferralSource]]))</f>
        <v>Facebook</v>
      </c>
      <c r="S13" s="5">
        <f>Table1[[#This Row],[TotalPrice]]/Table1[[#This Row],[ItemsInCart]]</f>
        <v>461.21600000000001</v>
      </c>
    </row>
    <row r="14" spans="1:20" x14ac:dyDescent="0.3">
      <c r="A14" t="s">
        <v>569</v>
      </c>
      <c r="B14" s="1">
        <v>44933</v>
      </c>
      <c r="C14" t="s">
        <v>1769</v>
      </c>
      <c r="D14" t="s">
        <v>2405</v>
      </c>
      <c r="E14">
        <v>1</v>
      </c>
      <c r="F14">
        <v>92.04</v>
      </c>
      <c r="G14" t="s">
        <v>2420</v>
      </c>
      <c r="H14" t="s">
        <v>3069</v>
      </c>
      <c r="I14" t="s">
        <v>3070</v>
      </c>
      <c r="J14" t="s">
        <v>3630</v>
      </c>
      <c r="K14">
        <v>2</v>
      </c>
      <c r="L14" t="s">
        <v>4283</v>
      </c>
      <c r="M14" t="s">
        <v>4281</v>
      </c>
      <c r="N14" s="5">
        <v>92.04</v>
      </c>
      <c r="O14" t="str">
        <f>IF(ABS(Table1[[#This Row],[TotalPrice]]-Table1[[#This Row],[Quantity]]*Table1[[#This Row],[UnitPrice]]) &lt;0.01, "ok",)</f>
        <v>ok</v>
      </c>
      <c r="P14" t="str">
        <f>PROPER(TRIM(Table1[[#This Row],[ShippingAddress]]))</f>
        <v>333 Main St</v>
      </c>
      <c r="Q14" t="str">
        <f>PROPER(TRIM((Table1[[#This Row],[PaymentMethod]])))</f>
        <v>Cash</v>
      </c>
      <c r="R14" t="str">
        <f>PROPER(TRIM(Table1[[#This Row],[ReferralSource]]))</f>
        <v>Facebook</v>
      </c>
      <c r="S14" s="5">
        <f>Table1[[#This Row],[TotalPrice]]/Table1[[#This Row],[ItemsInCart]]</f>
        <v>46.02</v>
      </c>
    </row>
    <row r="15" spans="1:20" x14ac:dyDescent="0.3">
      <c r="A15" t="s">
        <v>145</v>
      </c>
      <c r="B15" s="1">
        <v>44934</v>
      </c>
      <c r="C15" t="s">
        <v>1345</v>
      </c>
      <c r="D15" t="s">
        <v>2405</v>
      </c>
      <c r="E15">
        <v>1</v>
      </c>
      <c r="F15">
        <v>84.8</v>
      </c>
      <c r="G15" t="s">
        <v>2533</v>
      </c>
      <c r="H15" t="s">
        <v>3068</v>
      </c>
      <c r="I15" t="s">
        <v>3074</v>
      </c>
      <c r="J15" t="s">
        <v>3206</v>
      </c>
      <c r="K15">
        <v>5</v>
      </c>
      <c r="L15" t="s">
        <v>4283</v>
      </c>
      <c r="M15" t="s">
        <v>4278</v>
      </c>
      <c r="N15" s="5">
        <v>84.8</v>
      </c>
      <c r="O15" t="str">
        <f>IF(ABS(Table1[[#This Row],[TotalPrice]]-Table1[[#This Row],[Quantity]]*Table1[[#This Row],[UnitPrice]]) &lt;0.01, "ok",)</f>
        <v>ok</v>
      </c>
      <c r="P15" t="str">
        <f>PROPER(TRIM(Table1[[#This Row],[ShippingAddress]]))</f>
        <v>606 Main St</v>
      </c>
      <c r="Q15" t="str">
        <f>PROPER(TRIM((Table1[[#This Row],[PaymentMethod]])))</f>
        <v>Gift Card</v>
      </c>
      <c r="R15" t="str">
        <f>PROPER(TRIM(Table1[[#This Row],[ReferralSource]]))</f>
        <v>Instagram</v>
      </c>
      <c r="S15" s="5">
        <f>Table1[[#This Row],[TotalPrice]]/Table1[[#This Row],[ItemsInCart]]</f>
        <v>16.96</v>
      </c>
    </row>
    <row r="16" spans="1:20" x14ac:dyDescent="0.3">
      <c r="A16" t="s">
        <v>1098</v>
      </c>
      <c r="B16" s="1">
        <v>44934</v>
      </c>
      <c r="C16" t="s">
        <v>2290</v>
      </c>
      <c r="D16" t="s">
        <v>2404</v>
      </c>
      <c r="E16">
        <v>1</v>
      </c>
      <c r="F16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>
        <v>1</v>
      </c>
      <c r="L16" t="s">
        <v>4277</v>
      </c>
      <c r="M16" t="s">
        <v>4278</v>
      </c>
      <c r="N16" s="5">
        <v>70.819999999999993</v>
      </c>
      <c r="O16" t="str">
        <f>IF(ABS(Table1[[#This Row],[TotalPrice]]-Table1[[#This Row],[Quantity]]*Table1[[#This Row],[UnitPrice]]) &lt;0.01, "ok",)</f>
        <v>ok</v>
      </c>
      <c r="P16" t="str">
        <f>PROPER(TRIM(Table1[[#This Row],[ShippingAddress]]))</f>
        <v>128 Main St</v>
      </c>
      <c r="Q16" t="str">
        <f>PROPER(TRIM((Table1[[#This Row],[PaymentMethod]])))</f>
        <v>Gift Card</v>
      </c>
      <c r="R16" t="str">
        <f>PROPER(TRIM(Table1[[#This Row],[ReferralSource]]))</f>
        <v>Instagram</v>
      </c>
      <c r="S16" s="5">
        <f>Table1[[#This Row],[TotalPrice]]/Table1[[#This Row],[ItemsInCart]]</f>
        <v>70.819999999999993</v>
      </c>
    </row>
    <row r="17" spans="1:19" x14ac:dyDescent="0.3">
      <c r="A17" t="s">
        <v>1193</v>
      </c>
      <c r="B17" s="1">
        <v>44934</v>
      </c>
      <c r="C17" t="s">
        <v>2382</v>
      </c>
      <c r="D17" t="s">
        <v>2408</v>
      </c>
      <c r="E17">
        <v>5</v>
      </c>
      <c r="F1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>
        <v>6</v>
      </c>
      <c r="L17" t="s">
        <v>4277</v>
      </c>
      <c r="M17" t="s">
        <v>4278</v>
      </c>
      <c r="N17" s="5">
        <v>2592.75</v>
      </c>
      <c r="O17" t="str">
        <f>IF(ABS(Table1[[#This Row],[TotalPrice]]-Table1[[#This Row],[Quantity]]*Table1[[#This Row],[UnitPrice]]) &lt;0.01, "ok",)</f>
        <v>ok</v>
      </c>
      <c r="P17" t="str">
        <f>PROPER(TRIM(Table1[[#This Row],[ShippingAddress]]))</f>
        <v>907 Main St</v>
      </c>
      <c r="Q17" t="str">
        <f>PROPER(TRIM((Table1[[#This Row],[PaymentMethod]])))</f>
        <v>Credit Card</v>
      </c>
      <c r="R17" t="str">
        <f>PROPER(TRIM(Table1[[#This Row],[ReferralSource]]))</f>
        <v>Instagram</v>
      </c>
      <c r="S17" s="5">
        <f>Table1[[#This Row],[TotalPrice]]/Table1[[#This Row],[ItemsInCart]]</f>
        <v>432.125</v>
      </c>
    </row>
    <row r="18" spans="1:19" x14ac:dyDescent="0.3">
      <c r="A18" t="s">
        <v>276</v>
      </c>
      <c r="B18" s="1">
        <v>44936</v>
      </c>
      <c r="C18" t="s">
        <v>1476</v>
      </c>
      <c r="D18" t="s">
        <v>2404</v>
      </c>
      <c r="E18">
        <v>4</v>
      </c>
      <c r="F18">
        <v>249.07</v>
      </c>
      <c r="G18" t="s">
        <v>2536</v>
      </c>
      <c r="H18" t="s">
        <v>3067</v>
      </c>
      <c r="I18" t="s">
        <v>3072</v>
      </c>
      <c r="J18" t="s">
        <v>3337</v>
      </c>
      <c r="K18">
        <v>5</v>
      </c>
      <c r="L18" t="s">
        <v>4277</v>
      </c>
      <c r="M18" t="s">
        <v>4279</v>
      </c>
      <c r="N18" s="5">
        <v>996.28</v>
      </c>
      <c r="O18" t="str">
        <f>IF(ABS(Table1[[#This Row],[TotalPrice]]-Table1[[#This Row],[Quantity]]*Table1[[#This Row],[UnitPrice]]) &lt;0.01, "ok",)</f>
        <v>ok</v>
      </c>
      <c r="P18" t="str">
        <f>PROPER(TRIM(Table1[[#This Row],[ShippingAddress]]))</f>
        <v>642 Main St</v>
      </c>
      <c r="Q18" t="str">
        <f>PROPER(TRIM((Table1[[#This Row],[PaymentMethod]])))</f>
        <v>Credit Card</v>
      </c>
      <c r="R18" t="str">
        <f>PROPER(TRIM(Table1[[#This Row],[ReferralSource]]))</f>
        <v>Referral</v>
      </c>
      <c r="S18" s="5">
        <f>Table1[[#This Row],[TotalPrice]]/Table1[[#This Row],[ItemsInCart]]</f>
        <v>199.256</v>
      </c>
    </row>
    <row r="19" spans="1:19" x14ac:dyDescent="0.3">
      <c r="A19" t="s">
        <v>432</v>
      </c>
      <c r="B19" s="1">
        <v>44937</v>
      </c>
      <c r="C19" t="s">
        <v>1632</v>
      </c>
      <c r="D19" t="s">
        <v>2407</v>
      </c>
      <c r="E19">
        <v>1</v>
      </c>
      <c r="F19">
        <v>310.93</v>
      </c>
      <c r="G19" t="s">
        <v>2743</v>
      </c>
      <c r="H19" t="s">
        <v>3066</v>
      </c>
      <c r="I19" t="s">
        <v>3071</v>
      </c>
      <c r="J19" t="s">
        <v>3493</v>
      </c>
      <c r="K19">
        <v>3</v>
      </c>
      <c r="L19" t="s">
        <v>4283</v>
      </c>
      <c r="M19" t="s">
        <v>4281</v>
      </c>
      <c r="N19" s="5">
        <v>310.93</v>
      </c>
      <c r="O19" t="str">
        <f>IF(ABS(Table1[[#This Row],[TotalPrice]]-Table1[[#This Row],[Quantity]]*Table1[[#This Row],[UnitPrice]]) &lt;0.01, "ok",)</f>
        <v>ok</v>
      </c>
      <c r="P19" t="str">
        <f>PROPER(TRIM(Table1[[#This Row],[ShippingAddress]]))</f>
        <v>862 Main St</v>
      </c>
      <c r="Q19" t="str">
        <f>PROPER(TRIM((Table1[[#This Row],[PaymentMethod]])))</f>
        <v>Online</v>
      </c>
      <c r="R19" t="str">
        <f>PROPER(TRIM(Table1[[#This Row],[ReferralSource]]))</f>
        <v>Facebook</v>
      </c>
      <c r="S19" s="5">
        <f>Table1[[#This Row],[TotalPrice]]/Table1[[#This Row],[ItemsInCart]]</f>
        <v>103.64333333333333</v>
      </c>
    </row>
    <row r="20" spans="1:19" x14ac:dyDescent="0.3">
      <c r="A20" t="s">
        <v>1017</v>
      </c>
      <c r="B20" s="1">
        <v>44937</v>
      </c>
      <c r="C20" t="s">
        <v>2210</v>
      </c>
      <c r="D20" t="s">
        <v>2407</v>
      </c>
      <c r="E20">
        <v>5</v>
      </c>
      <c r="F20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>
        <v>7</v>
      </c>
      <c r="L20" t="s">
        <v>4275</v>
      </c>
      <c r="M20" t="s">
        <v>4282</v>
      </c>
      <c r="N20" s="5">
        <v>1599.85</v>
      </c>
      <c r="O20" t="str">
        <f>IF(ABS(Table1[[#This Row],[TotalPrice]]-Table1[[#This Row],[Quantity]]*Table1[[#This Row],[UnitPrice]]) &lt;0.01, "ok",)</f>
        <v>ok</v>
      </c>
      <c r="P20" t="str">
        <f>PROPER(TRIM(Table1[[#This Row],[ShippingAddress]]))</f>
        <v>582 Main St</v>
      </c>
      <c r="Q20" t="str">
        <f>PROPER(TRIM((Table1[[#This Row],[PaymentMethod]])))</f>
        <v>Cash</v>
      </c>
      <c r="R20" t="str">
        <f>PROPER(TRIM(Table1[[#This Row],[ReferralSource]]))</f>
        <v>Google</v>
      </c>
      <c r="S20" s="5">
        <f>Table1[[#This Row],[TotalPrice]]/Table1[[#This Row],[ItemsInCart]]</f>
        <v>228.54999999999998</v>
      </c>
    </row>
    <row r="21" spans="1:19" x14ac:dyDescent="0.3">
      <c r="A21" t="s">
        <v>971</v>
      </c>
      <c r="B21" s="1">
        <v>44938</v>
      </c>
      <c r="C21" t="s">
        <v>2164</v>
      </c>
      <c r="D21" t="s">
        <v>2403</v>
      </c>
      <c r="E21">
        <v>5</v>
      </c>
      <c r="F21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 s="5">
        <v>3219.45</v>
      </c>
      <c r="O21" t="str">
        <f>IF(ABS(Table1[[#This Row],[TotalPrice]]-Table1[[#This Row],[Quantity]]*Table1[[#This Row],[UnitPrice]]) &lt;0.01, "ok",)</f>
        <v>ok</v>
      </c>
      <c r="P21" t="str">
        <f>PROPER(TRIM(Table1[[#This Row],[ShippingAddress]]))</f>
        <v>851 Main St</v>
      </c>
      <c r="Q21" t="str">
        <f>PROPER(TRIM((Table1[[#This Row],[PaymentMethod]])))</f>
        <v>Cash</v>
      </c>
      <c r="R21" t="str">
        <f>PROPER(TRIM(Table1[[#This Row],[ReferralSource]]))</f>
        <v>Facebook</v>
      </c>
      <c r="S21" s="5">
        <f>Table1[[#This Row],[TotalPrice]]/Table1[[#This Row],[ItemsInCart]]</f>
        <v>402.43124999999998</v>
      </c>
    </row>
    <row r="22" spans="1:19" x14ac:dyDescent="0.3">
      <c r="A22" t="s">
        <v>1022</v>
      </c>
      <c r="B22" s="1">
        <v>44939</v>
      </c>
      <c r="C22" t="s">
        <v>2214</v>
      </c>
      <c r="D22" t="s">
        <v>2403</v>
      </c>
      <c r="E22">
        <v>3</v>
      </c>
      <c r="F22">
        <v>410.88</v>
      </c>
      <c r="G22" t="s">
        <v>2916</v>
      </c>
      <c r="H22" t="s">
        <v>3069</v>
      </c>
      <c r="I22" t="s">
        <v>3073</v>
      </c>
      <c r="J22" t="s">
        <v>4083</v>
      </c>
      <c r="K22">
        <v>8</v>
      </c>
      <c r="L22" t="s">
        <v>4276</v>
      </c>
      <c r="M22" t="s">
        <v>4278</v>
      </c>
      <c r="N22" s="5">
        <v>1232.6400000000001</v>
      </c>
      <c r="O22" t="str">
        <f>IF(ABS(Table1[[#This Row],[TotalPrice]]-Table1[[#This Row],[Quantity]]*Table1[[#This Row],[UnitPrice]]) &lt;0.01, "ok",)</f>
        <v>ok</v>
      </c>
      <c r="P22" t="str">
        <f>PROPER(TRIM(Table1[[#This Row],[ShippingAddress]]))</f>
        <v>257 Main St</v>
      </c>
      <c r="Q22" t="str">
        <f>PROPER(TRIM((Table1[[#This Row],[PaymentMethod]])))</f>
        <v>Cash</v>
      </c>
      <c r="R22" t="str">
        <f>PROPER(TRIM(Table1[[#This Row],[ReferralSource]]))</f>
        <v>Instagram</v>
      </c>
      <c r="S22" s="5">
        <f>Table1[[#This Row],[TotalPrice]]/Table1[[#This Row],[ItemsInCart]]</f>
        <v>154.08000000000001</v>
      </c>
    </row>
    <row r="23" spans="1:19" x14ac:dyDescent="0.3">
      <c r="A23" t="s">
        <v>107</v>
      </c>
      <c r="B23" s="1">
        <v>44940</v>
      </c>
      <c r="C23" t="s">
        <v>1307</v>
      </c>
      <c r="D23" t="s">
        <v>2409</v>
      </c>
      <c r="E23">
        <v>4</v>
      </c>
      <c r="F23">
        <v>431.01</v>
      </c>
      <c r="G23" t="s">
        <v>2497</v>
      </c>
      <c r="H23" t="s">
        <v>3067</v>
      </c>
      <c r="I23" t="s">
        <v>3072</v>
      </c>
      <c r="J23" t="s">
        <v>3168</v>
      </c>
      <c r="K23">
        <v>7</v>
      </c>
      <c r="L23" t="s">
        <v>4283</v>
      </c>
      <c r="M23" t="s">
        <v>4279</v>
      </c>
      <c r="N23" s="5">
        <v>1724.04</v>
      </c>
      <c r="O23" t="str">
        <f>IF(ABS(Table1[[#This Row],[TotalPrice]]-Table1[[#This Row],[Quantity]]*Table1[[#This Row],[UnitPrice]]) &lt;0.01, "ok",)</f>
        <v>ok</v>
      </c>
      <c r="P23" t="str">
        <f>PROPER(TRIM(Table1[[#This Row],[ShippingAddress]]))</f>
        <v>837 Main St</v>
      </c>
      <c r="Q23" t="str">
        <f>PROPER(TRIM((Table1[[#This Row],[PaymentMethod]])))</f>
        <v>Credit Card</v>
      </c>
      <c r="R23" t="str">
        <f>PROPER(TRIM(Table1[[#This Row],[ReferralSource]]))</f>
        <v>Referral</v>
      </c>
      <c r="S23" s="5">
        <f>Table1[[#This Row],[TotalPrice]]/Table1[[#This Row],[ItemsInCart]]</f>
        <v>246.29142857142855</v>
      </c>
    </row>
    <row r="24" spans="1:19" x14ac:dyDescent="0.3">
      <c r="A24" t="s">
        <v>112</v>
      </c>
      <c r="B24" s="1">
        <v>44940</v>
      </c>
      <c r="C24" t="s">
        <v>1312</v>
      </c>
      <c r="D24" t="s">
        <v>2407</v>
      </c>
      <c r="E24">
        <v>2</v>
      </c>
      <c r="F24">
        <v>228.54</v>
      </c>
      <c r="G24" t="s">
        <v>2501</v>
      </c>
      <c r="H24" t="s">
        <v>3065</v>
      </c>
      <c r="I24" t="s">
        <v>3074</v>
      </c>
      <c r="J24" t="s">
        <v>3173</v>
      </c>
      <c r="K24">
        <v>3</v>
      </c>
      <c r="L24" t="s">
        <v>4283</v>
      </c>
      <c r="M24" t="s">
        <v>4280</v>
      </c>
      <c r="N24" s="5">
        <v>457.08</v>
      </c>
      <c r="O24" t="str">
        <f>IF(ABS(Table1[[#This Row],[TotalPrice]]-Table1[[#This Row],[Quantity]]*Table1[[#This Row],[UnitPrice]]) &lt;0.01, "ok",)</f>
        <v>ok</v>
      </c>
      <c r="P24" t="str">
        <f>PROPER(TRIM(Table1[[#This Row],[ShippingAddress]]))</f>
        <v>533 Main St</v>
      </c>
      <c r="Q24" t="str">
        <f>PROPER(TRIM((Table1[[#This Row],[PaymentMethod]])))</f>
        <v>Debit Card</v>
      </c>
      <c r="R24" t="str">
        <f>PROPER(TRIM(Table1[[#This Row],[ReferralSource]]))</f>
        <v>Email</v>
      </c>
      <c r="S24" s="5">
        <f>Table1[[#This Row],[TotalPrice]]/Table1[[#This Row],[ItemsInCart]]</f>
        <v>152.35999999999999</v>
      </c>
    </row>
    <row r="25" spans="1:19" x14ac:dyDescent="0.3">
      <c r="A25" t="s">
        <v>764</v>
      </c>
      <c r="B25" s="1">
        <v>44940</v>
      </c>
      <c r="C25" t="s">
        <v>1961</v>
      </c>
      <c r="D25" t="s">
        <v>2405</v>
      </c>
      <c r="E25">
        <v>4</v>
      </c>
      <c r="F25">
        <v>145.41</v>
      </c>
      <c r="G25" t="s">
        <v>2905</v>
      </c>
      <c r="H25" t="s">
        <v>3067</v>
      </c>
      <c r="I25" t="s">
        <v>3072</v>
      </c>
      <c r="J25" t="s">
        <v>3825</v>
      </c>
      <c r="K25">
        <v>7</v>
      </c>
      <c r="L25" t="s">
        <v>4276</v>
      </c>
      <c r="M25" t="s">
        <v>4280</v>
      </c>
      <c r="N25" s="5">
        <v>581.64</v>
      </c>
      <c r="O25" t="str">
        <f>IF(ABS(Table1[[#This Row],[TotalPrice]]-Table1[[#This Row],[Quantity]]*Table1[[#This Row],[UnitPrice]]) &lt;0.01, "ok",)</f>
        <v>ok</v>
      </c>
      <c r="P25" t="str">
        <f>PROPER(TRIM(Table1[[#This Row],[ShippingAddress]]))</f>
        <v>637 Main St</v>
      </c>
      <c r="Q25" t="str">
        <f>PROPER(TRIM((Table1[[#This Row],[PaymentMethod]])))</f>
        <v>Credit Card</v>
      </c>
      <c r="R25" t="str">
        <f>PROPER(TRIM(Table1[[#This Row],[ReferralSource]]))</f>
        <v>Email</v>
      </c>
      <c r="S25" s="5">
        <f>Table1[[#This Row],[TotalPrice]]/Table1[[#This Row],[ItemsInCart]]</f>
        <v>83.091428571428565</v>
      </c>
    </row>
    <row r="26" spans="1:19" x14ac:dyDescent="0.3">
      <c r="A26" t="s">
        <v>72</v>
      </c>
      <c r="B26" s="1">
        <v>44941</v>
      </c>
      <c r="C26" t="s">
        <v>1272</v>
      </c>
      <c r="D26" t="s">
        <v>2404</v>
      </c>
      <c r="E26">
        <v>4</v>
      </c>
      <c r="F26">
        <v>474.69</v>
      </c>
      <c r="G26" t="s">
        <v>2464</v>
      </c>
      <c r="H26" t="s">
        <v>3068</v>
      </c>
      <c r="I26" t="s">
        <v>3071</v>
      </c>
      <c r="J26" t="s">
        <v>3133</v>
      </c>
      <c r="K26">
        <v>6</v>
      </c>
      <c r="L26" t="s">
        <v>4275</v>
      </c>
      <c r="M26" t="s">
        <v>4282</v>
      </c>
      <c r="N26" s="5">
        <v>1898.76</v>
      </c>
      <c r="O26" t="str">
        <f>IF(ABS(Table1[[#This Row],[TotalPrice]]-Table1[[#This Row],[Quantity]]*Table1[[#This Row],[UnitPrice]]) &lt;0.01, "ok",)</f>
        <v>ok</v>
      </c>
      <c r="P26" t="str">
        <f>PROPER(TRIM(Table1[[#This Row],[ShippingAddress]]))</f>
        <v>202 Main St</v>
      </c>
      <c r="Q26" t="str">
        <f>PROPER(TRIM((Table1[[#This Row],[PaymentMethod]])))</f>
        <v>Gift Card</v>
      </c>
      <c r="R26" t="str">
        <f>PROPER(TRIM(Table1[[#This Row],[ReferralSource]]))</f>
        <v>Google</v>
      </c>
      <c r="S26" s="5">
        <f>Table1[[#This Row],[TotalPrice]]/Table1[[#This Row],[ItemsInCart]]</f>
        <v>316.45999999999998</v>
      </c>
    </row>
    <row r="27" spans="1:19" x14ac:dyDescent="0.3">
      <c r="A27" t="s">
        <v>497</v>
      </c>
      <c r="B27" s="1">
        <v>44944</v>
      </c>
      <c r="C27" t="s">
        <v>1697</v>
      </c>
      <c r="D27" t="s">
        <v>2404</v>
      </c>
      <c r="E27">
        <v>5</v>
      </c>
      <c r="F27">
        <v>347.92</v>
      </c>
      <c r="G27" t="s">
        <v>2782</v>
      </c>
      <c r="H27" t="s">
        <v>3069</v>
      </c>
      <c r="I27" t="s">
        <v>3074</v>
      </c>
      <c r="J27" t="s">
        <v>3558</v>
      </c>
      <c r="K27">
        <v>6</v>
      </c>
      <c r="L27" t="s">
        <v>4277</v>
      </c>
      <c r="M27" t="s">
        <v>4282</v>
      </c>
      <c r="N27" s="5">
        <v>1739.6</v>
      </c>
      <c r="O27" t="str">
        <f>IF(ABS(Table1[[#This Row],[TotalPrice]]-Table1[[#This Row],[Quantity]]*Table1[[#This Row],[UnitPrice]]) &lt;0.01, "ok",)</f>
        <v>ok</v>
      </c>
      <c r="P27" t="str">
        <f>PROPER(TRIM(Table1[[#This Row],[ShippingAddress]]))</f>
        <v>982 Main St</v>
      </c>
      <c r="Q27" t="str">
        <f>PROPER(TRIM((Table1[[#This Row],[PaymentMethod]])))</f>
        <v>Cash</v>
      </c>
      <c r="R27" t="str">
        <f>PROPER(TRIM(Table1[[#This Row],[ReferralSource]]))</f>
        <v>Google</v>
      </c>
      <c r="S27" s="5">
        <f>Table1[[#This Row],[TotalPrice]]/Table1[[#This Row],[ItemsInCart]]</f>
        <v>289.93333333333334</v>
      </c>
    </row>
    <row r="28" spans="1:19" x14ac:dyDescent="0.3">
      <c r="A28" t="s">
        <v>397</v>
      </c>
      <c r="B28" s="1">
        <v>44946</v>
      </c>
      <c r="C28" t="s">
        <v>1597</v>
      </c>
      <c r="D28" t="s">
        <v>2406</v>
      </c>
      <c r="E28">
        <v>4</v>
      </c>
      <c r="F28">
        <v>393.8</v>
      </c>
      <c r="G28" t="s">
        <v>2497</v>
      </c>
      <c r="H28" t="s">
        <v>3067</v>
      </c>
      <c r="I28" t="s">
        <v>3074</v>
      </c>
      <c r="J28" t="s">
        <v>3458</v>
      </c>
      <c r="K28">
        <v>7</v>
      </c>
      <c r="L28" t="s">
        <v>4275</v>
      </c>
      <c r="M28" t="s">
        <v>4280</v>
      </c>
      <c r="N28" s="5">
        <v>1575.2</v>
      </c>
      <c r="O28" t="str">
        <f>IF(ABS(Table1[[#This Row],[TotalPrice]]-Table1[[#This Row],[Quantity]]*Table1[[#This Row],[UnitPrice]]) &lt;0.01, "ok",)</f>
        <v>ok</v>
      </c>
      <c r="P28" t="str">
        <f>PROPER(TRIM(Table1[[#This Row],[ShippingAddress]]))</f>
        <v>837 Main St</v>
      </c>
      <c r="Q28" t="str">
        <f>PROPER(TRIM((Table1[[#This Row],[PaymentMethod]])))</f>
        <v>Credit Card</v>
      </c>
      <c r="R28" t="str">
        <f>PROPER(TRIM(Table1[[#This Row],[ReferralSource]]))</f>
        <v>Email</v>
      </c>
      <c r="S28" s="5">
        <f>Table1[[#This Row],[TotalPrice]]/Table1[[#This Row],[ItemsInCart]]</f>
        <v>225.02857142857144</v>
      </c>
    </row>
    <row r="29" spans="1:19" x14ac:dyDescent="0.3">
      <c r="A29" t="s">
        <v>653</v>
      </c>
      <c r="B29" s="1">
        <v>44946</v>
      </c>
      <c r="C29" t="s">
        <v>1852</v>
      </c>
      <c r="D29" t="s">
        <v>2406</v>
      </c>
      <c r="E29">
        <v>1</v>
      </c>
      <c r="F29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>
        <v>5</v>
      </c>
      <c r="L29" t="s">
        <v>4283</v>
      </c>
      <c r="M29" t="s">
        <v>4279</v>
      </c>
      <c r="N29" s="5">
        <v>529.19000000000005</v>
      </c>
      <c r="O29" t="str">
        <f>IF(ABS(Table1[[#This Row],[TotalPrice]]-Table1[[#This Row],[Quantity]]*Table1[[#This Row],[UnitPrice]]) &lt;0.01, "ok",)</f>
        <v>ok</v>
      </c>
      <c r="P29" t="str">
        <f>PROPER(TRIM(Table1[[#This Row],[ShippingAddress]]))</f>
        <v>391 Main St</v>
      </c>
      <c r="Q29" t="str">
        <f>PROPER(TRIM((Table1[[#This Row],[PaymentMethod]])))</f>
        <v>Cash</v>
      </c>
      <c r="R29" t="str">
        <f>PROPER(TRIM(Table1[[#This Row],[ReferralSource]]))</f>
        <v>Referral</v>
      </c>
      <c r="S29" s="5">
        <f>Table1[[#This Row],[TotalPrice]]/Table1[[#This Row],[ItemsInCart]]</f>
        <v>105.83800000000001</v>
      </c>
    </row>
    <row r="30" spans="1:19" x14ac:dyDescent="0.3">
      <c r="A30" t="s">
        <v>1094</v>
      </c>
      <c r="B30" s="1">
        <v>44946</v>
      </c>
      <c r="C30" t="s">
        <v>2286</v>
      </c>
      <c r="D30" t="s">
        <v>2408</v>
      </c>
      <c r="E30">
        <v>5</v>
      </c>
      <c r="F30">
        <v>464.74</v>
      </c>
      <c r="G30" t="s">
        <v>3022</v>
      </c>
      <c r="H30" t="s">
        <v>3068</v>
      </c>
      <c r="I30" t="s">
        <v>3073</v>
      </c>
      <c r="J30" t="s">
        <v>4155</v>
      </c>
      <c r="K30">
        <v>7</v>
      </c>
      <c r="L30" t="s">
        <v>4283</v>
      </c>
      <c r="M30" t="s">
        <v>4279</v>
      </c>
      <c r="N30" s="5">
        <v>2323.6999999999998</v>
      </c>
      <c r="O30" t="str">
        <f>IF(ABS(Table1[[#This Row],[TotalPrice]]-Table1[[#This Row],[Quantity]]*Table1[[#This Row],[UnitPrice]]) &lt;0.01, "ok",)</f>
        <v>ok</v>
      </c>
      <c r="P30" t="str">
        <f>PROPER(TRIM(Table1[[#This Row],[ShippingAddress]]))</f>
        <v>438 Main St</v>
      </c>
      <c r="Q30" t="str">
        <f>PROPER(TRIM((Table1[[#This Row],[PaymentMethod]])))</f>
        <v>Gift Card</v>
      </c>
      <c r="R30" t="str">
        <f>PROPER(TRIM(Table1[[#This Row],[ReferralSource]]))</f>
        <v>Referral</v>
      </c>
      <c r="S30" s="5">
        <f>Table1[[#This Row],[TotalPrice]]/Table1[[#This Row],[ItemsInCart]]</f>
        <v>331.95714285714286</v>
      </c>
    </row>
    <row r="31" spans="1:19" x14ac:dyDescent="0.3">
      <c r="A31" t="s">
        <v>71</v>
      </c>
      <c r="B31" s="1">
        <v>44948</v>
      </c>
      <c r="C31" t="s">
        <v>1271</v>
      </c>
      <c r="D31" t="s">
        <v>2407</v>
      </c>
      <c r="E31">
        <v>5</v>
      </c>
      <c r="F31">
        <v>314.27</v>
      </c>
      <c r="G31" t="s">
        <v>2463</v>
      </c>
      <c r="H31" t="s">
        <v>3069</v>
      </c>
      <c r="I31" t="s">
        <v>3072</v>
      </c>
      <c r="J31" t="s">
        <v>3132</v>
      </c>
      <c r="K31">
        <v>6</v>
      </c>
      <c r="L31" t="s">
        <v>4275</v>
      </c>
      <c r="M31" t="s">
        <v>4278</v>
      </c>
      <c r="N31" s="5">
        <v>1571.35</v>
      </c>
      <c r="O31" t="str">
        <f>IF(ABS(Table1[[#This Row],[TotalPrice]]-Table1[[#This Row],[Quantity]]*Table1[[#This Row],[UnitPrice]]) &lt;0.01, "ok",)</f>
        <v>ok</v>
      </c>
      <c r="P31" t="str">
        <f>PROPER(TRIM(Table1[[#This Row],[ShippingAddress]]))</f>
        <v>842 Main St</v>
      </c>
      <c r="Q31" t="str">
        <f>PROPER(TRIM((Table1[[#This Row],[PaymentMethod]])))</f>
        <v>Cash</v>
      </c>
      <c r="R31" t="str">
        <f>PROPER(TRIM(Table1[[#This Row],[ReferralSource]]))</f>
        <v>Instagram</v>
      </c>
      <c r="S31" s="5">
        <f>Table1[[#This Row],[TotalPrice]]/Table1[[#This Row],[ItemsInCart]]</f>
        <v>261.89166666666665</v>
      </c>
    </row>
    <row r="32" spans="1:19" x14ac:dyDescent="0.3">
      <c r="A32" t="s">
        <v>591</v>
      </c>
      <c r="B32" s="1">
        <v>44948</v>
      </c>
      <c r="C32" t="s">
        <v>1791</v>
      </c>
      <c r="D32" t="s">
        <v>2405</v>
      </c>
      <c r="E32">
        <v>4</v>
      </c>
      <c r="F32">
        <v>185.41</v>
      </c>
      <c r="G32" t="s">
        <v>2488</v>
      </c>
      <c r="H32" t="s">
        <v>3066</v>
      </c>
      <c r="I32" t="s">
        <v>3072</v>
      </c>
      <c r="J32" t="s">
        <v>3652</v>
      </c>
      <c r="K32">
        <v>9</v>
      </c>
      <c r="L32" t="s">
        <v>4277</v>
      </c>
      <c r="M32" t="s">
        <v>4282</v>
      </c>
      <c r="N32" s="5">
        <v>741.64</v>
      </c>
      <c r="O32" t="str">
        <f>IF(ABS(Table1[[#This Row],[TotalPrice]]-Table1[[#This Row],[Quantity]]*Table1[[#This Row],[UnitPrice]]) &lt;0.01, "ok",)</f>
        <v>ok</v>
      </c>
      <c r="P32" t="str">
        <f>PROPER(TRIM(Table1[[#This Row],[ShippingAddress]]))</f>
        <v>967 Main St</v>
      </c>
      <c r="Q32" t="str">
        <f>PROPER(TRIM((Table1[[#This Row],[PaymentMethod]])))</f>
        <v>Online</v>
      </c>
      <c r="R32" t="str">
        <f>PROPER(TRIM(Table1[[#This Row],[ReferralSource]]))</f>
        <v>Google</v>
      </c>
      <c r="S32" s="5">
        <f>Table1[[#This Row],[TotalPrice]]/Table1[[#This Row],[ItemsInCart]]</f>
        <v>82.404444444444437</v>
      </c>
    </row>
    <row r="33" spans="1:19" x14ac:dyDescent="0.3">
      <c r="A33" t="s">
        <v>780</v>
      </c>
      <c r="B33" s="1">
        <v>44948</v>
      </c>
      <c r="C33" t="s">
        <v>1977</v>
      </c>
      <c r="D33" t="s">
        <v>2407</v>
      </c>
      <c r="E33">
        <v>2</v>
      </c>
      <c r="F33">
        <v>278.88</v>
      </c>
      <c r="G33" t="s">
        <v>2704</v>
      </c>
      <c r="H33" t="s">
        <v>3065</v>
      </c>
      <c r="I33" t="s">
        <v>3074</v>
      </c>
      <c r="J33" t="s">
        <v>3841</v>
      </c>
      <c r="K33">
        <v>3</v>
      </c>
      <c r="L33" t="s">
        <v>4276</v>
      </c>
      <c r="M33" t="s">
        <v>4279</v>
      </c>
      <c r="N33" s="5">
        <v>557.76</v>
      </c>
      <c r="O33" t="str">
        <f>IF(ABS(Table1[[#This Row],[TotalPrice]]-Table1[[#This Row],[Quantity]]*Table1[[#This Row],[UnitPrice]]) &lt;0.01, "ok",)</f>
        <v>ok</v>
      </c>
      <c r="P33" t="str">
        <f>PROPER(TRIM(Table1[[#This Row],[ShippingAddress]]))</f>
        <v>494 Main St</v>
      </c>
      <c r="Q33" t="str">
        <f>PROPER(TRIM((Table1[[#This Row],[PaymentMethod]])))</f>
        <v>Debit Card</v>
      </c>
      <c r="R33" t="str">
        <f>PROPER(TRIM(Table1[[#This Row],[ReferralSource]]))</f>
        <v>Referral</v>
      </c>
      <c r="S33" s="5">
        <f>Table1[[#This Row],[TotalPrice]]/Table1[[#This Row],[ItemsInCart]]</f>
        <v>185.92</v>
      </c>
    </row>
    <row r="34" spans="1:19" x14ac:dyDescent="0.3">
      <c r="A34" t="s">
        <v>33</v>
      </c>
      <c r="B34" s="1">
        <v>44949</v>
      </c>
      <c r="C34" t="s">
        <v>1233</v>
      </c>
      <c r="D34" t="s">
        <v>2403</v>
      </c>
      <c r="E34">
        <v>5</v>
      </c>
      <c r="F34">
        <v>224</v>
      </c>
      <c r="G34" t="s">
        <v>2429</v>
      </c>
      <c r="H34" t="s">
        <v>3069</v>
      </c>
      <c r="I34" t="s">
        <v>3072</v>
      </c>
      <c r="J34" t="s">
        <v>3094</v>
      </c>
      <c r="K34">
        <v>9</v>
      </c>
      <c r="L34" t="s">
        <v>4275</v>
      </c>
      <c r="M34" t="s">
        <v>4282</v>
      </c>
      <c r="N34" s="5">
        <v>1120</v>
      </c>
      <c r="O34" t="str">
        <f>IF(ABS(Table1[[#This Row],[TotalPrice]]-Table1[[#This Row],[Quantity]]*Table1[[#This Row],[UnitPrice]]) &lt;0.01, "ok",)</f>
        <v>ok</v>
      </c>
      <c r="P34" t="str">
        <f>PROPER(TRIM(Table1[[#This Row],[ShippingAddress]]))</f>
        <v>273 Main St</v>
      </c>
      <c r="Q34" t="str">
        <f>PROPER(TRIM((Table1[[#This Row],[PaymentMethod]])))</f>
        <v>Cash</v>
      </c>
      <c r="R34" t="str">
        <f>PROPER(TRIM(Table1[[#This Row],[ReferralSource]]))</f>
        <v>Google</v>
      </c>
      <c r="S34" s="5">
        <f>Table1[[#This Row],[TotalPrice]]/Table1[[#This Row],[ItemsInCart]]</f>
        <v>124.44444444444444</v>
      </c>
    </row>
    <row r="35" spans="1:19" x14ac:dyDescent="0.3">
      <c r="A35" t="s">
        <v>706</v>
      </c>
      <c r="B35" s="1">
        <v>44949</v>
      </c>
      <c r="C35" t="s">
        <v>1904</v>
      </c>
      <c r="D35" t="s">
        <v>2409</v>
      </c>
      <c r="E35">
        <v>5</v>
      </c>
      <c r="F35">
        <v>196.84</v>
      </c>
      <c r="G35" t="s">
        <v>2732</v>
      </c>
      <c r="H35" t="s">
        <v>3067</v>
      </c>
      <c r="I35" t="s">
        <v>3073</v>
      </c>
      <c r="J35" t="s">
        <v>3767</v>
      </c>
      <c r="K35">
        <v>5</v>
      </c>
      <c r="L35" t="s">
        <v>4277</v>
      </c>
      <c r="M35" t="s">
        <v>4278</v>
      </c>
      <c r="N35" s="5">
        <v>984.2</v>
      </c>
      <c r="O35" t="str">
        <f>IF(ABS(Table1[[#This Row],[TotalPrice]]-Table1[[#This Row],[Quantity]]*Table1[[#This Row],[UnitPrice]]) &lt;0.01, "ok",)</f>
        <v>ok</v>
      </c>
      <c r="P35" t="str">
        <f>PROPER(TRIM(Table1[[#This Row],[ShippingAddress]]))</f>
        <v>319 Main St</v>
      </c>
      <c r="Q35" t="str">
        <f>PROPER(TRIM((Table1[[#This Row],[PaymentMethod]])))</f>
        <v>Credit Card</v>
      </c>
      <c r="R35" t="str">
        <f>PROPER(TRIM(Table1[[#This Row],[ReferralSource]]))</f>
        <v>Instagram</v>
      </c>
      <c r="S35" s="5">
        <f>Table1[[#This Row],[TotalPrice]]/Table1[[#This Row],[ItemsInCart]]</f>
        <v>196.84</v>
      </c>
    </row>
    <row r="36" spans="1:19" x14ac:dyDescent="0.3">
      <c r="A36" t="s">
        <v>969</v>
      </c>
      <c r="B36" s="1">
        <v>44949</v>
      </c>
      <c r="C36" t="s">
        <v>2163</v>
      </c>
      <c r="D36" t="s">
        <v>2406</v>
      </c>
      <c r="E36">
        <v>1</v>
      </c>
      <c r="F36">
        <v>408.13</v>
      </c>
      <c r="G36" t="s">
        <v>2623</v>
      </c>
      <c r="H36" t="s">
        <v>3068</v>
      </c>
      <c r="I36" t="s">
        <v>3070</v>
      </c>
      <c r="J36" t="s">
        <v>4030</v>
      </c>
      <c r="K36">
        <v>3</v>
      </c>
      <c r="L36" t="s">
        <v>4277</v>
      </c>
      <c r="M36" t="s">
        <v>4278</v>
      </c>
      <c r="N36" s="5">
        <v>408.13</v>
      </c>
      <c r="O36" t="str">
        <f>IF(ABS(Table1[[#This Row],[TotalPrice]]-Table1[[#This Row],[Quantity]]*Table1[[#This Row],[UnitPrice]]) &lt;0.01, "ok",)</f>
        <v>ok</v>
      </c>
      <c r="P36" t="str">
        <f>PROPER(TRIM(Table1[[#This Row],[ShippingAddress]]))</f>
        <v>164 Main St</v>
      </c>
      <c r="Q36" t="str">
        <f>PROPER(TRIM((Table1[[#This Row],[PaymentMethod]])))</f>
        <v>Gift Card</v>
      </c>
      <c r="R36" t="str">
        <f>PROPER(TRIM(Table1[[#This Row],[ReferralSource]]))</f>
        <v>Instagram</v>
      </c>
      <c r="S36" s="5">
        <f>Table1[[#This Row],[TotalPrice]]/Table1[[#This Row],[ItemsInCart]]</f>
        <v>136.04333333333332</v>
      </c>
    </row>
    <row r="37" spans="1:19" x14ac:dyDescent="0.3">
      <c r="A37" t="s">
        <v>30</v>
      </c>
      <c r="B37" s="1">
        <v>44950</v>
      </c>
      <c r="C37" t="s">
        <v>1230</v>
      </c>
      <c r="D37" t="s">
        <v>2407</v>
      </c>
      <c r="E37">
        <v>2</v>
      </c>
      <c r="F3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>
        <v>3</v>
      </c>
      <c r="L37" t="s">
        <v>4276</v>
      </c>
      <c r="M37" t="s">
        <v>4280</v>
      </c>
      <c r="N37" s="5">
        <v>1067.6199999999999</v>
      </c>
      <c r="O37" t="str">
        <f>IF(ABS(Table1[[#This Row],[TotalPrice]]-Table1[[#This Row],[Quantity]]*Table1[[#This Row],[UnitPrice]]) &lt;0.01, "ok",)</f>
        <v>ok</v>
      </c>
      <c r="P37" t="str">
        <f>PROPER(TRIM(Table1[[#This Row],[ShippingAddress]]))</f>
        <v>914 Main St</v>
      </c>
      <c r="Q37" t="str">
        <f>PROPER(TRIM((Table1[[#This Row],[PaymentMethod]])))</f>
        <v>Credit Card</v>
      </c>
      <c r="R37" t="str">
        <f>PROPER(TRIM(Table1[[#This Row],[ReferralSource]]))</f>
        <v>Email</v>
      </c>
      <c r="S37" s="5">
        <f>Table1[[#This Row],[TotalPrice]]/Table1[[#This Row],[ItemsInCart]]</f>
        <v>355.87333333333328</v>
      </c>
    </row>
    <row r="38" spans="1:19" x14ac:dyDescent="0.3">
      <c r="A38" t="s">
        <v>765</v>
      </c>
      <c r="B38" s="1">
        <v>44950</v>
      </c>
      <c r="C38" t="s">
        <v>1962</v>
      </c>
      <c r="D38" t="s">
        <v>2405</v>
      </c>
      <c r="E38">
        <v>2</v>
      </c>
      <c r="F38">
        <v>599.86</v>
      </c>
      <c r="G38" t="s">
        <v>2906</v>
      </c>
      <c r="H38" t="s">
        <v>3068</v>
      </c>
      <c r="I38" t="s">
        <v>3074</v>
      </c>
      <c r="J38" t="s">
        <v>3826</v>
      </c>
      <c r="K38">
        <v>7</v>
      </c>
      <c r="L38" t="s">
        <v>4276</v>
      </c>
      <c r="M38" t="s">
        <v>4281</v>
      </c>
      <c r="N38" s="5">
        <v>1199.72</v>
      </c>
      <c r="O38" t="str">
        <f>IF(ABS(Table1[[#This Row],[TotalPrice]]-Table1[[#This Row],[Quantity]]*Table1[[#This Row],[UnitPrice]]) &lt;0.01, "ok",)</f>
        <v>ok</v>
      </c>
      <c r="P38" t="str">
        <f>PROPER(TRIM(Table1[[#This Row],[ShippingAddress]]))</f>
        <v>455 Main St</v>
      </c>
      <c r="Q38" t="str">
        <f>PROPER(TRIM((Table1[[#This Row],[PaymentMethod]])))</f>
        <v>Gift Card</v>
      </c>
      <c r="R38" t="str">
        <f>PROPER(TRIM(Table1[[#This Row],[ReferralSource]]))</f>
        <v>Facebook</v>
      </c>
      <c r="S38" s="5">
        <f>Table1[[#This Row],[TotalPrice]]/Table1[[#This Row],[ItemsInCart]]</f>
        <v>171.38857142857142</v>
      </c>
    </row>
    <row r="39" spans="1:19" x14ac:dyDescent="0.3">
      <c r="A39" t="s">
        <v>309</v>
      </c>
      <c r="B39" s="1">
        <v>44951</v>
      </c>
      <c r="C39" t="s">
        <v>1509</v>
      </c>
      <c r="D39" t="s">
        <v>2407</v>
      </c>
      <c r="E39">
        <v>5</v>
      </c>
      <c r="F39">
        <v>107.48</v>
      </c>
      <c r="G39" t="s">
        <v>2660</v>
      </c>
      <c r="H39" t="s">
        <v>3065</v>
      </c>
      <c r="I39" t="s">
        <v>3071</v>
      </c>
      <c r="J39" t="s">
        <v>3370</v>
      </c>
      <c r="K39">
        <v>9</v>
      </c>
      <c r="L39" t="s">
        <v>4276</v>
      </c>
      <c r="M39" t="s">
        <v>4280</v>
      </c>
      <c r="N39" s="5">
        <v>537.4</v>
      </c>
      <c r="O39" t="str">
        <f>IF(ABS(Table1[[#This Row],[TotalPrice]]-Table1[[#This Row],[Quantity]]*Table1[[#This Row],[UnitPrice]]) &lt;0.01, "ok",)</f>
        <v>ok</v>
      </c>
      <c r="P39" t="str">
        <f>PROPER(TRIM(Table1[[#This Row],[ShippingAddress]]))</f>
        <v>278 Main St</v>
      </c>
      <c r="Q39" t="str">
        <f>PROPER(TRIM((Table1[[#This Row],[PaymentMethod]])))</f>
        <v>Debit Card</v>
      </c>
      <c r="R39" t="str">
        <f>PROPER(TRIM(Table1[[#This Row],[ReferralSource]]))</f>
        <v>Email</v>
      </c>
      <c r="S39" s="5">
        <f>Table1[[#This Row],[TotalPrice]]/Table1[[#This Row],[ItemsInCart]]</f>
        <v>59.711111111111109</v>
      </c>
    </row>
    <row r="40" spans="1:19" x14ac:dyDescent="0.3">
      <c r="A40" t="s">
        <v>587</v>
      </c>
      <c r="B40" s="1">
        <v>44951</v>
      </c>
      <c r="C40" t="s">
        <v>1787</v>
      </c>
      <c r="D40" t="s">
        <v>2406</v>
      </c>
      <c r="E40">
        <v>5</v>
      </c>
      <c r="F40">
        <v>421.42</v>
      </c>
      <c r="G40" t="s">
        <v>2511</v>
      </c>
      <c r="H40" t="s">
        <v>3065</v>
      </c>
      <c r="I40" t="s">
        <v>3071</v>
      </c>
      <c r="J40" t="s">
        <v>3648</v>
      </c>
      <c r="K40">
        <v>7</v>
      </c>
      <c r="L40" t="s">
        <v>4283</v>
      </c>
      <c r="M40" t="s">
        <v>4278</v>
      </c>
      <c r="N40" s="5">
        <v>2107.1</v>
      </c>
      <c r="O40" t="str">
        <f>IF(ABS(Table1[[#This Row],[TotalPrice]]-Table1[[#This Row],[Quantity]]*Table1[[#This Row],[UnitPrice]]) &lt;0.01, "ok",)</f>
        <v>ok</v>
      </c>
      <c r="P40" t="str">
        <f>PROPER(TRIM(Table1[[#This Row],[ShippingAddress]]))</f>
        <v>522 Main St</v>
      </c>
      <c r="Q40" t="str">
        <f>PROPER(TRIM((Table1[[#This Row],[PaymentMethod]])))</f>
        <v>Debit Card</v>
      </c>
      <c r="R40" t="str">
        <f>PROPER(TRIM(Table1[[#This Row],[ReferralSource]]))</f>
        <v>Instagram</v>
      </c>
      <c r="S40" s="5">
        <f>Table1[[#This Row],[TotalPrice]]/Table1[[#This Row],[ItemsInCart]]</f>
        <v>301.01428571428568</v>
      </c>
    </row>
    <row r="41" spans="1:19" x14ac:dyDescent="0.3">
      <c r="A41" t="s">
        <v>947</v>
      </c>
      <c r="B41" s="1">
        <v>44952</v>
      </c>
      <c r="C41" t="s">
        <v>2143</v>
      </c>
      <c r="D41" t="s">
        <v>2403</v>
      </c>
      <c r="E41">
        <v>2</v>
      </c>
      <c r="F41">
        <v>394.16</v>
      </c>
      <c r="G41" t="s">
        <v>2617</v>
      </c>
      <c r="H41" t="s">
        <v>3066</v>
      </c>
      <c r="I41" t="s">
        <v>3070</v>
      </c>
      <c r="J41" t="s">
        <v>4008</v>
      </c>
      <c r="K41">
        <v>2</v>
      </c>
      <c r="L41" t="s">
        <v>4283</v>
      </c>
      <c r="M41" t="s">
        <v>4279</v>
      </c>
      <c r="N41" s="5">
        <v>788.32</v>
      </c>
      <c r="O41" t="str">
        <f>IF(ABS(Table1[[#This Row],[TotalPrice]]-Table1[[#This Row],[Quantity]]*Table1[[#This Row],[UnitPrice]]) &lt;0.01, "ok",)</f>
        <v>ok</v>
      </c>
      <c r="P41" t="str">
        <f>PROPER(TRIM(Table1[[#This Row],[ShippingAddress]]))</f>
        <v>255 Main St</v>
      </c>
      <c r="Q41" t="str">
        <f>PROPER(TRIM((Table1[[#This Row],[PaymentMethod]])))</f>
        <v>Online</v>
      </c>
      <c r="R41" t="str">
        <f>PROPER(TRIM(Table1[[#This Row],[ReferralSource]]))</f>
        <v>Referral</v>
      </c>
      <c r="S41" s="5">
        <f>Table1[[#This Row],[TotalPrice]]/Table1[[#This Row],[ItemsInCart]]</f>
        <v>394.16</v>
      </c>
    </row>
    <row r="42" spans="1:19" x14ac:dyDescent="0.3">
      <c r="A42" t="s">
        <v>570</v>
      </c>
      <c r="B42" s="1">
        <v>44954</v>
      </c>
      <c r="C42" t="s">
        <v>1770</v>
      </c>
      <c r="D42" t="s">
        <v>2408</v>
      </c>
      <c r="E42">
        <v>1</v>
      </c>
      <c r="F42">
        <v>654.27</v>
      </c>
      <c r="G42" t="s">
        <v>2817</v>
      </c>
      <c r="H42" t="s">
        <v>3068</v>
      </c>
      <c r="I42" t="s">
        <v>3074</v>
      </c>
      <c r="J42" t="s">
        <v>3631</v>
      </c>
      <c r="K42">
        <v>2</v>
      </c>
      <c r="L42" t="s">
        <v>4275</v>
      </c>
      <c r="M42" t="s">
        <v>4281</v>
      </c>
      <c r="N42" s="5">
        <v>654.27</v>
      </c>
      <c r="O42" t="str">
        <f>IF(ABS(Table1[[#This Row],[TotalPrice]]-Table1[[#This Row],[Quantity]]*Table1[[#This Row],[UnitPrice]]) &lt;0.01, "ok",)</f>
        <v>ok</v>
      </c>
      <c r="P42" t="str">
        <f>PROPER(TRIM(Table1[[#This Row],[ShippingAddress]]))</f>
        <v>932 Main St</v>
      </c>
      <c r="Q42" t="str">
        <f>PROPER(TRIM((Table1[[#This Row],[PaymentMethod]])))</f>
        <v>Gift Card</v>
      </c>
      <c r="R42" t="str">
        <f>PROPER(TRIM(Table1[[#This Row],[ReferralSource]]))</f>
        <v>Facebook</v>
      </c>
      <c r="S42" s="5">
        <f>Table1[[#This Row],[TotalPrice]]/Table1[[#This Row],[ItemsInCart]]</f>
        <v>327.13499999999999</v>
      </c>
    </row>
    <row r="43" spans="1:19" x14ac:dyDescent="0.3">
      <c r="A43" t="s">
        <v>676</v>
      </c>
      <c r="B43" s="1">
        <v>44954</v>
      </c>
      <c r="C43" t="s">
        <v>1875</v>
      </c>
      <c r="D43" t="s">
        <v>2408</v>
      </c>
      <c r="E43">
        <v>3</v>
      </c>
      <c r="F43">
        <v>438.89</v>
      </c>
      <c r="G43" t="s">
        <v>2864</v>
      </c>
      <c r="H43" t="s">
        <v>3069</v>
      </c>
      <c r="I43" t="s">
        <v>3072</v>
      </c>
      <c r="J43" t="s">
        <v>3737</v>
      </c>
      <c r="K43">
        <v>3</v>
      </c>
      <c r="L43" t="s">
        <v>4283</v>
      </c>
      <c r="M43" t="s">
        <v>4281</v>
      </c>
      <c r="N43" s="5">
        <v>1316.67</v>
      </c>
      <c r="O43" t="str">
        <f>IF(ABS(Table1[[#This Row],[TotalPrice]]-Table1[[#This Row],[Quantity]]*Table1[[#This Row],[UnitPrice]]) &lt;0.01, "ok",)</f>
        <v>ok</v>
      </c>
      <c r="P43" t="str">
        <f>PROPER(TRIM(Table1[[#This Row],[ShippingAddress]]))</f>
        <v>985 Main St</v>
      </c>
      <c r="Q43" t="str">
        <f>PROPER(TRIM((Table1[[#This Row],[PaymentMethod]])))</f>
        <v>Cash</v>
      </c>
      <c r="R43" t="str">
        <f>PROPER(TRIM(Table1[[#This Row],[ReferralSource]]))</f>
        <v>Facebook</v>
      </c>
      <c r="S43" s="5">
        <f>Table1[[#This Row],[TotalPrice]]/Table1[[#This Row],[ItemsInCart]]</f>
        <v>438.89000000000004</v>
      </c>
    </row>
    <row r="44" spans="1:19" x14ac:dyDescent="0.3">
      <c r="A44" t="s">
        <v>991</v>
      </c>
      <c r="B44" s="1">
        <v>44954</v>
      </c>
      <c r="C44" t="s">
        <v>2184</v>
      </c>
      <c r="D44" t="s">
        <v>2406</v>
      </c>
      <c r="E44">
        <v>4</v>
      </c>
      <c r="F44">
        <v>649.47</v>
      </c>
      <c r="G44" t="s">
        <v>2994</v>
      </c>
      <c r="H44" t="s">
        <v>3069</v>
      </c>
      <c r="I44" t="s">
        <v>3074</v>
      </c>
      <c r="J44" t="s">
        <v>4052</v>
      </c>
      <c r="K44">
        <v>8</v>
      </c>
      <c r="L44" t="s">
        <v>4275</v>
      </c>
      <c r="M44" t="s">
        <v>4282</v>
      </c>
      <c r="N44" s="5">
        <v>2597.88</v>
      </c>
      <c r="O44" t="str">
        <f>IF(ABS(Table1[[#This Row],[TotalPrice]]-Table1[[#This Row],[Quantity]]*Table1[[#This Row],[UnitPrice]]) &lt;0.01, "ok",)</f>
        <v>ok</v>
      </c>
      <c r="P44" t="str">
        <f>PROPER(TRIM(Table1[[#This Row],[ShippingAddress]]))</f>
        <v>608 Main St</v>
      </c>
      <c r="Q44" t="str">
        <f>PROPER(TRIM((Table1[[#This Row],[PaymentMethod]])))</f>
        <v>Cash</v>
      </c>
      <c r="R44" t="str">
        <f>PROPER(TRIM(Table1[[#This Row],[ReferralSource]]))</f>
        <v>Google</v>
      </c>
      <c r="S44" s="5">
        <f>Table1[[#This Row],[TotalPrice]]/Table1[[#This Row],[ItemsInCart]]</f>
        <v>324.73500000000001</v>
      </c>
    </row>
    <row r="45" spans="1:19" x14ac:dyDescent="0.3">
      <c r="A45" t="s">
        <v>36</v>
      </c>
      <c r="B45" s="1">
        <v>44955</v>
      </c>
      <c r="C45" t="s">
        <v>1236</v>
      </c>
      <c r="D45" t="s">
        <v>2403</v>
      </c>
      <c r="E45">
        <v>2</v>
      </c>
      <c r="F45">
        <v>49.62</v>
      </c>
      <c r="G45" t="s">
        <v>2432</v>
      </c>
      <c r="H45" t="s">
        <v>3066</v>
      </c>
      <c r="I45" t="s">
        <v>3074</v>
      </c>
      <c r="J45" t="s">
        <v>3097</v>
      </c>
      <c r="K45">
        <v>2</v>
      </c>
      <c r="L45" t="s">
        <v>4275</v>
      </c>
      <c r="M45" t="s">
        <v>4282</v>
      </c>
      <c r="N45" s="5">
        <v>99.24</v>
      </c>
      <c r="O45" t="str">
        <f>IF(ABS(Table1[[#This Row],[TotalPrice]]-Table1[[#This Row],[Quantity]]*Table1[[#This Row],[UnitPrice]]) &lt;0.01, "ok",)</f>
        <v>ok</v>
      </c>
      <c r="P45" t="str">
        <f>PROPER(TRIM(Table1[[#This Row],[ShippingAddress]]))</f>
        <v>633 Main St</v>
      </c>
      <c r="Q45" t="str">
        <f>PROPER(TRIM((Table1[[#This Row],[PaymentMethod]])))</f>
        <v>Online</v>
      </c>
      <c r="R45" t="str">
        <f>PROPER(TRIM(Table1[[#This Row],[ReferralSource]]))</f>
        <v>Google</v>
      </c>
      <c r="S45" s="5">
        <f>Table1[[#This Row],[TotalPrice]]/Table1[[#This Row],[ItemsInCart]]</f>
        <v>49.62</v>
      </c>
    </row>
    <row r="46" spans="1:19" x14ac:dyDescent="0.3">
      <c r="A46" t="s">
        <v>1165</v>
      </c>
      <c r="B46" s="1">
        <v>44955</v>
      </c>
      <c r="C46" t="s">
        <v>2354</v>
      </c>
      <c r="D46" t="s">
        <v>2406</v>
      </c>
      <c r="E46">
        <v>2</v>
      </c>
      <c r="F46">
        <v>608.04</v>
      </c>
      <c r="G46" t="s">
        <v>3047</v>
      </c>
      <c r="H46" t="s">
        <v>3069</v>
      </c>
      <c r="I46" t="s">
        <v>3071</v>
      </c>
      <c r="J46" t="s">
        <v>4226</v>
      </c>
      <c r="K46">
        <v>4</v>
      </c>
      <c r="L46" t="s">
        <v>4283</v>
      </c>
      <c r="M46" t="s">
        <v>4282</v>
      </c>
      <c r="N46" s="5">
        <v>1216.08</v>
      </c>
      <c r="O46" t="str">
        <f>IF(ABS(Table1[[#This Row],[TotalPrice]]-Table1[[#This Row],[Quantity]]*Table1[[#This Row],[UnitPrice]]) &lt;0.01, "ok",)</f>
        <v>ok</v>
      </c>
      <c r="P46" t="str">
        <f>PROPER(TRIM(Table1[[#This Row],[ShippingAddress]]))</f>
        <v>962 Main St</v>
      </c>
      <c r="Q46" t="str">
        <f>PROPER(TRIM((Table1[[#This Row],[PaymentMethod]])))</f>
        <v>Cash</v>
      </c>
      <c r="R46" t="str">
        <f>PROPER(TRIM(Table1[[#This Row],[ReferralSource]]))</f>
        <v>Google</v>
      </c>
      <c r="S46" s="5">
        <f>Table1[[#This Row],[TotalPrice]]/Table1[[#This Row],[ItemsInCart]]</f>
        <v>304.02</v>
      </c>
    </row>
    <row r="47" spans="1:19" x14ac:dyDescent="0.3">
      <c r="A47" t="s">
        <v>574</v>
      </c>
      <c r="B47" s="1">
        <v>44957</v>
      </c>
      <c r="C47" t="s">
        <v>1774</v>
      </c>
      <c r="D47" t="s">
        <v>2403</v>
      </c>
      <c r="E47">
        <v>4</v>
      </c>
      <c r="F47">
        <v>588.85</v>
      </c>
      <c r="G47" t="s">
        <v>2820</v>
      </c>
      <c r="H47" t="s">
        <v>3068</v>
      </c>
      <c r="I47" t="s">
        <v>3074</v>
      </c>
      <c r="J47" t="s">
        <v>3635</v>
      </c>
      <c r="K47">
        <v>7</v>
      </c>
      <c r="L47" t="s">
        <v>4283</v>
      </c>
      <c r="M47" t="s">
        <v>4280</v>
      </c>
      <c r="N47" s="5">
        <v>2355.4</v>
      </c>
      <c r="O47" t="str">
        <f>IF(ABS(Table1[[#This Row],[TotalPrice]]-Table1[[#This Row],[Quantity]]*Table1[[#This Row],[UnitPrice]]) &lt;0.01, "ok",)</f>
        <v>ok</v>
      </c>
      <c r="P47" t="str">
        <f>PROPER(TRIM(Table1[[#This Row],[ShippingAddress]]))</f>
        <v>524 Main St</v>
      </c>
      <c r="Q47" t="str">
        <f>PROPER(TRIM((Table1[[#This Row],[PaymentMethod]])))</f>
        <v>Gift Card</v>
      </c>
      <c r="R47" t="str">
        <f>PROPER(TRIM(Table1[[#This Row],[ReferralSource]]))</f>
        <v>Email</v>
      </c>
      <c r="S47" s="5">
        <f>Table1[[#This Row],[TotalPrice]]/Table1[[#This Row],[ItemsInCart]]</f>
        <v>336.48571428571432</v>
      </c>
    </row>
    <row r="48" spans="1:19" x14ac:dyDescent="0.3">
      <c r="A48" t="s">
        <v>575</v>
      </c>
      <c r="B48" s="1">
        <v>44957</v>
      </c>
      <c r="C48" t="s">
        <v>1775</v>
      </c>
      <c r="D48" t="s">
        <v>2407</v>
      </c>
      <c r="E48">
        <v>2</v>
      </c>
      <c r="F48">
        <v>494.78</v>
      </c>
      <c r="G48" t="s">
        <v>2821</v>
      </c>
      <c r="H48" t="s">
        <v>3066</v>
      </c>
      <c r="I48" t="s">
        <v>3070</v>
      </c>
      <c r="J48" t="s">
        <v>3636</v>
      </c>
      <c r="K48">
        <v>2</v>
      </c>
      <c r="L48" t="s">
        <v>4283</v>
      </c>
      <c r="M48" t="s">
        <v>4282</v>
      </c>
      <c r="N48" s="5">
        <v>989.56</v>
      </c>
      <c r="O48" t="str">
        <f>IF(ABS(Table1[[#This Row],[TotalPrice]]-Table1[[#This Row],[Quantity]]*Table1[[#This Row],[UnitPrice]]) &lt;0.01, "ok",)</f>
        <v>ok</v>
      </c>
      <c r="P48" t="str">
        <f>PROPER(TRIM(Table1[[#This Row],[ShippingAddress]]))</f>
        <v>198 Main St</v>
      </c>
      <c r="Q48" t="str">
        <f>PROPER(TRIM((Table1[[#This Row],[PaymentMethod]])))</f>
        <v>Online</v>
      </c>
      <c r="R48" t="str">
        <f>PROPER(TRIM(Table1[[#This Row],[ReferralSource]]))</f>
        <v>Google</v>
      </c>
      <c r="S48" s="5">
        <f>Table1[[#This Row],[TotalPrice]]/Table1[[#This Row],[ItemsInCart]]</f>
        <v>494.78</v>
      </c>
    </row>
    <row r="49" spans="1:19" x14ac:dyDescent="0.3">
      <c r="A49" t="s">
        <v>693</v>
      </c>
      <c r="B49" s="1">
        <v>44959</v>
      </c>
      <c r="C49" t="s">
        <v>1891</v>
      </c>
      <c r="D49" t="s">
        <v>2405</v>
      </c>
      <c r="E49">
        <v>3</v>
      </c>
      <c r="F49">
        <v>360.66</v>
      </c>
      <c r="G49" t="s">
        <v>2733</v>
      </c>
      <c r="H49" t="s">
        <v>3066</v>
      </c>
      <c r="I49" t="s">
        <v>3072</v>
      </c>
      <c r="J49" t="s">
        <v>3754</v>
      </c>
      <c r="K49">
        <v>5</v>
      </c>
      <c r="L49" t="s">
        <v>4276</v>
      </c>
      <c r="M49" t="s">
        <v>4278</v>
      </c>
      <c r="N49" s="5">
        <v>1081.98</v>
      </c>
      <c r="O49" t="str">
        <f>IF(ABS(Table1[[#This Row],[TotalPrice]]-Table1[[#This Row],[Quantity]]*Table1[[#This Row],[UnitPrice]]) &lt;0.01, "ok",)</f>
        <v>ok</v>
      </c>
      <c r="P49" t="str">
        <f>PROPER(TRIM(Table1[[#This Row],[ShippingAddress]]))</f>
        <v>304 Main St</v>
      </c>
      <c r="Q49" t="str">
        <f>PROPER(TRIM((Table1[[#This Row],[PaymentMethod]])))</f>
        <v>Online</v>
      </c>
      <c r="R49" t="str">
        <f>PROPER(TRIM(Table1[[#This Row],[ReferralSource]]))</f>
        <v>Instagram</v>
      </c>
      <c r="S49" s="5">
        <f>Table1[[#This Row],[TotalPrice]]/Table1[[#This Row],[ItemsInCart]]</f>
        <v>216.39600000000002</v>
      </c>
    </row>
    <row r="50" spans="1:19" x14ac:dyDescent="0.3">
      <c r="A50" t="s">
        <v>850</v>
      </c>
      <c r="B50" s="1">
        <v>44959</v>
      </c>
      <c r="C50" t="s">
        <v>2046</v>
      </c>
      <c r="D50" t="s">
        <v>2404</v>
      </c>
      <c r="E50">
        <v>1</v>
      </c>
      <c r="F50">
        <v>178.44</v>
      </c>
      <c r="G50" t="s">
        <v>2860</v>
      </c>
      <c r="H50" t="s">
        <v>3067</v>
      </c>
      <c r="I50" t="s">
        <v>3071</v>
      </c>
      <c r="J50" t="s">
        <v>3911</v>
      </c>
      <c r="K50">
        <v>2</v>
      </c>
      <c r="L50" t="s">
        <v>4276</v>
      </c>
      <c r="M50" t="s">
        <v>4282</v>
      </c>
      <c r="N50" s="5">
        <v>178.44</v>
      </c>
      <c r="O50" t="str">
        <f>IF(ABS(Table1[[#This Row],[TotalPrice]]-Table1[[#This Row],[Quantity]]*Table1[[#This Row],[UnitPrice]]) &lt;0.01, "ok",)</f>
        <v>ok</v>
      </c>
      <c r="P50" t="str">
        <f>PROPER(TRIM(Table1[[#This Row],[ShippingAddress]]))</f>
        <v>328 Main St</v>
      </c>
      <c r="Q50" t="str">
        <f>PROPER(TRIM((Table1[[#This Row],[PaymentMethod]])))</f>
        <v>Credit Card</v>
      </c>
      <c r="R50" t="str">
        <f>PROPER(TRIM(Table1[[#This Row],[ReferralSource]]))</f>
        <v>Google</v>
      </c>
      <c r="S50" s="5">
        <f>Table1[[#This Row],[TotalPrice]]/Table1[[#This Row],[ItemsInCart]]</f>
        <v>89.22</v>
      </c>
    </row>
    <row r="51" spans="1:19" x14ac:dyDescent="0.3">
      <c r="A51" t="s">
        <v>500</v>
      </c>
      <c r="B51" s="1">
        <v>44960</v>
      </c>
      <c r="C51" t="s">
        <v>1700</v>
      </c>
      <c r="D51" t="s">
        <v>2407</v>
      </c>
      <c r="E51">
        <v>4</v>
      </c>
      <c r="F51">
        <v>611.26</v>
      </c>
      <c r="G51" t="s">
        <v>2727</v>
      </c>
      <c r="H51" t="s">
        <v>3069</v>
      </c>
      <c r="I51" t="s">
        <v>3070</v>
      </c>
      <c r="J51" t="s">
        <v>3561</v>
      </c>
      <c r="K51">
        <v>5</v>
      </c>
      <c r="L51" t="s">
        <v>4275</v>
      </c>
      <c r="M51" t="s">
        <v>4279</v>
      </c>
      <c r="N51" s="5">
        <v>2445.04</v>
      </c>
      <c r="O51" t="str">
        <f>IF(ABS(Table1[[#This Row],[TotalPrice]]-Table1[[#This Row],[Quantity]]*Table1[[#This Row],[UnitPrice]]) &lt;0.01, "ok",)</f>
        <v>ok</v>
      </c>
      <c r="P51" t="str">
        <f>PROPER(TRIM(Table1[[#This Row],[ShippingAddress]]))</f>
        <v>558 Main St</v>
      </c>
      <c r="Q51" t="str">
        <f>PROPER(TRIM((Table1[[#This Row],[PaymentMethod]])))</f>
        <v>Cash</v>
      </c>
      <c r="R51" t="str">
        <f>PROPER(TRIM(Table1[[#This Row],[ReferralSource]]))</f>
        <v>Referral</v>
      </c>
      <c r="S51" s="5">
        <f>Table1[[#This Row],[TotalPrice]]/Table1[[#This Row],[ItemsInCart]]</f>
        <v>489.00799999999998</v>
      </c>
    </row>
    <row r="52" spans="1:19" x14ac:dyDescent="0.3">
      <c r="A52" t="s">
        <v>288</v>
      </c>
      <c r="B52" s="1">
        <v>44961</v>
      </c>
      <c r="C52" t="s">
        <v>1488</v>
      </c>
      <c r="D52" t="s">
        <v>2404</v>
      </c>
      <c r="E52">
        <v>2</v>
      </c>
      <c r="F52">
        <v>182.4</v>
      </c>
      <c r="G52" t="s">
        <v>2644</v>
      </c>
      <c r="H52" t="s">
        <v>3068</v>
      </c>
      <c r="I52" t="s">
        <v>3071</v>
      </c>
      <c r="J52" t="s">
        <v>3349</v>
      </c>
      <c r="K52">
        <v>5</v>
      </c>
      <c r="L52" t="s">
        <v>4275</v>
      </c>
      <c r="M52" t="s">
        <v>4279</v>
      </c>
      <c r="N52" s="5">
        <v>364.8</v>
      </c>
      <c r="O52" t="str">
        <f>IF(ABS(Table1[[#This Row],[TotalPrice]]-Table1[[#This Row],[Quantity]]*Table1[[#This Row],[UnitPrice]]) &lt;0.01, "ok",)</f>
        <v>ok</v>
      </c>
      <c r="P52" t="str">
        <f>PROPER(TRIM(Table1[[#This Row],[ShippingAddress]]))</f>
        <v>884 Main St</v>
      </c>
      <c r="Q52" t="str">
        <f>PROPER(TRIM((Table1[[#This Row],[PaymentMethod]])))</f>
        <v>Gift Card</v>
      </c>
      <c r="R52" t="str">
        <f>PROPER(TRIM(Table1[[#This Row],[ReferralSource]]))</f>
        <v>Referral</v>
      </c>
      <c r="S52" s="5">
        <f>Table1[[#This Row],[TotalPrice]]/Table1[[#This Row],[ItemsInCart]]</f>
        <v>72.960000000000008</v>
      </c>
    </row>
    <row r="53" spans="1:19" x14ac:dyDescent="0.3">
      <c r="A53" t="s">
        <v>683</v>
      </c>
      <c r="B53" s="1">
        <v>44962</v>
      </c>
      <c r="C53" t="s">
        <v>1881</v>
      </c>
      <c r="D53" t="s">
        <v>2409</v>
      </c>
      <c r="E53">
        <v>1</v>
      </c>
      <c r="F53">
        <v>257</v>
      </c>
      <c r="G53" t="s">
        <v>2867</v>
      </c>
      <c r="H53" t="s">
        <v>3065</v>
      </c>
      <c r="I53" t="s">
        <v>3071</v>
      </c>
      <c r="J53" t="s">
        <v>3744</v>
      </c>
      <c r="K53">
        <v>5</v>
      </c>
      <c r="L53" t="s">
        <v>4283</v>
      </c>
      <c r="M53" t="s">
        <v>4279</v>
      </c>
      <c r="N53" s="5">
        <v>257</v>
      </c>
      <c r="O53" t="str">
        <f>IF(ABS(Table1[[#This Row],[TotalPrice]]-Table1[[#This Row],[Quantity]]*Table1[[#This Row],[UnitPrice]]) &lt;0.01, "ok",)</f>
        <v>ok</v>
      </c>
      <c r="P53" t="str">
        <f>PROPER(TRIM(Table1[[#This Row],[ShippingAddress]]))</f>
        <v>812 Main St</v>
      </c>
      <c r="Q53" t="str">
        <f>PROPER(TRIM((Table1[[#This Row],[PaymentMethod]])))</f>
        <v>Debit Card</v>
      </c>
      <c r="R53" t="str">
        <f>PROPER(TRIM(Table1[[#This Row],[ReferralSource]]))</f>
        <v>Referral</v>
      </c>
      <c r="S53" s="5">
        <f>Table1[[#This Row],[TotalPrice]]/Table1[[#This Row],[ItemsInCart]]</f>
        <v>51.4</v>
      </c>
    </row>
    <row r="54" spans="1:19" x14ac:dyDescent="0.3">
      <c r="A54" t="s">
        <v>843</v>
      </c>
      <c r="B54" s="1">
        <v>44962</v>
      </c>
      <c r="C54" t="s">
        <v>2039</v>
      </c>
      <c r="D54" t="s">
        <v>2403</v>
      </c>
      <c r="E54">
        <v>1</v>
      </c>
      <c r="F54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>
        <v>6</v>
      </c>
      <c r="L54" t="s">
        <v>4277</v>
      </c>
      <c r="M54" t="s">
        <v>4278</v>
      </c>
      <c r="N54" s="5">
        <v>76.930000000000007</v>
      </c>
      <c r="O54" t="str">
        <f>IF(ABS(Table1[[#This Row],[TotalPrice]]-Table1[[#This Row],[Quantity]]*Table1[[#This Row],[UnitPrice]]) &lt;0.01, "ok",)</f>
        <v>ok</v>
      </c>
      <c r="P54" t="str">
        <f>PROPER(TRIM(Table1[[#This Row],[ShippingAddress]]))</f>
        <v>685 Main St</v>
      </c>
      <c r="Q54" t="str">
        <f>PROPER(TRIM((Table1[[#This Row],[PaymentMethod]])))</f>
        <v>Debit Card</v>
      </c>
      <c r="R54" t="str">
        <f>PROPER(TRIM(Table1[[#This Row],[ReferralSource]]))</f>
        <v>Instagram</v>
      </c>
      <c r="S54" s="5">
        <f>Table1[[#This Row],[TotalPrice]]/Table1[[#This Row],[ItemsInCart]]</f>
        <v>12.821666666666667</v>
      </c>
    </row>
    <row r="55" spans="1:19" x14ac:dyDescent="0.3">
      <c r="A55" t="s">
        <v>967</v>
      </c>
      <c r="B55" s="1">
        <v>44963</v>
      </c>
      <c r="C55" t="s">
        <v>2161</v>
      </c>
      <c r="D55" t="s">
        <v>2404</v>
      </c>
      <c r="E55">
        <v>1</v>
      </c>
      <c r="F55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>
        <v>2</v>
      </c>
      <c r="L55" t="s">
        <v>4276</v>
      </c>
      <c r="M55" t="s">
        <v>4281</v>
      </c>
      <c r="N55" s="5">
        <v>131.61000000000001</v>
      </c>
      <c r="O55" t="str">
        <f>IF(ABS(Table1[[#This Row],[TotalPrice]]-Table1[[#This Row],[Quantity]]*Table1[[#This Row],[UnitPrice]]) &lt;0.01, "ok",)</f>
        <v>ok</v>
      </c>
      <c r="P55" t="str">
        <f>PROPER(TRIM(Table1[[#This Row],[ShippingAddress]]))</f>
        <v>971 Main St</v>
      </c>
      <c r="Q55" t="str">
        <f>PROPER(TRIM((Table1[[#This Row],[PaymentMethod]])))</f>
        <v>Cash</v>
      </c>
      <c r="R55" t="str">
        <f>PROPER(TRIM(Table1[[#This Row],[ReferralSource]]))</f>
        <v>Facebook</v>
      </c>
      <c r="S55" s="5">
        <f>Table1[[#This Row],[TotalPrice]]/Table1[[#This Row],[ItemsInCart]]</f>
        <v>65.805000000000007</v>
      </c>
    </row>
    <row r="56" spans="1:19" x14ac:dyDescent="0.3">
      <c r="A56" t="s">
        <v>201</v>
      </c>
      <c r="B56" s="1">
        <v>44965</v>
      </c>
      <c r="C56" t="s">
        <v>1401</v>
      </c>
      <c r="D56" t="s">
        <v>2406</v>
      </c>
      <c r="E56">
        <v>1</v>
      </c>
      <c r="F56">
        <v>590.87</v>
      </c>
      <c r="G56" t="s">
        <v>2579</v>
      </c>
      <c r="H56" t="s">
        <v>3068</v>
      </c>
      <c r="I56" t="s">
        <v>3072</v>
      </c>
      <c r="J56" t="s">
        <v>3262</v>
      </c>
      <c r="K56">
        <v>6</v>
      </c>
      <c r="L56" t="s">
        <v>4276</v>
      </c>
      <c r="M56" t="s">
        <v>4279</v>
      </c>
      <c r="N56" s="5">
        <v>590.87</v>
      </c>
      <c r="O56" t="str">
        <f>IF(ABS(Table1[[#This Row],[TotalPrice]]-Table1[[#This Row],[Quantity]]*Table1[[#This Row],[UnitPrice]]) &lt;0.01, "ok",)</f>
        <v>ok</v>
      </c>
      <c r="P56" t="str">
        <f>PROPER(TRIM(Table1[[#This Row],[ShippingAddress]]))</f>
        <v>689 Main St</v>
      </c>
      <c r="Q56" t="str">
        <f>PROPER(TRIM((Table1[[#This Row],[PaymentMethod]])))</f>
        <v>Gift Card</v>
      </c>
      <c r="R56" t="str">
        <f>PROPER(TRIM(Table1[[#This Row],[ReferralSource]]))</f>
        <v>Referral</v>
      </c>
      <c r="S56" s="5">
        <f>Table1[[#This Row],[TotalPrice]]/Table1[[#This Row],[ItemsInCart]]</f>
        <v>98.478333333333339</v>
      </c>
    </row>
    <row r="57" spans="1:19" x14ac:dyDescent="0.3">
      <c r="A57" t="s">
        <v>380</v>
      </c>
      <c r="B57" s="1">
        <v>44967</v>
      </c>
      <c r="C57" t="s">
        <v>1580</v>
      </c>
      <c r="D57" t="s">
        <v>2407</v>
      </c>
      <c r="E57">
        <v>3</v>
      </c>
      <c r="F57">
        <v>602.24</v>
      </c>
      <c r="G57" t="s">
        <v>2715</v>
      </c>
      <c r="H57" t="s">
        <v>3065</v>
      </c>
      <c r="I57" t="s">
        <v>3074</v>
      </c>
      <c r="J57" t="s">
        <v>3441</v>
      </c>
      <c r="K57">
        <v>8</v>
      </c>
      <c r="L57" t="s">
        <v>4283</v>
      </c>
      <c r="M57" t="s">
        <v>4279</v>
      </c>
      <c r="N57" s="5">
        <v>1806.72</v>
      </c>
      <c r="O57" t="str">
        <f>IF(ABS(Table1[[#This Row],[TotalPrice]]-Table1[[#This Row],[Quantity]]*Table1[[#This Row],[UnitPrice]]) &lt;0.01, "ok",)</f>
        <v>ok</v>
      </c>
      <c r="P57" t="str">
        <f>PROPER(TRIM(Table1[[#This Row],[ShippingAddress]]))</f>
        <v>603 Main St</v>
      </c>
      <c r="Q57" t="str">
        <f>PROPER(TRIM((Table1[[#This Row],[PaymentMethod]])))</f>
        <v>Debit Card</v>
      </c>
      <c r="R57" t="str">
        <f>PROPER(TRIM(Table1[[#This Row],[ReferralSource]]))</f>
        <v>Referral</v>
      </c>
      <c r="S57" s="5">
        <f>Table1[[#This Row],[TotalPrice]]/Table1[[#This Row],[ItemsInCart]]</f>
        <v>225.84</v>
      </c>
    </row>
    <row r="58" spans="1:19" x14ac:dyDescent="0.3">
      <c r="A58" t="s">
        <v>108</v>
      </c>
      <c r="B58" s="1">
        <v>44968</v>
      </c>
      <c r="C58" t="s">
        <v>1308</v>
      </c>
      <c r="D58" t="s">
        <v>2406</v>
      </c>
      <c r="E58">
        <v>1</v>
      </c>
      <c r="F58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>
        <v>6</v>
      </c>
      <c r="L58" t="s">
        <v>4277</v>
      </c>
      <c r="M58" t="s">
        <v>4278</v>
      </c>
      <c r="N58" s="5">
        <v>531.17999999999995</v>
      </c>
      <c r="O58" t="str">
        <f>IF(ABS(Table1[[#This Row],[TotalPrice]]-Table1[[#This Row],[Quantity]]*Table1[[#This Row],[UnitPrice]]) &lt;0.01, "ok",)</f>
        <v>ok</v>
      </c>
      <c r="P58" t="str">
        <f>PROPER(TRIM(Table1[[#This Row],[ShippingAddress]]))</f>
        <v>781 Main St</v>
      </c>
      <c r="Q58" t="str">
        <f>PROPER(TRIM((Table1[[#This Row],[PaymentMethod]])))</f>
        <v>Gift Card</v>
      </c>
      <c r="R58" t="str">
        <f>PROPER(TRIM(Table1[[#This Row],[ReferralSource]]))</f>
        <v>Instagram</v>
      </c>
      <c r="S58" s="5">
        <f>Table1[[#This Row],[TotalPrice]]/Table1[[#This Row],[ItemsInCart]]</f>
        <v>88.529999999999987</v>
      </c>
    </row>
    <row r="59" spans="1:19" x14ac:dyDescent="0.3">
      <c r="A59" t="s">
        <v>450</v>
      </c>
      <c r="B59" s="1">
        <v>44968</v>
      </c>
      <c r="C59" t="s">
        <v>1650</v>
      </c>
      <c r="D59" t="s">
        <v>2408</v>
      </c>
      <c r="E59">
        <v>4</v>
      </c>
      <c r="F59">
        <v>221.33</v>
      </c>
      <c r="G59" t="s">
        <v>2553</v>
      </c>
      <c r="H59" t="s">
        <v>3066</v>
      </c>
      <c r="I59" t="s">
        <v>3074</v>
      </c>
      <c r="J59" t="s">
        <v>3511</v>
      </c>
      <c r="K59">
        <v>5</v>
      </c>
      <c r="L59" t="s">
        <v>4283</v>
      </c>
      <c r="M59" t="s">
        <v>4282</v>
      </c>
      <c r="N59" s="5">
        <v>885.32</v>
      </c>
      <c r="O59" t="str">
        <f>IF(ABS(Table1[[#This Row],[TotalPrice]]-Table1[[#This Row],[Quantity]]*Table1[[#This Row],[UnitPrice]]) &lt;0.01, "ok",)</f>
        <v>ok</v>
      </c>
      <c r="P59" t="str">
        <f>PROPER(TRIM(Table1[[#This Row],[ShippingAddress]]))</f>
        <v>651 Main St</v>
      </c>
      <c r="Q59" t="str">
        <f>PROPER(TRIM((Table1[[#This Row],[PaymentMethod]])))</f>
        <v>Online</v>
      </c>
      <c r="R59" t="str">
        <f>PROPER(TRIM(Table1[[#This Row],[ReferralSource]]))</f>
        <v>Google</v>
      </c>
      <c r="S59" s="5">
        <f>Table1[[#This Row],[TotalPrice]]/Table1[[#This Row],[ItemsInCart]]</f>
        <v>177.06400000000002</v>
      </c>
    </row>
    <row r="60" spans="1:19" x14ac:dyDescent="0.3">
      <c r="A60" t="s">
        <v>937</v>
      </c>
      <c r="B60" s="1">
        <v>44968</v>
      </c>
      <c r="C60" t="s">
        <v>2133</v>
      </c>
      <c r="D60" t="s">
        <v>2407</v>
      </c>
      <c r="E60">
        <v>3</v>
      </c>
      <c r="F60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>
        <v>7</v>
      </c>
      <c r="L60" t="s">
        <v>4277</v>
      </c>
      <c r="M60" t="s">
        <v>4281</v>
      </c>
      <c r="N60" s="5">
        <v>1949.79</v>
      </c>
      <c r="O60" t="str">
        <f>IF(ABS(Table1[[#This Row],[TotalPrice]]-Table1[[#This Row],[Quantity]]*Table1[[#This Row],[UnitPrice]]) &lt;0.01, "ok",)</f>
        <v>ok</v>
      </c>
      <c r="P60" t="str">
        <f>PROPER(TRIM(Table1[[#This Row],[ShippingAddress]]))</f>
        <v>836 Main St</v>
      </c>
      <c r="Q60" t="str">
        <f>PROPER(TRIM((Table1[[#This Row],[PaymentMethod]])))</f>
        <v>Credit Card</v>
      </c>
      <c r="R60" t="str">
        <f>PROPER(TRIM(Table1[[#This Row],[ReferralSource]]))</f>
        <v>Facebook</v>
      </c>
      <c r="S60" s="5">
        <f>Table1[[#This Row],[TotalPrice]]/Table1[[#This Row],[ItemsInCart]]</f>
        <v>278.54142857142858</v>
      </c>
    </row>
    <row r="61" spans="1:19" x14ac:dyDescent="0.3">
      <c r="A61" t="s">
        <v>1055</v>
      </c>
      <c r="B61" s="1">
        <v>44968</v>
      </c>
      <c r="C61" t="s">
        <v>2247</v>
      </c>
      <c r="D61" t="s">
        <v>2403</v>
      </c>
      <c r="E61">
        <v>4</v>
      </c>
      <c r="F61">
        <v>558.9</v>
      </c>
      <c r="G61" t="s">
        <v>2608</v>
      </c>
      <c r="H61" t="s">
        <v>3068</v>
      </c>
      <c r="I61" t="s">
        <v>3070</v>
      </c>
      <c r="J61" t="s">
        <v>4116</v>
      </c>
      <c r="K61">
        <v>9</v>
      </c>
      <c r="L61" t="s">
        <v>4277</v>
      </c>
      <c r="M61" t="s">
        <v>4282</v>
      </c>
      <c r="N61" s="5">
        <v>2235.6</v>
      </c>
      <c r="O61" t="str">
        <f>IF(ABS(Table1[[#This Row],[TotalPrice]]-Table1[[#This Row],[Quantity]]*Table1[[#This Row],[UnitPrice]]) &lt;0.01, "ok",)</f>
        <v>ok</v>
      </c>
      <c r="P61" t="str">
        <f>PROPER(TRIM(Table1[[#This Row],[ShippingAddress]]))</f>
        <v>948 Main St</v>
      </c>
      <c r="Q61" t="str">
        <f>PROPER(TRIM((Table1[[#This Row],[PaymentMethod]])))</f>
        <v>Gift Card</v>
      </c>
      <c r="R61" t="str">
        <f>PROPER(TRIM(Table1[[#This Row],[ReferralSource]]))</f>
        <v>Google</v>
      </c>
      <c r="S61" s="5">
        <f>Table1[[#This Row],[TotalPrice]]/Table1[[#This Row],[ItemsInCart]]</f>
        <v>248.39999999999998</v>
      </c>
    </row>
    <row r="62" spans="1:19" x14ac:dyDescent="0.3">
      <c r="A62" t="s">
        <v>941</v>
      </c>
      <c r="B62" s="1">
        <v>44971</v>
      </c>
      <c r="C62" t="s">
        <v>2137</v>
      </c>
      <c r="D62" t="s">
        <v>2408</v>
      </c>
      <c r="E62">
        <v>4</v>
      </c>
      <c r="F62">
        <v>64.69</v>
      </c>
      <c r="G62" t="s">
        <v>2873</v>
      </c>
      <c r="H62" t="s">
        <v>3065</v>
      </c>
      <c r="I62" t="s">
        <v>3070</v>
      </c>
      <c r="J62" t="s">
        <v>4002</v>
      </c>
      <c r="K62">
        <v>7</v>
      </c>
      <c r="L62" t="s">
        <v>4277</v>
      </c>
      <c r="M62" t="s">
        <v>4282</v>
      </c>
      <c r="N62" s="5">
        <v>258.76</v>
      </c>
      <c r="O62" t="str">
        <f>IF(ABS(Table1[[#This Row],[TotalPrice]]-Table1[[#This Row],[Quantity]]*Table1[[#This Row],[UnitPrice]]) &lt;0.01, "ok",)</f>
        <v>ok</v>
      </c>
      <c r="P62" t="str">
        <f>PROPER(TRIM(Table1[[#This Row],[ShippingAddress]]))</f>
        <v>638 Main St</v>
      </c>
      <c r="Q62" t="str">
        <f>PROPER(TRIM((Table1[[#This Row],[PaymentMethod]])))</f>
        <v>Debit Card</v>
      </c>
      <c r="R62" t="str">
        <f>PROPER(TRIM(Table1[[#This Row],[ReferralSource]]))</f>
        <v>Google</v>
      </c>
      <c r="S62" s="5">
        <f>Table1[[#This Row],[TotalPrice]]/Table1[[#This Row],[ItemsInCart]]</f>
        <v>36.965714285714284</v>
      </c>
    </row>
    <row r="63" spans="1:19" x14ac:dyDescent="0.3">
      <c r="A63" t="s">
        <v>523</v>
      </c>
      <c r="B63" s="1">
        <v>44972</v>
      </c>
      <c r="C63" t="s">
        <v>1723</v>
      </c>
      <c r="D63" t="s">
        <v>2408</v>
      </c>
      <c r="E63">
        <v>2</v>
      </c>
      <c r="F63">
        <v>425.03</v>
      </c>
      <c r="G63" t="s">
        <v>2798</v>
      </c>
      <c r="H63" t="s">
        <v>3069</v>
      </c>
      <c r="I63" t="s">
        <v>3072</v>
      </c>
      <c r="J63" t="s">
        <v>3584</v>
      </c>
      <c r="K63">
        <v>2</v>
      </c>
      <c r="L63" t="s">
        <v>4277</v>
      </c>
      <c r="M63" t="s">
        <v>4282</v>
      </c>
      <c r="N63" s="5">
        <v>850.06</v>
      </c>
      <c r="O63" t="str">
        <f>IF(ABS(Table1[[#This Row],[TotalPrice]]-Table1[[#This Row],[Quantity]]*Table1[[#This Row],[UnitPrice]]) &lt;0.01, "ok",)</f>
        <v>ok</v>
      </c>
      <c r="P63" t="str">
        <f>PROPER(TRIM(Table1[[#This Row],[ShippingAddress]]))</f>
        <v>560 Main St</v>
      </c>
      <c r="Q63" t="str">
        <f>PROPER(TRIM((Table1[[#This Row],[PaymentMethod]])))</f>
        <v>Cash</v>
      </c>
      <c r="R63" t="str">
        <f>PROPER(TRIM(Table1[[#This Row],[ReferralSource]]))</f>
        <v>Google</v>
      </c>
      <c r="S63" s="5">
        <f>Table1[[#This Row],[TotalPrice]]/Table1[[#This Row],[ItemsInCart]]</f>
        <v>425.03</v>
      </c>
    </row>
    <row r="64" spans="1:19" x14ac:dyDescent="0.3">
      <c r="A64" t="s">
        <v>258</v>
      </c>
      <c r="B64" s="1">
        <v>44973</v>
      </c>
      <c r="C64" t="s">
        <v>1458</v>
      </c>
      <c r="D64" t="s">
        <v>2409</v>
      </c>
      <c r="E64">
        <v>2</v>
      </c>
      <c r="F64">
        <v>317.77</v>
      </c>
      <c r="G64" t="s">
        <v>2621</v>
      </c>
      <c r="H64" t="s">
        <v>3065</v>
      </c>
      <c r="I64" t="s">
        <v>3071</v>
      </c>
      <c r="J64" t="s">
        <v>3319</v>
      </c>
      <c r="K64">
        <v>4</v>
      </c>
      <c r="L64" t="s">
        <v>4277</v>
      </c>
      <c r="M64" t="s">
        <v>4281</v>
      </c>
      <c r="N64" s="5">
        <v>635.54</v>
      </c>
      <c r="O64" t="str">
        <f>IF(ABS(Table1[[#This Row],[TotalPrice]]-Table1[[#This Row],[Quantity]]*Table1[[#This Row],[UnitPrice]]) &lt;0.01, "ok",)</f>
        <v>ok</v>
      </c>
      <c r="P64" t="str">
        <f>PROPER(TRIM(Table1[[#This Row],[ShippingAddress]]))</f>
        <v>838 Main St</v>
      </c>
      <c r="Q64" t="str">
        <f>PROPER(TRIM((Table1[[#This Row],[PaymentMethod]])))</f>
        <v>Debit Card</v>
      </c>
      <c r="R64" t="str">
        <f>PROPER(TRIM(Table1[[#This Row],[ReferralSource]]))</f>
        <v>Facebook</v>
      </c>
      <c r="S64" s="5">
        <f>Table1[[#This Row],[TotalPrice]]/Table1[[#This Row],[ItemsInCart]]</f>
        <v>158.88499999999999</v>
      </c>
    </row>
    <row r="65" spans="1:19" x14ac:dyDescent="0.3">
      <c r="A65" t="s">
        <v>298</v>
      </c>
      <c r="B65" s="1">
        <v>44973</v>
      </c>
      <c r="C65" t="s">
        <v>1498</v>
      </c>
      <c r="D65" t="s">
        <v>2408</v>
      </c>
      <c r="E65">
        <v>5</v>
      </c>
      <c r="F65">
        <v>208.17</v>
      </c>
      <c r="G65" t="s">
        <v>2654</v>
      </c>
      <c r="H65" t="s">
        <v>3067</v>
      </c>
      <c r="I65" t="s">
        <v>3072</v>
      </c>
      <c r="J65" t="s">
        <v>3359</v>
      </c>
      <c r="K65">
        <v>6</v>
      </c>
      <c r="L65" t="s">
        <v>4275</v>
      </c>
      <c r="M65" t="s">
        <v>4281</v>
      </c>
      <c r="N65" s="5">
        <v>1040.8499999999999</v>
      </c>
      <c r="O65" t="str">
        <f>IF(ABS(Table1[[#This Row],[TotalPrice]]-Table1[[#This Row],[Quantity]]*Table1[[#This Row],[UnitPrice]]) &lt;0.01, "ok",)</f>
        <v>ok</v>
      </c>
      <c r="P65" t="str">
        <f>PROPER(TRIM(Table1[[#This Row],[ShippingAddress]]))</f>
        <v>516 Main St</v>
      </c>
      <c r="Q65" t="str">
        <f>PROPER(TRIM((Table1[[#This Row],[PaymentMethod]])))</f>
        <v>Credit Card</v>
      </c>
      <c r="R65" t="str">
        <f>PROPER(TRIM(Table1[[#This Row],[ReferralSource]]))</f>
        <v>Facebook</v>
      </c>
      <c r="S65" s="5">
        <f>Table1[[#This Row],[TotalPrice]]/Table1[[#This Row],[ItemsInCart]]</f>
        <v>173.47499999999999</v>
      </c>
    </row>
    <row r="66" spans="1:19" x14ac:dyDescent="0.3">
      <c r="A66" t="s">
        <v>307</v>
      </c>
      <c r="B66" s="1">
        <v>44973</v>
      </c>
      <c r="C66" t="s">
        <v>1507</v>
      </c>
      <c r="D66" t="s">
        <v>2405</v>
      </c>
      <c r="E66">
        <v>4</v>
      </c>
      <c r="F66">
        <v>463.04</v>
      </c>
      <c r="G66" t="s">
        <v>2658</v>
      </c>
      <c r="H66" t="s">
        <v>3068</v>
      </c>
      <c r="I66" t="s">
        <v>3072</v>
      </c>
      <c r="J66" t="s">
        <v>3368</v>
      </c>
      <c r="K66">
        <v>9</v>
      </c>
      <c r="L66" t="s">
        <v>4283</v>
      </c>
      <c r="M66" t="s">
        <v>4278</v>
      </c>
      <c r="N66" s="5">
        <v>1852.16</v>
      </c>
      <c r="O66" t="str">
        <f>IF(ABS(Table1[[#This Row],[TotalPrice]]-Table1[[#This Row],[Quantity]]*Table1[[#This Row],[UnitPrice]]) &lt;0.01, "ok",)</f>
        <v>ok</v>
      </c>
      <c r="P66" t="str">
        <f>PROPER(TRIM(Table1[[#This Row],[ShippingAddress]]))</f>
        <v>564 Main St</v>
      </c>
      <c r="Q66" t="str">
        <f>PROPER(TRIM((Table1[[#This Row],[PaymentMethod]])))</f>
        <v>Gift Card</v>
      </c>
      <c r="R66" t="str">
        <f>PROPER(TRIM(Table1[[#This Row],[ReferralSource]]))</f>
        <v>Instagram</v>
      </c>
      <c r="S66" s="5">
        <f>Table1[[#This Row],[TotalPrice]]/Table1[[#This Row],[ItemsInCart]]</f>
        <v>205.79555555555555</v>
      </c>
    </row>
    <row r="67" spans="1:19" x14ac:dyDescent="0.3">
      <c r="A67" t="s">
        <v>927</v>
      </c>
      <c r="B67" s="1">
        <v>44973</v>
      </c>
      <c r="C67" t="s">
        <v>2123</v>
      </c>
      <c r="D67" t="s">
        <v>2407</v>
      </c>
      <c r="E67">
        <v>5</v>
      </c>
      <c r="F67">
        <v>475.95</v>
      </c>
      <c r="G67" t="s">
        <v>2583</v>
      </c>
      <c r="H67" t="s">
        <v>3067</v>
      </c>
      <c r="I67" t="s">
        <v>3072</v>
      </c>
      <c r="J67" t="s">
        <v>3988</v>
      </c>
      <c r="K67">
        <v>8</v>
      </c>
      <c r="L67" t="s">
        <v>4277</v>
      </c>
      <c r="M67" t="s">
        <v>4281</v>
      </c>
      <c r="N67" s="5">
        <v>2379.75</v>
      </c>
      <c r="O67" t="str">
        <f>IF(ABS(Table1[[#This Row],[TotalPrice]]-Table1[[#This Row],[Quantity]]*Table1[[#This Row],[UnitPrice]]) &lt;0.01, "ok",)</f>
        <v>ok</v>
      </c>
      <c r="P67" t="str">
        <f>PROPER(TRIM(Table1[[#This Row],[ShippingAddress]]))</f>
        <v>505 Main St</v>
      </c>
      <c r="Q67" t="str">
        <f>PROPER(TRIM((Table1[[#This Row],[PaymentMethod]])))</f>
        <v>Credit Card</v>
      </c>
      <c r="R67" t="str">
        <f>PROPER(TRIM(Table1[[#This Row],[ReferralSource]]))</f>
        <v>Facebook</v>
      </c>
      <c r="S67" s="5">
        <f>Table1[[#This Row],[TotalPrice]]/Table1[[#This Row],[ItemsInCart]]</f>
        <v>297.46875</v>
      </c>
    </row>
    <row r="68" spans="1:19" x14ac:dyDescent="0.3">
      <c r="A68" t="s">
        <v>1158</v>
      </c>
      <c r="B68" s="1">
        <v>44973</v>
      </c>
      <c r="C68" t="s">
        <v>2347</v>
      </c>
      <c r="D68" t="s">
        <v>2409</v>
      </c>
      <c r="E68">
        <v>5</v>
      </c>
      <c r="F68">
        <v>507.94</v>
      </c>
      <c r="G68" t="s">
        <v>3043</v>
      </c>
      <c r="H68" t="s">
        <v>3066</v>
      </c>
      <c r="I68" t="s">
        <v>3071</v>
      </c>
      <c r="J68" t="s">
        <v>4219</v>
      </c>
      <c r="K68">
        <v>9</v>
      </c>
      <c r="L68" t="s">
        <v>4283</v>
      </c>
      <c r="M68" t="s">
        <v>4281</v>
      </c>
      <c r="N68" s="5">
        <v>2539.6999999999998</v>
      </c>
      <c r="O68" t="str">
        <f>IF(ABS(Table1[[#This Row],[TotalPrice]]-Table1[[#This Row],[Quantity]]*Table1[[#This Row],[UnitPrice]]) &lt;0.01, "ok",)</f>
        <v>ok</v>
      </c>
      <c r="P68" t="str">
        <f>PROPER(TRIM(Table1[[#This Row],[ShippingAddress]]))</f>
        <v>292 Main St</v>
      </c>
      <c r="Q68" t="str">
        <f>PROPER(TRIM((Table1[[#This Row],[PaymentMethod]])))</f>
        <v>Online</v>
      </c>
      <c r="R68" t="str">
        <f>PROPER(TRIM(Table1[[#This Row],[ReferralSource]]))</f>
        <v>Facebook</v>
      </c>
      <c r="S68" s="5">
        <f>Table1[[#This Row],[TotalPrice]]/Table1[[#This Row],[ItemsInCart]]</f>
        <v>282.18888888888887</v>
      </c>
    </row>
    <row r="69" spans="1:19" x14ac:dyDescent="0.3">
      <c r="A69" t="s">
        <v>114</v>
      </c>
      <c r="B69" s="1">
        <v>44974</v>
      </c>
      <c r="C69" t="s">
        <v>1314</v>
      </c>
      <c r="D69" t="s">
        <v>2404</v>
      </c>
      <c r="E69">
        <v>3</v>
      </c>
      <c r="F69">
        <v>664.79</v>
      </c>
      <c r="G69" t="s">
        <v>2503</v>
      </c>
      <c r="H69" t="s">
        <v>3066</v>
      </c>
      <c r="I69" t="s">
        <v>3073</v>
      </c>
      <c r="J69" t="s">
        <v>3175</v>
      </c>
      <c r="K69">
        <v>6</v>
      </c>
      <c r="L69" t="s">
        <v>4283</v>
      </c>
      <c r="M69" t="s">
        <v>4281</v>
      </c>
      <c r="N69" s="5">
        <v>1994.37</v>
      </c>
      <c r="O69" t="str">
        <f>IF(ABS(Table1[[#This Row],[TotalPrice]]-Table1[[#This Row],[Quantity]]*Table1[[#This Row],[UnitPrice]]) &lt;0.01, "ok",)</f>
        <v>ok</v>
      </c>
      <c r="P69" t="str">
        <f>PROPER(TRIM(Table1[[#This Row],[ShippingAddress]]))</f>
        <v>743 Main St</v>
      </c>
      <c r="Q69" t="str">
        <f>PROPER(TRIM((Table1[[#This Row],[PaymentMethod]])))</f>
        <v>Online</v>
      </c>
      <c r="R69" t="str">
        <f>PROPER(TRIM(Table1[[#This Row],[ReferralSource]]))</f>
        <v>Facebook</v>
      </c>
      <c r="S69" s="5">
        <f>Table1[[#This Row],[TotalPrice]]/Table1[[#This Row],[ItemsInCart]]</f>
        <v>332.39499999999998</v>
      </c>
    </row>
    <row r="70" spans="1:19" x14ac:dyDescent="0.3">
      <c r="A70" t="s">
        <v>142</v>
      </c>
      <c r="B70" s="1">
        <v>44974</v>
      </c>
      <c r="C70" t="s">
        <v>1342</v>
      </c>
      <c r="D70" t="s">
        <v>2405</v>
      </c>
      <c r="E70">
        <v>4</v>
      </c>
      <c r="F70">
        <v>21.07</v>
      </c>
      <c r="G70" t="s">
        <v>2530</v>
      </c>
      <c r="H70" t="s">
        <v>3068</v>
      </c>
      <c r="I70" t="s">
        <v>3073</v>
      </c>
      <c r="J70" t="s">
        <v>3203</v>
      </c>
      <c r="K70">
        <v>4</v>
      </c>
      <c r="L70" t="s">
        <v>4276</v>
      </c>
      <c r="M70" t="s">
        <v>4282</v>
      </c>
      <c r="N70" s="5">
        <v>84.28</v>
      </c>
      <c r="O70" t="str">
        <f>IF(ABS(Table1[[#This Row],[TotalPrice]]-Table1[[#This Row],[Quantity]]*Table1[[#This Row],[UnitPrice]]) &lt;0.01, "ok",)</f>
        <v>ok</v>
      </c>
      <c r="P70" t="str">
        <f>PROPER(TRIM(Table1[[#This Row],[ShippingAddress]]))</f>
        <v>244 Main St</v>
      </c>
      <c r="Q70" t="str">
        <f>PROPER(TRIM((Table1[[#This Row],[PaymentMethod]])))</f>
        <v>Gift Card</v>
      </c>
      <c r="R70" t="str">
        <f>PROPER(TRIM(Table1[[#This Row],[ReferralSource]]))</f>
        <v>Google</v>
      </c>
      <c r="S70" s="5">
        <f>Table1[[#This Row],[TotalPrice]]/Table1[[#This Row],[ItemsInCart]]</f>
        <v>21.07</v>
      </c>
    </row>
    <row r="71" spans="1:19" x14ac:dyDescent="0.3">
      <c r="A71" t="s">
        <v>174</v>
      </c>
      <c r="B71" s="1">
        <v>44974</v>
      </c>
      <c r="C71" t="s">
        <v>1374</v>
      </c>
      <c r="D71" t="s">
        <v>2403</v>
      </c>
      <c r="E71">
        <v>4</v>
      </c>
      <c r="F71">
        <v>101.32</v>
      </c>
      <c r="G71" t="s">
        <v>2556</v>
      </c>
      <c r="H71" t="s">
        <v>3069</v>
      </c>
      <c r="I71" t="s">
        <v>3074</v>
      </c>
      <c r="J71" t="s">
        <v>3235</v>
      </c>
      <c r="K71">
        <v>7</v>
      </c>
      <c r="L71" t="s">
        <v>4283</v>
      </c>
      <c r="M71" t="s">
        <v>4279</v>
      </c>
      <c r="N71" s="5">
        <v>405.28</v>
      </c>
      <c r="O71" t="str">
        <f>IF(ABS(Table1[[#This Row],[TotalPrice]]-Table1[[#This Row],[Quantity]]*Table1[[#This Row],[UnitPrice]]) &lt;0.01, "ok",)</f>
        <v>ok</v>
      </c>
      <c r="P71" t="str">
        <f>PROPER(TRIM(Table1[[#This Row],[ShippingAddress]]))</f>
        <v>240 Main St</v>
      </c>
      <c r="Q71" t="str">
        <f>PROPER(TRIM((Table1[[#This Row],[PaymentMethod]])))</f>
        <v>Cash</v>
      </c>
      <c r="R71" t="str">
        <f>PROPER(TRIM(Table1[[#This Row],[ReferralSource]]))</f>
        <v>Referral</v>
      </c>
      <c r="S71" s="5">
        <f>Table1[[#This Row],[TotalPrice]]/Table1[[#This Row],[ItemsInCart]]</f>
        <v>57.897142857142853</v>
      </c>
    </row>
    <row r="72" spans="1:19" x14ac:dyDescent="0.3">
      <c r="A72" t="s">
        <v>1042</v>
      </c>
      <c r="B72" s="1">
        <v>44974</v>
      </c>
      <c r="C72" t="s">
        <v>2234</v>
      </c>
      <c r="D72" t="s">
        <v>2409</v>
      </c>
      <c r="E72">
        <v>4</v>
      </c>
      <c r="F72">
        <v>440.31</v>
      </c>
      <c r="G72" t="s">
        <v>2610</v>
      </c>
      <c r="H72" t="s">
        <v>3069</v>
      </c>
      <c r="I72" t="s">
        <v>3071</v>
      </c>
      <c r="J72" t="s">
        <v>4103</v>
      </c>
      <c r="K72">
        <v>6</v>
      </c>
      <c r="L72" t="s">
        <v>4283</v>
      </c>
      <c r="M72" t="s">
        <v>4278</v>
      </c>
      <c r="N72" s="5">
        <v>1761.24</v>
      </c>
      <c r="O72" t="str">
        <f>IF(ABS(Table1[[#This Row],[TotalPrice]]-Table1[[#This Row],[Quantity]]*Table1[[#This Row],[UnitPrice]]) &lt;0.01, "ok",)</f>
        <v>ok</v>
      </c>
      <c r="P72" t="str">
        <f>PROPER(TRIM(Table1[[#This Row],[ShippingAddress]]))</f>
        <v>610 Main St</v>
      </c>
      <c r="Q72" t="str">
        <f>PROPER(TRIM((Table1[[#This Row],[PaymentMethod]])))</f>
        <v>Cash</v>
      </c>
      <c r="R72" t="str">
        <f>PROPER(TRIM(Table1[[#This Row],[ReferralSource]]))</f>
        <v>Instagram</v>
      </c>
      <c r="S72" s="5">
        <f>Table1[[#This Row],[TotalPrice]]/Table1[[#This Row],[ItemsInCart]]</f>
        <v>293.54000000000002</v>
      </c>
    </row>
    <row r="73" spans="1:19" x14ac:dyDescent="0.3">
      <c r="A73" t="s">
        <v>493</v>
      </c>
      <c r="B73" s="1">
        <v>44975</v>
      </c>
      <c r="C73" t="s">
        <v>1693</v>
      </c>
      <c r="D73" t="s">
        <v>2403</v>
      </c>
      <c r="E73">
        <v>4</v>
      </c>
      <c r="F73">
        <v>25.29</v>
      </c>
      <c r="G73" t="s">
        <v>2781</v>
      </c>
      <c r="H73" t="s">
        <v>3067</v>
      </c>
      <c r="I73" t="s">
        <v>3074</v>
      </c>
      <c r="J73" t="s">
        <v>3554</v>
      </c>
      <c r="K73">
        <v>8</v>
      </c>
      <c r="L73" t="s">
        <v>4283</v>
      </c>
      <c r="M73" t="s">
        <v>4282</v>
      </c>
      <c r="N73" s="5">
        <v>101.16</v>
      </c>
      <c r="O73" t="str">
        <f>IF(ABS(Table1[[#This Row],[TotalPrice]]-Table1[[#This Row],[Quantity]]*Table1[[#This Row],[UnitPrice]]) &lt;0.01, "ok",)</f>
        <v>ok</v>
      </c>
      <c r="P73" t="str">
        <f>PROPER(TRIM(Table1[[#This Row],[ShippingAddress]]))</f>
        <v>943 Main St</v>
      </c>
      <c r="Q73" t="str">
        <f>PROPER(TRIM((Table1[[#This Row],[PaymentMethod]])))</f>
        <v>Credit Card</v>
      </c>
      <c r="R73" t="str">
        <f>PROPER(TRIM(Table1[[#This Row],[ReferralSource]]))</f>
        <v>Google</v>
      </c>
      <c r="S73" s="5">
        <f>Table1[[#This Row],[TotalPrice]]/Table1[[#This Row],[ItemsInCart]]</f>
        <v>12.645</v>
      </c>
    </row>
    <row r="74" spans="1:19" x14ac:dyDescent="0.3">
      <c r="A74" t="s">
        <v>249</v>
      </c>
      <c r="B74" s="1">
        <v>44977</v>
      </c>
      <c r="C74" t="s">
        <v>1449</v>
      </c>
      <c r="D74" t="s">
        <v>2409</v>
      </c>
      <c r="E74">
        <v>1</v>
      </c>
      <c r="F74">
        <v>65.45</v>
      </c>
      <c r="G74" t="s">
        <v>2612</v>
      </c>
      <c r="H74" t="s">
        <v>3069</v>
      </c>
      <c r="I74" t="s">
        <v>3074</v>
      </c>
      <c r="J74" t="s">
        <v>3310</v>
      </c>
      <c r="K74">
        <v>2</v>
      </c>
      <c r="L74" t="s">
        <v>4277</v>
      </c>
      <c r="M74" t="s">
        <v>4282</v>
      </c>
      <c r="N74" s="5">
        <v>65.45</v>
      </c>
      <c r="O74" t="str">
        <f>IF(ABS(Table1[[#This Row],[TotalPrice]]-Table1[[#This Row],[Quantity]]*Table1[[#This Row],[UnitPrice]]) &lt;0.01, "ok",)</f>
        <v>ok</v>
      </c>
      <c r="P74" t="str">
        <f>PROPER(TRIM(Table1[[#This Row],[ShippingAddress]]))</f>
        <v>815 Main St</v>
      </c>
      <c r="Q74" t="str">
        <f>PROPER(TRIM((Table1[[#This Row],[PaymentMethod]])))</f>
        <v>Cash</v>
      </c>
      <c r="R74" t="str">
        <f>PROPER(TRIM(Table1[[#This Row],[ReferralSource]]))</f>
        <v>Google</v>
      </c>
      <c r="S74" s="5">
        <f>Table1[[#This Row],[TotalPrice]]/Table1[[#This Row],[ItemsInCart]]</f>
        <v>32.725000000000001</v>
      </c>
    </row>
    <row r="75" spans="1:19" x14ac:dyDescent="0.3">
      <c r="A75" t="s">
        <v>1164</v>
      </c>
      <c r="B75" s="1">
        <v>44977</v>
      </c>
      <c r="C75" t="s">
        <v>2353</v>
      </c>
      <c r="D75" t="s">
        <v>2409</v>
      </c>
      <c r="E75">
        <v>4</v>
      </c>
      <c r="F75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>
        <v>8</v>
      </c>
      <c r="L75" t="s">
        <v>4275</v>
      </c>
      <c r="M75" t="s">
        <v>4279</v>
      </c>
      <c r="N75" s="5">
        <v>1210.5999999999999</v>
      </c>
      <c r="O75" t="str">
        <f>IF(ABS(Table1[[#This Row],[TotalPrice]]-Table1[[#This Row],[Quantity]]*Table1[[#This Row],[UnitPrice]]) &lt;0.01, "ok",)</f>
        <v>ok</v>
      </c>
      <c r="P75" t="str">
        <f>PROPER(TRIM(Table1[[#This Row],[ShippingAddress]]))</f>
        <v>119 Main St</v>
      </c>
      <c r="Q75" t="str">
        <f>PROPER(TRIM((Table1[[#This Row],[PaymentMethod]])))</f>
        <v>Credit Card</v>
      </c>
      <c r="R75" t="str">
        <f>PROPER(TRIM(Table1[[#This Row],[ReferralSource]]))</f>
        <v>Referral</v>
      </c>
      <c r="S75" s="5">
        <f>Table1[[#This Row],[TotalPrice]]/Table1[[#This Row],[ItemsInCart]]</f>
        <v>151.32499999999999</v>
      </c>
    </row>
    <row r="76" spans="1:19" x14ac:dyDescent="0.3">
      <c r="A76" t="s">
        <v>687</v>
      </c>
      <c r="B76" s="1">
        <v>44978</v>
      </c>
      <c r="C76" t="s">
        <v>1885</v>
      </c>
      <c r="D76" t="s">
        <v>2405</v>
      </c>
      <c r="E76">
        <v>2</v>
      </c>
      <c r="F76">
        <v>372.92</v>
      </c>
      <c r="G76" t="s">
        <v>2512</v>
      </c>
      <c r="H76" t="s">
        <v>3067</v>
      </c>
      <c r="I76" t="s">
        <v>3073</v>
      </c>
      <c r="J76" t="s">
        <v>3748</v>
      </c>
      <c r="K76">
        <v>7</v>
      </c>
      <c r="L76" t="s">
        <v>4275</v>
      </c>
      <c r="M76" t="s">
        <v>4280</v>
      </c>
      <c r="N76" s="5">
        <v>745.84</v>
      </c>
      <c r="O76" t="str">
        <f>IF(ABS(Table1[[#This Row],[TotalPrice]]-Table1[[#This Row],[Quantity]]*Table1[[#This Row],[UnitPrice]]) &lt;0.01, "ok",)</f>
        <v>ok</v>
      </c>
      <c r="P76" t="str">
        <f>PROPER(TRIM(Table1[[#This Row],[ShippingAddress]]))</f>
        <v>131 Main St</v>
      </c>
      <c r="Q76" t="str">
        <f>PROPER(TRIM((Table1[[#This Row],[PaymentMethod]])))</f>
        <v>Credit Card</v>
      </c>
      <c r="R76" t="str">
        <f>PROPER(TRIM(Table1[[#This Row],[ReferralSource]]))</f>
        <v>Email</v>
      </c>
      <c r="S76" s="5">
        <f>Table1[[#This Row],[TotalPrice]]/Table1[[#This Row],[ItemsInCart]]</f>
        <v>106.54857142857144</v>
      </c>
    </row>
    <row r="77" spans="1:19" x14ac:dyDescent="0.3">
      <c r="A77" t="s">
        <v>311</v>
      </c>
      <c r="B77" s="1">
        <v>44979</v>
      </c>
      <c r="C77" t="s">
        <v>1511</v>
      </c>
      <c r="D77" t="s">
        <v>2409</v>
      </c>
      <c r="E77">
        <v>2</v>
      </c>
      <c r="F77">
        <v>493.88</v>
      </c>
      <c r="G77" t="s">
        <v>2661</v>
      </c>
      <c r="H77" t="s">
        <v>3067</v>
      </c>
      <c r="I77" t="s">
        <v>3072</v>
      </c>
      <c r="J77" t="s">
        <v>3372</v>
      </c>
      <c r="K77">
        <v>7</v>
      </c>
      <c r="L77" t="s">
        <v>4275</v>
      </c>
      <c r="M77" t="s">
        <v>4278</v>
      </c>
      <c r="N77" s="5">
        <v>987.76</v>
      </c>
      <c r="O77" t="str">
        <f>IF(ABS(Table1[[#This Row],[TotalPrice]]-Table1[[#This Row],[Quantity]]*Table1[[#This Row],[UnitPrice]]) &lt;0.01, "ok",)</f>
        <v>ok</v>
      </c>
      <c r="P77" t="str">
        <f>PROPER(TRIM(Table1[[#This Row],[ShippingAddress]]))</f>
        <v>252 Main St</v>
      </c>
      <c r="Q77" t="str">
        <f>PROPER(TRIM((Table1[[#This Row],[PaymentMethod]])))</f>
        <v>Credit Card</v>
      </c>
      <c r="R77" t="str">
        <f>PROPER(TRIM(Table1[[#This Row],[ReferralSource]]))</f>
        <v>Instagram</v>
      </c>
      <c r="S77" s="5">
        <f>Table1[[#This Row],[TotalPrice]]/Table1[[#This Row],[ItemsInCart]]</f>
        <v>141.10857142857142</v>
      </c>
    </row>
    <row r="78" spans="1:19" x14ac:dyDescent="0.3">
      <c r="A78" t="s">
        <v>1083</v>
      </c>
      <c r="B78" s="1">
        <v>44982</v>
      </c>
      <c r="C78" t="s">
        <v>2275</v>
      </c>
      <c r="D78" t="s">
        <v>2403</v>
      </c>
      <c r="E78">
        <v>1</v>
      </c>
      <c r="F78">
        <v>454.23</v>
      </c>
      <c r="G78" t="s">
        <v>2617</v>
      </c>
      <c r="H78" t="s">
        <v>3068</v>
      </c>
      <c r="I78" t="s">
        <v>3072</v>
      </c>
      <c r="J78" t="s">
        <v>4144</v>
      </c>
      <c r="K78">
        <v>3</v>
      </c>
      <c r="L78" t="s">
        <v>4283</v>
      </c>
      <c r="M78" t="s">
        <v>4281</v>
      </c>
      <c r="N78" s="5">
        <v>454.23</v>
      </c>
      <c r="O78" t="str">
        <f>IF(ABS(Table1[[#This Row],[TotalPrice]]-Table1[[#This Row],[Quantity]]*Table1[[#This Row],[UnitPrice]]) &lt;0.01, "ok",)</f>
        <v>ok</v>
      </c>
      <c r="P78" t="str">
        <f>PROPER(TRIM(Table1[[#This Row],[ShippingAddress]]))</f>
        <v>255 Main St</v>
      </c>
      <c r="Q78" t="str">
        <f>PROPER(TRIM((Table1[[#This Row],[PaymentMethod]])))</f>
        <v>Gift Card</v>
      </c>
      <c r="R78" t="str">
        <f>PROPER(TRIM(Table1[[#This Row],[ReferralSource]]))</f>
        <v>Facebook</v>
      </c>
      <c r="S78" s="5">
        <f>Table1[[#This Row],[TotalPrice]]/Table1[[#This Row],[ItemsInCart]]</f>
        <v>151.41</v>
      </c>
    </row>
    <row r="79" spans="1:19" x14ac:dyDescent="0.3">
      <c r="A79" t="s">
        <v>1104</v>
      </c>
      <c r="B79" s="1">
        <v>44982</v>
      </c>
      <c r="C79" t="s">
        <v>2296</v>
      </c>
      <c r="D79" t="s">
        <v>2403</v>
      </c>
      <c r="E79">
        <v>2</v>
      </c>
      <c r="F79">
        <v>650.25</v>
      </c>
      <c r="G79" t="s">
        <v>2441</v>
      </c>
      <c r="H79" t="s">
        <v>3068</v>
      </c>
      <c r="I79" t="s">
        <v>3072</v>
      </c>
      <c r="J79" t="s">
        <v>4165</v>
      </c>
      <c r="K79">
        <v>6</v>
      </c>
      <c r="L79" t="s">
        <v>4283</v>
      </c>
      <c r="M79" t="s">
        <v>4278</v>
      </c>
      <c r="N79" s="5">
        <v>1300.5</v>
      </c>
      <c r="O79" t="str">
        <f>IF(ABS(Table1[[#This Row],[TotalPrice]]-Table1[[#This Row],[Quantity]]*Table1[[#This Row],[UnitPrice]]) &lt;0.01, "ok",)</f>
        <v>ok</v>
      </c>
      <c r="P79" t="str">
        <f>PROPER(TRIM(Table1[[#This Row],[ShippingAddress]]))</f>
        <v>996 Main St</v>
      </c>
      <c r="Q79" t="str">
        <f>PROPER(TRIM((Table1[[#This Row],[PaymentMethod]])))</f>
        <v>Gift Card</v>
      </c>
      <c r="R79" t="str">
        <f>PROPER(TRIM(Table1[[#This Row],[ReferralSource]]))</f>
        <v>Instagram</v>
      </c>
      <c r="S79" s="5">
        <f>Table1[[#This Row],[TotalPrice]]/Table1[[#This Row],[ItemsInCart]]</f>
        <v>216.75</v>
      </c>
    </row>
    <row r="80" spans="1:19" x14ac:dyDescent="0.3">
      <c r="A80" t="s">
        <v>357</v>
      </c>
      <c r="B80" s="1">
        <v>44983</v>
      </c>
      <c r="C80" t="s">
        <v>1557</v>
      </c>
      <c r="D80" t="s">
        <v>2407</v>
      </c>
      <c r="E80">
        <v>1</v>
      </c>
      <c r="F80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>
        <v>3</v>
      </c>
      <c r="L80" t="s">
        <v>4276</v>
      </c>
      <c r="M80" t="s">
        <v>4281</v>
      </c>
      <c r="N80" s="5">
        <v>527.57000000000005</v>
      </c>
      <c r="O80" t="str">
        <f>IF(ABS(Table1[[#This Row],[TotalPrice]]-Table1[[#This Row],[Quantity]]*Table1[[#This Row],[UnitPrice]]) &lt;0.01, "ok",)</f>
        <v>ok</v>
      </c>
      <c r="P80" t="str">
        <f>PROPER(TRIM(Table1[[#This Row],[ShippingAddress]]))</f>
        <v>919 Main St</v>
      </c>
      <c r="Q80" t="str">
        <f>PROPER(TRIM((Table1[[#This Row],[PaymentMethod]])))</f>
        <v>Debit Card</v>
      </c>
      <c r="R80" t="str">
        <f>PROPER(TRIM(Table1[[#This Row],[ReferralSource]]))</f>
        <v>Facebook</v>
      </c>
      <c r="S80" s="5">
        <f>Table1[[#This Row],[TotalPrice]]/Table1[[#This Row],[ItemsInCart]]</f>
        <v>175.85666666666668</v>
      </c>
    </row>
    <row r="81" spans="1:19" x14ac:dyDescent="0.3">
      <c r="A81" t="s">
        <v>1086</v>
      </c>
      <c r="B81" s="1">
        <v>44983</v>
      </c>
      <c r="C81" t="s">
        <v>2278</v>
      </c>
      <c r="D81" t="s">
        <v>2403</v>
      </c>
      <c r="E81">
        <v>1</v>
      </c>
      <c r="F81">
        <v>392.61</v>
      </c>
      <c r="G81" t="s">
        <v>2635</v>
      </c>
      <c r="H81" t="s">
        <v>3068</v>
      </c>
      <c r="I81" t="s">
        <v>3071</v>
      </c>
      <c r="J81" t="s">
        <v>4147</v>
      </c>
      <c r="K81">
        <v>4</v>
      </c>
      <c r="L81" t="s">
        <v>4275</v>
      </c>
      <c r="M81" t="s">
        <v>4279</v>
      </c>
      <c r="N81" s="5">
        <v>392.61</v>
      </c>
      <c r="O81" t="str">
        <f>IF(ABS(Table1[[#This Row],[TotalPrice]]-Table1[[#This Row],[Quantity]]*Table1[[#This Row],[UnitPrice]]) &lt;0.01, "ok",)</f>
        <v>ok</v>
      </c>
      <c r="P81" t="str">
        <f>PROPER(TRIM(Table1[[#This Row],[ShippingAddress]]))</f>
        <v>977 Main St</v>
      </c>
      <c r="Q81" t="str">
        <f>PROPER(TRIM((Table1[[#This Row],[PaymentMethod]])))</f>
        <v>Gift Card</v>
      </c>
      <c r="R81" t="str">
        <f>PROPER(TRIM(Table1[[#This Row],[ReferralSource]]))</f>
        <v>Referral</v>
      </c>
      <c r="S81" s="5">
        <f>Table1[[#This Row],[TotalPrice]]/Table1[[#This Row],[ItemsInCart]]</f>
        <v>98.152500000000003</v>
      </c>
    </row>
    <row r="82" spans="1:19" x14ac:dyDescent="0.3">
      <c r="A82" t="s">
        <v>169</v>
      </c>
      <c r="B82" s="1">
        <v>44984</v>
      </c>
      <c r="C82" t="s">
        <v>1369</v>
      </c>
      <c r="D82" t="s">
        <v>2404</v>
      </c>
      <c r="E82">
        <v>1</v>
      </c>
      <c r="F82">
        <v>424.4</v>
      </c>
      <c r="G82" t="s">
        <v>2457</v>
      </c>
      <c r="H82" t="s">
        <v>3066</v>
      </c>
      <c r="I82" t="s">
        <v>3070</v>
      </c>
      <c r="J82" t="s">
        <v>3230</v>
      </c>
      <c r="K82">
        <v>6</v>
      </c>
      <c r="L82" t="s">
        <v>4277</v>
      </c>
      <c r="M82" t="s">
        <v>4279</v>
      </c>
      <c r="N82" s="5">
        <v>424.4</v>
      </c>
      <c r="O82" t="str">
        <f>IF(ABS(Table1[[#This Row],[TotalPrice]]-Table1[[#This Row],[Quantity]]*Table1[[#This Row],[UnitPrice]]) &lt;0.01, "ok",)</f>
        <v>ok</v>
      </c>
      <c r="P82" t="str">
        <f>PROPER(TRIM(Table1[[#This Row],[ShippingAddress]]))</f>
        <v>446 Main St</v>
      </c>
      <c r="Q82" t="str">
        <f>PROPER(TRIM((Table1[[#This Row],[PaymentMethod]])))</f>
        <v>Online</v>
      </c>
      <c r="R82" t="str">
        <f>PROPER(TRIM(Table1[[#This Row],[ReferralSource]]))</f>
        <v>Referral</v>
      </c>
      <c r="S82" s="5">
        <f>Table1[[#This Row],[TotalPrice]]/Table1[[#This Row],[ItemsInCart]]</f>
        <v>70.733333333333334</v>
      </c>
    </row>
    <row r="83" spans="1:19" x14ac:dyDescent="0.3">
      <c r="A83" t="s">
        <v>811</v>
      </c>
      <c r="B83" s="1">
        <v>44984</v>
      </c>
      <c r="C83" t="s">
        <v>2008</v>
      </c>
      <c r="D83" t="s">
        <v>2408</v>
      </c>
      <c r="E83">
        <v>2</v>
      </c>
      <c r="F83">
        <v>438.76</v>
      </c>
      <c r="G83" t="s">
        <v>2929</v>
      </c>
      <c r="H83" t="s">
        <v>3065</v>
      </c>
      <c r="I83" t="s">
        <v>3072</v>
      </c>
      <c r="J83" t="s">
        <v>3872</v>
      </c>
      <c r="K83">
        <v>2</v>
      </c>
      <c r="L83" t="s">
        <v>4283</v>
      </c>
      <c r="M83" t="s">
        <v>4281</v>
      </c>
      <c r="N83" s="5">
        <v>877.52</v>
      </c>
      <c r="O83" t="str">
        <f>IF(ABS(Table1[[#This Row],[TotalPrice]]-Table1[[#This Row],[Quantity]]*Table1[[#This Row],[UnitPrice]]) &lt;0.01, "ok",)</f>
        <v>ok</v>
      </c>
      <c r="P83" t="str">
        <f>PROPER(TRIM(Table1[[#This Row],[ShippingAddress]]))</f>
        <v>426 Main St</v>
      </c>
      <c r="Q83" t="str">
        <f>PROPER(TRIM((Table1[[#This Row],[PaymentMethod]])))</f>
        <v>Debit Card</v>
      </c>
      <c r="R83" t="str">
        <f>PROPER(TRIM(Table1[[#This Row],[ReferralSource]]))</f>
        <v>Facebook</v>
      </c>
      <c r="S83" s="5">
        <f>Table1[[#This Row],[TotalPrice]]/Table1[[#This Row],[ItemsInCart]]</f>
        <v>438.76</v>
      </c>
    </row>
    <row r="84" spans="1:19" x14ac:dyDescent="0.3">
      <c r="A84" t="s">
        <v>342</v>
      </c>
      <c r="B84" s="1">
        <v>44985</v>
      </c>
      <c r="C84" t="s">
        <v>1542</v>
      </c>
      <c r="D84" t="s">
        <v>2405</v>
      </c>
      <c r="E84">
        <v>5</v>
      </c>
      <c r="F84">
        <v>674.04</v>
      </c>
      <c r="G84" t="s">
        <v>2684</v>
      </c>
      <c r="H84" t="s">
        <v>3066</v>
      </c>
      <c r="I84" t="s">
        <v>3071</v>
      </c>
      <c r="J84" t="s">
        <v>3403</v>
      </c>
      <c r="K84">
        <v>7</v>
      </c>
      <c r="L84" t="s">
        <v>4275</v>
      </c>
      <c r="M84" t="s">
        <v>4282</v>
      </c>
      <c r="N84" s="5">
        <v>3370.2</v>
      </c>
      <c r="O84" t="str">
        <f>IF(ABS(Table1[[#This Row],[TotalPrice]]-Table1[[#This Row],[Quantity]]*Table1[[#This Row],[UnitPrice]]) &lt;0.01, "ok",)</f>
        <v>ok</v>
      </c>
      <c r="P84" t="str">
        <f>PROPER(TRIM(Table1[[#This Row],[ShippingAddress]]))</f>
        <v>546 Main St</v>
      </c>
      <c r="Q84" t="str">
        <f>PROPER(TRIM((Table1[[#This Row],[PaymentMethod]])))</f>
        <v>Online</v>
      </c>
      <c r="R84" t="str">
        <f>PROPER(TRIM(Table1[[#This Row],[ReferralSource]]))</f>
        <v>Google</v>
      </c>
      <c r="S84" s="5">
        <f>Table1[[#This Row],[TotalPrice]]/Table1[[#This Row],[ItemsInCart]]</f>
        <v>481.45714285714286</v>
      </c>
    </row>
    <row r="85" spans="1:19" x14ac:dyDescent="0.3">
      <c r="A85" t="s">
        <v>1045</v>
      </c>
      <c r="B85" s="1">
        <v>44985</v>
      </c>
      <c r="C85" t="s">
        <v>2237</v>
      </c>
      <c r="D85" t="s">
        <v>2404</v>
      </c>
      <c r="E85">
        <v>5</v>
      </c>
      <c r="F85">
        <v>664.51</v>
      </c>
      <c r="G85" t="s">
        <v>3006</v>
      </c>
      <c r="H85" t="s">
        <v>3065</v>
      </c>
      <c r="I85" t="s">
        <v>3074</v>
      </c>
      <c r="J85" t="s">
        <v>4106</v>
      </c>
      <c r="K85">
        <v>8</v>
      </c>
      <c r="L85" t="s">
        <v>4275</v>
      </c>
      <c r="M85" t="s">
        <v>4280</v>
      </c>
      <c r="N85" s="5">
        <v>3322.55</v>
      </c>
      <c r="O85" t="str">
        <f>IF(ABS(Table1[[#This Row],[TotalPrice]]-Table1[[#This Row],[Quantity]]*Table1[[#This Row],[UnitPrice]]) &lt;0.01, "ok",)</f>
        <v>ok</v>
      </c>
      <c r="P85" t="str">
        <f>PROPER(TRIM(Table1[[#This Row],[ShippingAddress]]))</f>
        <v>136 Main St</v>
      </c>
      <c r="Q85" t="str">
        <f>PROPER(TRIM((Table1[[#This Row],[PaymentMethod]])))</f>
        <v>Debit Card</v>
      </c>
      <c r="R85" t="str">
        <f>PROPER(TRIM(Table1[[#This Row],[ReferralSource]]))</f>
        <v>Email</v>
      </c>
      <c r="S85" s="5">
        <f>Table1[[#This Row],[TotalPrice]]/Table1[[#This Row],[ItemsInCart]]</f>
        <v>415.31875000000002</v>
      </c>
    </row>
    <row r="86" spans="1:19" x14ac:dyDescent="0.3">
      <c r="A86" t="s">
        <v>759</v>
      </c>
      <c r="B86" s="1">
        <v>44987</v>
      </c>
      <c r="C86" t="s">
        <v>1956</v>
      </c>
      <c r="D86" t="s">
        <v>2407</v>
      </c>
      <c r="E86">
        <v>4</v>
      </c>
      <c r="F86">
        <v>111.3</v>
      </c>
      <c r="G86" t="s">
        <v>2901</v>
      </c>
      <c r="H86" t="s">
        <v>3065</v>
      </c>
      <c r="I86" t="s">
        <v>3074</v>
      </c>
      <c r="J86" t="s">
        <v>3820</v>
      </c>
      <c r="K86">
        <v>7</v>
      </c>
      <c r="L86" t="s">
        <v>4276</v>
      </c>
      <c r="M86" t="s">
        <v>4280</v>
      </c>
      <c r="N86" s="5">
        <v>445.2</v>
      </c>
      <c r="O86" t="str">
        <f>IF(ABS(Table1[[#This Row],[TotalPrice]]-Table1[[#This Row],[Quantity]]*Table1[[#This Row],[UnitPrice]]) &lt;0.01, "ok",)</f>
        <v>ok</v>
      </c>
      <c r="P86" t="str">
        <f>PROPER(TRIM(Table1[[#This Row],[ShippingAddress]]))</f>
        <v>364 Main St</v>
      </c>
      <c r="Q86" t="str">
        <f>PROPER(TRIM((Table1[[#This Row],[PaymentMethod]])))</f>
        <v>Debit Card</v>
      </c>
      <c r="R86" t="str">
        <f>PROPER(TRIM(Table1[[#This Row],[ReferralSource]]))</f>
        <v>Email</v>
      </c>
      <c r="S86" s="5">
        <f>Table1[[#This Row],[TotalPrice]]/Table1[[#This Row],[ItemsInCart]]</f>
        <v>63.6</v>
      </c>
    </row>
    <row r="87" spans="1:19" x14ac:dyDescent="0.3">
      <c r="A87" t="s">
        <v>832</v>
      </c>
      <c r="B87" s="1">
        <v>44987</v>
      </c>
      <c r="C87" t="s">
        <v>2028</v>
      </c>
      <c r="D87" t="s">
        <v>2404</v>
      </c>
      <c r="E87">
        <v>4</v>
      </c>
      <c r="F87">
        <v>390.84</v>
      </c>
      <c r="G87" t="s">
        <v>2868</v>
      </c>
      <c r="H87" t="s">
        <v>3067</v>
      </c>
      <c r="I87" t="s">
        <v>3071</v>
      </c>
      <c r="J87" t="s">
        <v>3893</v>
      </c>
      <c r="K87">
        <v>9</v>
      </c>
      <c r="L87" t="s">
        <v>4277</v>
      </c>
      <c r="M87" t="s">
        <v>4279</v>
      </c>
      <c r="N87" s="5">
        <v>1563.36</v>
      </c>
      <c r="O87" t="str">
        <f>IF(ABS(Table1[[#This Row],[TotalPrice]]-Table1[[#This Row],[Quantity]]*Table1[[#This Row],[UnitPrice]]) &lt;0.01, "ok",)</f>
        <v>ok</v>
      </c>
      <c r="P87" t="str">
        <f>PROPER(TRIM(Table1[[#This Row],[ShippingAddress]]))</f>
        <v>860 Main St</v>
      </c>
      <c r="Q87" t="str">
        <f>PROPER(TRIM((Table1[[#This Row],[PaymentMethod]])))</f>
        <v>Credit Card</v>
      </c>
      <c r="R87" t="str">
        <f>PROPER(TRIM(Table1[[#This Row],[ReferralSource]]))</f>
        <v>Referral</v>
      </c>
      <c r="S87" s="5">
        <f>Table1[[#This Row],[TotalPrice]]/Table1[[#This Row],[ItemsInCart]]</f>
        <v>173.70666666666665</v>
      </c>
    </row>
    <row r="88" spans="1:19" x14ac:dyDescent="0.3">
      <c r="A88" t="s">
        <v>1019</v>
      </c>
      <c r="B88" s="1">
        <v>44987</v>
      </c>
      <c r="C88" t="s">
        <v>2212</v>
      </c>
      <c r="D88" t="s">
        <v>2407</v>
      </c>
      <c r="E88">
        <v>3</v>
      </c>
      <c r="F88">
        <v>392.85</v>
      </c>
      <c r="G88" t="s">
        <v>2929</v>
      </c>
      <c r="H88" t="s">
        <v>3067</v>
      </c>
      <c r="I88" t="s">
        <v>3072</v>
      </c>
      <c r="J88" t="s">
        <v>4080</v>
      </c>
      <c r="K88">
        <v>6</v>
      </c>
      <c r="L88" t="s">
        <v>4283</v>
      </c>
      <c r="M88" t="s">
        <v>4282</v>
      </c>
      <c r="N88" s="5">
        <v>1178.55</v>
      </c>
      <c r="O88" t="str">
        <f>IF(ABS(Table1[[#This Row],[TotalPrice]]-Table1[[#This Row],[Quantity]]*Table1[[#This Row],[UnitPrice]]) &lt;0.01, "ok",)</f>
        <v>ok</v>
      </c>
      <c r="P88" t="str">
        <f>PROPER(TRIM(Table1[[#This Row],[ShippingAddress]]))</f>
        <v>426 Main St</v>
      </c>
      <c r="Q88" t="str">
        <f>PROPER(TRIM((Table1[[#This Row],[PaymentMethod]])))</f>
        <v>Credit Card</v>
      </c>
      <c r="R88" t="str">
        <f>PROPER(TRIM(Table1[[#This Row],[ReferralSource]]))</f>
        <v>Google</v>
      </c>
      <c r="S88" s="5">
        <f>Table1[[#This Row],[TotalPrice]]/Table1[[#This Row],[ItemsInCart]]</f>
        <v>196.42499999999998</v>
      </c>
    </row>
    <row r="89" spans="1:19" x14ac:dyDescent="0.3">
      <c r="A89" t="s">
        <v>219</v>
      </c>
      <c r="B89" s="1">
        <v>44989</v>
      </c>
      <c r="C89" t="s">
        <v>1419</v>
      </c>
      <c r="D89" t="s">
        <v>2409</v>
      </c>
      <c r="E89">
        <v>3</v>
      </c>
      <c r="F89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>
        <v>3</v>
      </c>
      <c r="L89" t="s">
        <v>4283</v>
      </c>
      <c r="M89" t="s">
        <v>4280</v>
      </c>
      <c r="N89" s="5">
        <v>442.17</v>
      </c>
      <c r="O89" t="str">
        <f>IF(ABS(Table1[[#This Row],[TotalPrice]]-Table1[[#This Row],[Quantity]]*Table1[[#This Row],[UnitPrice]]) &lt;0.01, "ok",)</f>
        <v>ok</v>
      </c>
      <c r="P89" t="str">
        <f>PROPER(TRIM(Table1[[#This Row],[ShippingAddress]]))</f>
        <v>609 Main St</v>
      </c>
      <c r="Q89" t="str">
        <f>PROPER(TRIM((Table1[[#This Row],[PaymentMethod]])))</f>
        <v>Debit Card</v>
      </c>
      <c r="R89" t="str">
        <f>PROPER(TRIM(Table1[[#This Row],[ReferralSource]]))</f>
        <v>Email</v>
      </c>
      <c r="S89" s="5">
        <f>Table1[[#This Row],[TotalPrice]]/Table1[[#This Row],[ItemsInCart]]</f>
        <v>147.39000000000001</v>
      </c>
    </row>
    <row r="90" spans="1:19" x14ac:dyDescent="0.3">
      <c r="A90" t="s">
        <v>789</v>
      </c>
      <c r="B90" s="1">
        <v>44989</v>
      </c>
      <c r="C90" t="s">
        <v>1986</v>
      </c>
      <c r="D90" t="s">
        <v>2404</v>
      </c>
      <c r="E90">
        <v>2</v>
      </c>
      <c r="F90">
        <v>625.22</v>
      </c>
      <c r="G90" t="s">
        <v>2431</v>
      </c>
      <c r="H90" t="s">
        <v>3066</v>
      </c>
      <c r="I90" t="s">
        <v>3071</v>
      </c>
      <c r="J90" t="s">
        <v>3850</v>
      </c>
      <c r="K90">
        <v>5</v>
      </c>
      <c r="L90" t="s">
        <v>4283</v>
      </c>
      <c r="M90" t="s">
        <v>4282</v>
      </c>
      <c r="N90" s="5">
        <v>1250.44</v>
      </c>
      <c r="O90" t="str">
        <f>IF(ABS(Table1[[#This Row],[TotalPrice]]-Table1[[#This Row],[Quantity]]*Table1[[#This Row],[UnitPrice]]) &lt;0.01, "ok",)</f>
        <v>ok</v>
      </c>
      <c r="P90" t="str">
        <f>PROPER(TRIM(Table1[[#This Row],[ShippingAddress]]))</f>
        <v>569 Main St</v>
      </c>
      <c r="Q90" t="str">
        <f>PROPER(TRIM((Table1[[#This Row],[PaymentMethod]])))</f>
        <v>Online</v>
      </c>
      <c r="R90" t="str">
        <f>PROPER(TRIM(Table1[[#This Row],[ReferralSource]]))</f>
        <v>Google</v>
      </c>
      <c r="S90" s="5">
        <f>Table1[[#This Row],[TotalPrice]]/Table1[[#This Row],[ItemsInCart]]</f>
        <v>250.08800000000002</v>
      </c>
    </row>
    <row r="91" spans="1:19" x14ac:dyDescent="0.3">
      <c r="A91" t="s">
        <v>547</v>
      </c>
      <c r="B91" s="1">
        <v>44990</v>
      </c>
      <c r="C91" t="s">
        <v>1747</v>
      </c>
      <c r="D91" t="s">
        <v>2409</v>
      </c>
      <c r="E91">
        <v>1</v>
      </c>
      <c r="F91">
        <v>565.85</v>
      </c>
      <c r="G91" t="s">
        <v>2472</v>
      </c>
      <c r="H91" t="s">
        <v>3068</v>
      </c>
      <c r="I91" t="s">
        <v>3072</v>
      </c>
      <c r="J91" t="s">
        <v>3608</v>
      </c>
      <c r="K91">
        <v>1</v>
      </c>
      <c r="L91" t="s">
        <v>4276</v>
      </c>
      <c r="M91" t="s">
        <v>4281</v>
      </c>
      <c r="N91" s="5">
        <v>565.85</v>
      </c>
      <c r="O91" t="str">
        <f>IF(ABS(Table1[[#This Row],[TotalPrice]]-Table1[[#This Row],[Quantity]]*Table1[[#This Row],[UnitPrice]]) &lt;0.01, "ok",)</f>
        <v>ok</v>
      </c>
      <c r="P91" t="str">
        <f>PROPER(TRIM(Table1[[#This Row],[ShippingAddress]]))</f>
        <v>715 Main St</v>
      </c>
      <c r="Q91" t="str">
        <f>PROPER(TRIM((Table1[[#This Row],[PaymentMethod]])))</f>
        <v>Gift Card</v>
      </c>
      <c r="R91" t="str">
        <f>PROPER(TRIM(Table1[[#This Row],[ReferralSource]]))</f>
        <v>Facebook</v>
      </c>
      <c r="S91" s="5">
        <f>Table1[[#This Row],[TotalPrice]]/Table1[[#This Row],[ItemsInCart]]</f>
        <v>565.85</v>
      </c>
    </row>
    <row r="92" spans="1:19" x14ac:dyDescent="0.3">
      <c r="A92" t="s">
        <v>116</v>
      </c>
      <c r="B92" s="1">
        <v>44993</v>
      </c>
      <c r="C92" t="s">
        <v>1316</v>
      </c>
      <c r="D92" t="s">
        <v>2408</v>
      </c>
      <c r="E92">
        <v>2</v>
      </c>
      <c r="F92">
        <v>70.34</v>
      </c>
      <c r="G92" t="s">
        <v>2505</v>
      </c>
      <c r="H92" t="s">
        <v>3068</v>
      </c>
      <c r="I92" t="s">
        <v>3071</v>
      </c>
      <c r="J92" t="s">
        <v>3177</v>
      </c>
      <c r="K92">
        <v>3</v>
      </c>
      <c r="L92" t="s">
        <v>4276</v>
      </c>
      <c r="M92" t="s">
        <v>4280</v>
      </c>
      <c r="N92" s="5">
        <v>140.68</v>
      </c>
      <c r="O92" t="str">
        <f>IF(ABS(Table1[[#This Row],[TotalPrice]]-Table1[[#This Row],[Quantity]]*Table1[[#This Row],[UnitPrice]]) &lt;0.01, "ok",)</f>
        <v>ok</v>
      </c>
      <c r="P92" t="str">
        <f>PROPER(TRIM(Table1[[#This Row],[ShippingAddress]]))</f>
        <v>944 Main St</v>
      </c>
      <c r="Q92" t="str">
        <f>PROPER(TRIM((Table1[[#This Row],[PaymentMethod]])))</f>
        <v>Gift Card</v>
      </c>
      <c r="R92" t="str">
        <f>PROPER(TRIM(Table1[[#This Row],[ReferralSource]]))</f>
        <v>Email</v>
      </c>
      <c r="S92" s="5">
        <f>Table1[[#This Row],[TotalPrice]]/Table1[[#This Row],[ItemsInCart]]</f>
        <v>46.893333333333338</v>
      </c>
    </row>
    <row r="93" spans="1:19" x14ac:dyDescent="0.3">
      <c r="A93" t="s">
        <v>131</v>
      </c>
      <c r="B93" s="1">
        <v>44993</v>
      </c>
      <c r="C93" t="s">
        <v>1331</v>
      </c>
      <c r="D93" t="s">
        <v>2405</v>
      </c>
      <c r="E93">
        <v>1</v>
      </c>
      <c r="F93">
        <v>535.5</v>
      </c>
      <c r="G93" t="s">
        <v>2520</v>
      </c>
      <c r="H93" t="s">
        <v>3068</v>
      </c>
      <c r="I93" t="s">
        <v>3071</v>
      </c>
      <c r="J93" t="s">
        <v>3192</v>
      </c>
      <c r="K93">
        <v>5</v>
      </c>
      <c r="L93" t="s">
        <v>4277</v>
      </c>
      <c r="M93" t="s">
        <v>4279</v>
      </c>
      <c r="N93" s="5">
        <v>535.5</v>
      </c>
      <c r="O93" t="str">
        <f>IF(ABS(Table1[[#This Row],[TotalPrice]]-Table1[[#This Row],[Quantity]]*Table1[[#This Row],[UnitPrice]]) &lt;0.01, "ok",)</f>
        <v>ok</v>
      </c>
      <c r="P93" t="str">
        <f>PROPER(TRIM(Table1[[#This Row],[ShippingAddress]]))</f>
        <v>593 Main St</v>
      </c>
      <c r="Q93" t="str">
        <f>PROPER(TRIM((Table1[[#This Row],[PaymentMethod]])))</f>
        <v>Gift Card</v>
      </c>
      <c r="R93" t="str">
        <f>PROPER(TRIM(Table1[[#This Row],[ReferralSource]]))</f>
        <v>Referral</v>
      </c>
      <c r="S93" s="5">
        <f>Table1[[#This Row],[TotalPrice]]/Table1[[#This Row],[ItemsInCart]]</f>
        <v>107.1</v>
      </c>
    </row>
    <row r="94" spans="1:19" x14ac:dyDescent="0.3">
      <c r="A94" t="s">
        <v>418</v>
      </c>
      <c r="B94" s="1">
        <v>44994</v>
      </c>
      <c r="C94" t="s">
        <v>1618</v>
      </c>
      <c r="D94" t="s">
        <v>2403</v>
      </c>
      <c r="E94">
        <v>2</v>
      </c>
      <c r="F94">
        <v>99.1</v>
      </c>
      <c r="G94" t="s">
        <v>2473</v>
      </c>
      <c r="H94" t="s">
        <v>3069</v>
      </c>
      <c r="I94" t="s">
        <v>3073</v>
      </c>
      <c r="J94" t="s">
        <v>3479</v>
      </c>
      <c r="K94">
        <v>6</v>
      </c>
      <c r="L94" t="s">
        <v>4283</v>
      </c>
      <c r="M94" t="s">
        <v>4278</v>
      </c>
      <c r="N94" s="5">
        <v>198.2</v>
      </c>
      <c r="O94" t="str">
        <f>IF(ABS(Table1[[#This Row],[TotalPrice]]-Table1[[#This Row],[Quantity]]*Table1[[#This Row],[UnitPrice]]) &lt;0.01, "ok",)</f>
        <v>ok</v>
      </c>
      <c r="P94" t="str">
        <f>PROPER(TRIM(Table1[[#This Row],[ShippingAddress]]))</f>
        <v>440 Main St</v>
      </c>
      <c r="Q94" t="str">
        <f>PROPER(TRIM((Table1[[#This Row],[PaymentMethod]])))</f>
        <v>Cash</v>
      </c>
      <c r="R94" t="str">
        <f>PROPER(TRIM(Table1[[#This Row],[ReferralSource]]))</f>
        <v>Instagram</v>
      </c>
      <c r="S94" s="5">
        <f>Table1[[#This Row],[TotalPrice]]/Table1[[#This Row],[ItemsInCart]]</f>
        <v>33.033333333333331</v>
      </c>
    </row>
    <row r="95" spans="1:19" x14ac:dyDescent="0.3">
      <c r="A95" t="s">
        <v>439</v>
      </c>
      <c r="B95" s="1">
        <v>44994</v>
      </c>
      <c r="C95" t="s">
        <v>1639</v>
      </c>
      <c r="D95" t="s">
        <v>2408</v>
      </c>
      <c r="E95">
        <v>2</v>
      </c>
      <c r="F95">
        <v>301.88</v>
      </c>
      <c r="G95" t="s">
        <v>2746</v>
      </c>
      <c r="H95" t="s">
        <v>3068</v>
      </c>
      <c r="I95" t="s">
        <v>3072</v>
      </c>
      <c r="J95" t="s">
        <v>3500</v>
      </c>
      <c r="K95">
        <v>5</v>
      </c>
      <c r="L95" t="s">
        <v>4277</v>
      </c>
      <c r="M95" t="s">
        <v>4280</v>
      </c>
      <c r="N95" s="5">
        <v>603.76</v>
      </c>
      <c r="O95" t="str">
        <f>IF(ABS(Table1[[#This Row],[TotalPrice]]-Table1[[#This Row],[Quantity]]*Table1[[#This Row],[UnitPrice]]) &lt;0.01, "ok",)</f>
        <v>ok</v>
      </c>
      <c r="P95" t="str">
        <f>PROPER(TRIM(Table1[[#This Row],[ShippingAddress]]))</f>
        <v>488 Main St</v>
      </c>
      <c r="Q95" t="str">
        <f>PROPER(TRIM((Table1[[#This Row],[PaymentMethod]])))</f>
        <v>Gift Card</v>
      </c>
      <c r="R95" t="str">
        <f>PROPER(TRIM(Table1[[#This Row],[ReferralSource]]))</f>
        <v>Email</v>
      </c>
      <c r="S95" s="5">
        <f>Table1[[#This Row],[TotalPrice]]/Table1[[#This Row],[ItemsInCart]]</f>
        <v>120.752</v>
      </c>
    </row>
    <row r="96" spans="1:19" x14ac:dyDescent="0.3">
      <c r="A96" t="s">
        <v>501</v>
      </c>
      <c r="B96" s="1">
        <v>44994</v>
      </c>
      <c r="C96" t="s">
        <v>1701</v>
      </c>
      <c r="D96" t="s">
        <v>2407</v>
      </c>
      <c r="E96">
        <v>3</v>
      </c>
      <c r="F96">
        <v>346.52</v>
      </c>
      <c r="G96" t="s">
        <v>2784</v>
      </c>
      <c r="H96" t="s">
        <v>3067</v>
      </c>
      <c r="I96" t="s">
        <v>3074</v>
      </c>
      <c r="J96" t="s">
        <v>3562</v>
      </c>
      <c r="K96">
        <v>3</v>
      </c>
      <c r="L96" t="s">
        <v>4275</v>
      </c>
      <c r="M96" t="s">
        <v>4282</v>
      </c>
      <c r="N96" s="5">
        <v>1039.56</v>
      </c>
      <c r="O96" t="str">
        <f>IF(ABS(Table1[[#This Row],[TotalPrice]]-Table1[[#This Row],[Quantity]]*Table1[[#This Row],[UnitPrice]]) &lt;0.01, "ok",)</f>
        <v>ok</v>
      </c>
      <c r="P96" t="str">
        <f>PROPER(TRIM(Table1[[#This Row],[ShippingAddress]]))</f>
        <v>211 Main St</v>
      </c>
      <c r="Q96" t="str">
        <f>PROPER(TRIM((Table1[[#This Row],[PaymentMethod]])))</f>
        <v>Credit Card</v>
      </c>
      <c r="R96" t="str">
        <f>PROPER(TRIM(Table1[[#This Row],[ReferralSource]]))</f>
        <v>Google</v>
      </c>
      <c r="S96" s="5">
        <f>Table1[[#This Row],[TotalPrice]]/Table1[[#This Row],[ItemsInCart]]</f>
        <v>346.52</v>
      </c>
    </row>
    <row r="97" spans="1:19" x14ac:dyDescent="0.3">
      <c r="A97" t="s">
        <v>808</v>
      </c>
      <c r="B97" s="1">
        <v>44994</v>
      </c>
      <c r="C97" t="s">
        <v>2005</v>
      </c>
      <c r="D97" t="s">
        <v>2407</v>
      </c>
      <c r="E97">
        <v>4</v>
      </c>
      <c r="F97">
        <v>384.85</v>
      </c>
      <c r="G97" t="s">
        <v>2927</v>
      </c>
      <c r="H97" t="s">
        <v>3066</v>
      </c>
      <c r="I97" t="s">
        <v>3073</v>
      </c>
      <c r="J97" t="s">
        <v>3869</v>
      </c>
      <c r="K97">
        <v>9</v>
      </c>
      <c r="L97" t="s">
        <v>4276</v>
      </c>
      <c r="M97" t="s">
        <v>4278</v>
      </c>
      <c r="N97" s="5">
        <v>1539.4</v>
      </c>
      <c r="O97" t="str">
        <f>IF(ABS(Table1[[#This Row],[TotalPrice]]-Table1[[#This Row],[Quantity]]*Table1[[#This Row],[UnitPrice]]) &lt;0.01, "ok",)</f>
        <v>ok</v>
      </c>
      <c r="P97" t="str">
        <f>PROPER(TRIM(Table1[[#This Row],[ShippingAddress]]))</f>
        <v>988 Main St</v>
      </c>
      <c r="Q97" t="str">
        <f>PROPER(TRIM((Table1[[#This Row],[PaymentMethod]])))</f>
        <v>Online</v>
      </c>
      <c r="R97" t="str">
        <f>PROPER(TRIM(Table1[[#This Row],[ReferralSource]]))</f>
        <v>Instagram</v>
      </c>
      <c r="S97" s="5">
        <f>Table1[[#This Row],[TotalPrice]]/Table1[[#This Row],[ItemsInCart]]</f>
        <v>171.04444444444445</v>
      </c>
    </row>
    <row r="98" spans="1:19" x14ac:dyDescent="0.3">
      <c r="A98" t="s">
        <v>534</v>
      </c>
      <c r="B98" s="1">
        <v>44995</v>
      </c>
      <c r="C98" t="s">
        <v>1734</v>
      </c>
      <c r="D98" t="s">
        <v>2403</v>
      </c>
      <c r="E98">
        <v>3</v>
      </c>
      <c r="F98">
        <v>635.98</v>
      </c>
      <c r="G98" t="s">
        <v>2801</v>
      </c>
      <c r="H98" t="s">
        <v>3069</v>
      </c>
      <c r="I98" t="s">
        <v>3072</v>
      </c>
      <c r="J98" t="s">
        <v>3595</v>
      </c>
      <c r="K98">
        <v>5</v>
      </c>
      <c r="L98" t="s">
        <v>4283</v>
      </c>
      <c r="M98" t="s">
        <v>4279</v>
      </c>
      <c r="N98" s="5">
        <v>1907.94</v>
      </c>
      <c r="O98" t="str">
        <f>IF(ABS(Table1[[#This Row],[TotalPrice]]-Table1[[#This Row],[Quantity]]*Table1[[#This Row],[UnitPrice]]) &lt;0.01, "ok",)</f>
        <v>ok</v>
      </c>
      <c r="P98" t="str">
        <f>PROPER(TRIM(Table1[[#This Row],[ShippingAddress]]))</f>
        <v>959 Main St</v>
      </c>
      <c r="Q98" t="str">
        <f>PROPER(TRIM((Table1[[#This Row],[PaymentMethod]])))</f>
        <v>Cash</v>
      </c>
      <c r="R98" t="str">
        <f>PROPER(TRIM(Table1[[#This Row],[ReferralSource]]))</f>
        <v>Referral</v>
      </c>
      <c r="S98" s="5">
        <f>Table1[[#This Row],[TotalPrice]]/Table1[[#This Row],[ItemsInCart]]</f>
        <v>381.58800000000002</v>
      </c>
    </row>
    <row r="99" spans="1:19" x14ac:dyDescent="0.3">
      <c r="A99" t="s">
        <v>582</v>
      </c>
      <c r="B99" s="1">
        <v>44995</v>
      </c>
      <c r="C99" t="s">
        <v>1782</v>
      </c>
      <c r="D99" t="s">
        <v>2408</v>
      </c>
      <c r="E99">
        <v>2</v>
      </c>
      <c r="F99">
        <v>343.99</v>
      </c>
      <c r="G99" t="s">
        <v>2714</v>
      </c>
      <c r="H99" t="s">
        <v>3066</v>
      </c>
      <c r="I99" t="s">
        <v>3073</v>
      </c>
      <c r="J99" t="s">
        <v>3643</v>
      </c>
      <c r="K99">
        <v>4</v>
      </c>
      <c r="L99" t="s">
        <v>4283</v>
      </c>
      <c r="M99" t="s">
        <v>4282</v>
      </c>
      <c r="N99" s="5">
        <v>687.98</v>
      </c>
      <c r="O99" t="str">
        <f>IF(ABS(Table1[[#This Row],[TotalPrice]]-Table1[[#This Row],[Quantity]]*Table1[[#This Row],[UnitPrice]]) &lt;0.01, "ok",)</f>
        <v>ok</v>
      </c>
      <c r="P99" t="str">
        <f>PROPER(TRIM(Table1[[#This Row],[ShippingAddress]]))</f>
        <v>312 Main St</v>
      </c>
      <c r="Q99" t="str">
        <f>PROPER(TRIM((Table1[[#This Row],[PaymentMethod]])))</f>
        <v>Online</v>
      </c>
      <c r="R99" t="str">
        <f>PROPER(TRIM(Table1[[#This Row],[ReferralSource]]))</f>
        <v>Google</v>
      </c>
      <c r="S99" s="5">
        <f>Table1[[#This Row],[TotalPrice]]/Table1[[#This Row],[ItemsInCart]]</f>
        <v>171.995</v>
      </c>
    </row>
    <row r="100" spans="1:19" x14ac:dyDescent="0.3">
      <c r="A100" t="s">
        <v>302</v>
      </c>
      <c r="B100" s="1">
        <v>44997</v>
      </c>
      <c r="C100" t="s">
        <v>1502</v>
      </c>
      <c r="D100" t="s">
        <v>2408</v>
      </c>
      <c r="E100">
        <v>4</v>
      </c>
      <c r="F100">
        <v>512.75</v>
      </c>
      <c r="G100" t="s">
        <v>2656</v>
      </c>
      <c r="H100" t="s">
        <v>3065</v>
      </c>
      <c r="I100" t="s">
        <v>3072</v>
      </c>
      <c r="J100" t="s">
        <v>3363</v>
      </c>
      <c r="K100">
        <v>8</v>
      </c>
      <c r="L100" t="s">
        <v>4277</v>
      </c>
      <c r="M100" t="s">
        <v>4282</v>
      </c>
      <c r="N100" s="5">
        <v>2051</v>
      </c>
      <c r="O100" t="str">
        <f>IF(ABS(Table1[[#This Row],[TotalPrice]]-Table1[[#This Row],[Quantity]]*Table1[[#This Row],[UnitPrice]]) &lt;0.01, "ok",)</f>
        <v>ok</v>
      </c>
      <c r="P100" t="str">
        <f>PROPER(TRIM(Table1[[#This Row],[ShippingAddress]]))</f>
        <v>537 Main St</v>
      </c>
      <c r="Q100" t="str">
        <f>PROPER(TRIM((Table1[[#This Row],[PaymentMethod]])))</f>
        <v>Debit Card</v>
      </c>
      <c r="R100" t="str">
        <f>PROPER(TRIM(Table1[[#This Row],[ReferralSource]]))</f>
        <v>Google</v>
      </c>
      <c r="S100" s="5">
        <f>Table1[[#This Row],[TotalPrice]]/Table1[[#This Row],[ItemsInCart]]</f>
        <v>256.375</v>
      </c>
    </row>
    <row r="101" spans="1:19" x14ac:dyDescent="0.3">
      <c r="A101" t="s">
        <v>739</v>
      </c>
      <c r="B101" s="1">
        <v>44997</v>
      </c>
      <c r="C101" t="s">
        <v>1936</v>
      </c>
      <c r="D101" t="s">
        <v>2406</v>
      </c>
      <c r="E101">
        <v>2</v>
      </c>
      <c r="F101">
        <v>194.85</v>
      </c>
      <c r="G101" t="s">
        <v>2787</v>
      </c>
      <c r="H101" t="s">
        <v>3068</v>
      </c>
      <c r="I101" t="s">
        <v>3072</v>
      </c>
      <c r="J101" t="s">
        <v>3800</v>
      </c>
      <c r="K101">
        <v>5</v>
      </c>
      <c r="L101" t="s">
        <v>4283</v>
      </c>
      <c r="M101" t="s">
        <v>4279</v>
      </c>
      <c r="N101" s="5">
        <v>389.7</v>
      </c>
      <c r="O101" t="str">
        <f>IF(ABS(Table1[[#This Row],[TotalPrice]]-Table1[[#This Row],[Quantity]]*Table1[[#This Row],[UnitPrice]]) &lt;0.01, "ok",)</f>
        <v>ok</v>
      </c>
      <c r="P101" t="str">
        <f>PROPER(TRIM(Table1[[#This Row],[ShippingAddress]]))</f>
        <v>372 Main St</v>
      </c>
      <c r="Q101" t="str">
        <f>PROPER(TRIM((Table1[[#This Row],[PaymentMethod]])))</f>
        <v>Gift Card</v>
      </c>
      <c r="R101" t="str">
        <f>PROPER(TRIM(Table1[[#This Row],[ReferralSource]]))</f>
        <v>Referral</v>
      </c>
      <c r="S101" s="5">
        <f>Table1[[#This Row],[TotalPrice]]/Table1[[#This Row],[ItemsInCart]]</f>
        <v>77.94</v>
      </c>
    </row>
    <row r="102" spans="1:19" x14ac:dyDescent="0.3">
      <c r="A102" t="s">
        <v>1120</v>
      </c>
      <c r="B102" s="1">
        <v>44997</v>
      </c>
      <c r="C102" t="s">
        <v>2311</v>
      </c>
      <c r="D102" t="s">
        <v>2406</v>
      </c>
      <c r="E102">
        <v>1</v>
      </c>
      <c r="F102">
        <v>372.8</v>
      </c>
      <c r="G102" t="s">
        <v>2423</v>
      </c>
      <c r="H102" t="s">
        <v>3069</v>
      </c>
      <c r="I102" t="s">
        <v>3071</v>
      </c>
      <c r="J102" t="s">
        <v>4181</v>
      </c>
      <c r="K102">
        <v>6</v>
      </c>
      <c r="L102" t="s">
        <v>4275</v>
      </c>
      <c r="M102" t="s">
        <v>4281</v>
      </c>
      <c r="N102" s="5">
        <v>372.8</v>
      </c>
      <c r="O102" t="str">
        <f>IF(ABS(Table1[[#This Row],[TotalPrice]]-Table1[[#This Row],[Quantity]]*Table1[[#This Row],[UnitPrice]]) &lt;0.01, "ok",)</f>
        <v>ok</v>
      </c>
      <c r="P102" t="str">
        <f>PROPER(TRIM(Table1[[#This Row],[ShippingAddress]]))</f>
        <v>903 Main St</v>
      </c>
      <c r="Q102" t="str">
        <f>PROPER(TRIM((Table1[[#This Row],[PaymentMethod]])))</f>
        <v>Cash</v>
      </c>
      <c r="R102" t="str">
        <f>PROPER(TRIM(Table1[[#This Row],[ReferralSource]]))</f>
        <v>Facebook</v>
      </c>
      <c r="S102" s="5">
        <f>Table1[[#This Row],[TotalPrice]]/Table1[[#This Row],[ItemsInCart]]</f>
        <v>62.133333333333333</v>
      </c>
    </row>
    <row r="103" spans="1:19" x14ac:dyDescent="0.3">
      <c r="A103" t="s">
        <v>478</v>
      </c>
      <c r="B103" s="1">
        <v>44999</v>
      </c>
      <c r="C103" t="s">
        <v>1678</v>
      </c>
      <c r="D103" t="s">
        <v>2405</v>
      </c>
      <c r="E103">
        <v>4</v>
      </c>
      <c r="F103">
        <v>434.42</v>
      </c>
      <c r="G103" t="s">
        <v>2771</v>
      </c>
      <c r="H103" t="s">
        <v>3066</v>
      </c>
      <c r="I103" t="s">
        <v>3071</v>
      </c>
      <c r="J103" t="s">
        <v>3539</v>
      </c>
      <c r="K103">
        <v>6</v>
      </c>
      <c r="L103" t="s">
        <v>4276</v>
      </c>
      <c r="M103" t="s">
        <v>4282</v>
      </c>
      <c r="N103" s="5">
        <v>1737.68</v>
      </c>
      <c r="O103" t="str">
        <f>IF(ABS(Table1[[#This Row],[TotalPrice]]-Table1[[#This Row],[Quantity]]*Table1[[#This Row],[UnitPrice]]) &lt;0.01, "ok",)</f>
        <v>ok</v>
      </c>
      <c r="P103" t="str">
        <f>PROPER(TRIM(Table1[[#This Row],[ShippingAddress]]))</f>
        <v>739 Main St</v>
      </c>
      <c r="Q103" t="str">
        <f>PROPER(TRIM((Table1[[#This Row],[PaymentMethod]])))</f>
        <v>Online</v>
      </c>
      <c r="R103" t="str">
        <f>PROPER(TRIM(Table1[[#This Row],[ReferralSource]]))</f>
        <v>Google</v>
      </c>
      <c r="S103" s="5">
        <f>Table1[[#This Row],[TotalPrice]]/Table1[[#This Row],[ItemsInCart]]</f>
        <v>289.61333333333334</v>
      </c>
    </row>
    <row r="104" spans="1:19" x14ac:dyDescent="0.3">
      <c r="A104" t="s">
        <v>529</v>
      </c>
      <c r="B104" s="1">
        <v>44999</v>
      </c>
      <c r="C104" t="s">
        <v>1729</v>
      </c>
      <c r="D104" t="s">
        <v>2404</v>
      </c>
      <c r="E104">
        <v>3</v>
      </c>
      <c r="F104">
        <v>553.52</v>
      </c>
      <c r="G104" t="s">
        <v>2762</v>
      </c>
      <c r="H104" t="s">
        <v>3068</v>
      </c>
      <c r="I104" t="s">
        <v>3070</v>
      </c>
      <c r="J104" t="s">
        <v>3590</v>
      </c>
      <c r="K104">
        <v>4</v>
      </c>
      <c r="L104" t="s">
        <v>4276</v>
      </c>
      <c r="M104" t="s">
        <v>4281</v>
      </c>
      <c r="N104" s="5">
        <v>1660.56</v>
      </c>
      <c r="O104" t="str">
        <f>IF(ABS(Table1[[#This Row],[TotalPrice]]-Table1[[#This Row],[Quantity]]*Table1[[#This Row],[UnitPrice]]) &lt;0.01, "ok",)</f>
        <v>ok</v>
      </c>
      <c r="P104" t="str">
        <f>PROPER(TRIM(Table1[[#This Row],[ShippingAddress]]))</f>
        <v>160 Main St</v>
      </c>
      <c r="Q104" t="str">
        <f>PROPER(TRIM((Table1[[#This Row],[PaymentMethod]])))</f>
        <v>Gift Card</v>
      </c>
      <c r="R104" t="str">
        <f>PROPER(TRIM(Table1[[#This Row],[ReferralSource]]))</f>
        <v>Facebook</v>
      </c>
      <c r="S104" s="5">
        <f>Table1[[#This Row],[TotalPrice]]/Table1[[#This Row],[ItemsInCart]]</f>
        <v>415.14</v>
      </c>
    </row>
    <row r="105" spans="1:19" x14ac:dyDescent="0.3">
      <c r="A105" t="s">
        <v>669</v>
      </c>
      <c r="B105" s="1">
        <v>44999</v>
      </c>
      <c r="C105" t="s">
        <v>1868</v>
      </c>
      <c r="D105" t="s">
        <v>2406</v>
      </c>
      <c r="E105">
        <v>2</v>
      </c>
      <c r="F105">
        <v>132.6</v>
      </c>
      <c r="G105" t="s">
        <v>2758</v>
      </c>
      <c r="H105" t="s">
        <v>3065</v>
      </c>
      <c r="I105" t="s">
        <v>3071</v>
      </c>
      <c r="J105" t="s">
        <v>3730</v>
      </c>
      <c r="K105">
        <v>4</v>
      </c>
      <c r="L105" t="s">
        <v>4277</v>
      </c>
      <c r="M105" t="s">
        <v>4280</v>
      </c>
      <c r="N105" s="5">
        <v>265.2</v>
      </c>
      <c r="O105" t="str">
        <f>IF(ABS(Table1[[#This Row],[TotalPrice]]-Table1[[#This Row],[Quantity]]*Table1[[#This Row],[UnitPrice]]) &lt;0.01, "ok",)</f>
        <v>ok</v>
      </c>
      <c r="P105" t="str">
        <f>PROPER(TRIM(Table1[[#This Row],[ShippingAddress]]))</f>
        <v>262 Main St</v>
      </c>
      <c r="Q105" t="str">
        <f>PROPER(TRIM((Table1[[#This Row],[PaymentMethod]])))</f>
        <v>Debit Card</v>
      </c>
      <c r="R105" t="str">
        <f>PROPER(TRIM(Table1[[#This Row],[ReferralSource]]))</f>
        <v>Email</v>
      </c>
      <c r="S105" s="5">
        <f>Table1[[#This Row],[TotalPrice]]/Table1[[#This Row],[ItemsInCart]]</f>
        <v>66.3</v>
      </c>
    </row>
    <row r="106" spans="1:19" x14ac:dyDescent="0.3">
      <c r="A106" t="s">
        <v>105</v>
      </c>
      <c r="B106" s="1">
        <v>45000</v>
      </c>
      <c r="C106" t="s">
        <v>1305</v>
      </c>
      <c r="D106" t="s">
        <v>2408</v>
      </c>
      <c r="E106">
        <v>5</v>
      </c>
      <c r="F106">
        <v>492.75</v>
      </c>
      <c r="G106" t="s">
        <v>2495</v>
      </c>
      <c r="H106" t="s">
        <v>3069</v>
      </c>
      <c r="I106" t="s">
        <v>3070</v>
      </c>
      <c r="J106" t="s">
        <v>3166</v>
      </c>
      <c r="K106">
        <v>6</v>
      </c>
      <c r="L106" t="s">
        <v>4277</v>
      </c>
      <c r="M106" t="s">
        <v>4279</v>
      </c>
      <c r="N106" s="5">
        <v>2463.75</v>
      </c>
      <c r="O106" t="str">
        <f>IF(ABS(Table1[[#This Row],[TotalPrice]]-Table1[[#This Row],[Quantity]]*Table1[[#This Row],[UnitPrice]]) &lt;0.01, "ok",)</f>
        <v>ok</v>
      </c>
      <c r="P106" t="str">
        <f>PROPER(TRIM(Table1[[#This Row],[ShippingAddress]]))</f>
        <v>196 Main St</v>
      </c>
      <c r="Q106" t="str">
        <f>PROPER(TRIM((Table1[[#This Row],[PaymentMethod]])))</f>
        <v>Cash</v>
      </c>
      <c r="R106" t="str">
        <f>PROPER(TRIM(Table1[[#This Row],[ReferralSource]]))</f>
        <v>Referral</v>
      </c>
      <c r="S106" s="5">
        <f>Table1[[#This Row],[TotalPrice]]/Table1[[#This Row],[ItemsInCart]]</f>
        <v>410.625</v>
      </c>
    </row>
    <row r="107" spans="1:19" x14ac:dyDescent="0.3">
      <c r="A107" t="s">
        <v>1128</v>
      </c>
      <c r="B107" s="1">
        <v>45001</v>
      </c>
      <c r="C107" t="s">
        <v>2319</v>
      </c>
      <c r="D107" t="s">
        <v>2405</v>
      </c>
      <c r="E107">
        <v>3</v>
      </c>
      <c r="F107">
        <v>659.88</v>
      </c>
      <c r="G107" t="s">
        <v>2591</v>
      </c>
      <c r="H107" t="s">
        <v>3068</v>
      </c>
      <c r="I107" t="s">
        <v>3071</v>
      </c>
      <c r="J107" t="s">
        <v>4189</v>
      </c>
      <c r="K107">
        <v>3</v>
      </c>
      <c r="L107" t="s">
        <v>4283</v>
      </c>
      <c r="M107" t="s">
        <v>4282</v>
      </c>
      <c r="N107" s="5">
        <v>1979.64</v>
      </c>
      <c r="O107" t="str">
        <f>IF(ABS(Table1[[#This Row],[TotalPrice]]-Table1[[#This Row],[Quantity]]*Table1[[#This Row],[UnitPrice]]) &lt;0.01, "ok",)</f>
        <v>ok</v>
      </c>
      <c r="P107" t="str">
        <f>PROPER(TRIM(Table1[[#This Row],[ShippingAddress]]))</f>
        <v>609 Main St</v>
      </c>
      <c r="Q107" t="str">
        <f>PROPER(TRIM((Table1[[#This Row],[PaymentMethod]])))</f>
        <v>Gift Card</v>
      </c>
      <c r="R107" t="str">
        <f>PROPER(TRIM(Table1[[#This Row],[ReferralSource]]))</f>
        <v>Google</v>
      </c>
      <c r="S107" s="5">
        <f>Table1[[#This Row],[TotalPrice]]/Table1[[#This Row],[ItemsInCart]]</f>
        <v>659.88</v>
      </c>
    </row>
    <row r="108" spans="1:19" x14ac:dyDescent="0.3">
      <c r="A108" t="s">
        <v>194</v>
      </c>
      <c r="B108" s="1">
        <v>45003</v>
      </c>
      <c r="C108" t="s">
        <v>1394</v>
      </c>
      <c r="D108" t="s">
        <v>2405</v>
      </c>
      <c r="E108">
        <v>5</v>
      </c>
      <c r="F108">
        <v>316.07</v>
      </c>
      <c r="G108" t="s">
        <v>2572</v>
      </c>
      <c r="H108" t="s">
        <v>3069</v>
      </c>
      <c r="I108" t="s">
        <v>3072</v>
      </c>
      <c r="J108" t="s">
        <v>3255</v>
      </c>
      <c r="K108">
        <v>10</v>
      </c>
      <c r="L108" t="s">
        <v>4283</v>
      </c>
      <c r="M108" t="s">
        <v>4282</v>
      </c>
      <c r="N108" s="5">
        <v>1580.35</v>
      </c>
      <c r="O108" t="str">
        <f>IF(ABS(Table1[[#This Row],[TotalPrice]]-Table1[[#This Row],[Quantity]]*Table1[[#This Row],[UnitPrice]]) &lt;0.01, "ok",)</f>
        <v>ok</v>
      </c>
      <c r="P108" t="str">
        <f>PROPER(TRIM(Table1[[#This Row],[ShippingAddress]]))</f>
        <v>970 Main St</v>
      </c>
      <c r="Q108" t="str">
        <f>PROPER(TRIM((Table1[[#This Row],[PaymentMethod]])))</f>
        <v>Cash</v>
      </c>
      <c r="R108" t="str">
        <f>PROPER(TRIM(Table1[[#This Row],[ReferralSource]]))</f>
        <v>Google</v>
      </c>
      <c r="S108" s="5">
        <f>Table1[[#This Row],[TotalPrice]]/Table1[[#This Row],[ItemsInCart]]</f>
        <v>158.035</v>
      </c>
    </row>
    <row r="109" spans="1:19" x14ac:dyDescent="0.3">
      <c r="A109" t="s">
        <v>1092</v>
      </c>
      <c r="B109" s="1">
        <v>45003</v>
      </c>
      <c r="C109" t="s">
        <v>2284</v>
      </c>
      <c r="D109" t="s">
        <v>2409</v>
      </c>
      <c r="E109">
        <v>1</v>
      </c>
      <c r="F109">
        <v>41.09</v>
      </c>
      <c r="G109" t="s">
        <v>2437</v>
      </c>
      <c r="H109" t="s">
        <v>3066</v>
      </c>
      <c r="I109" t="s">
        <v>3072</v>
      </c>
      <c r="J109" t="s">
        <v>4153</v>
      </c>
      <c r="K109">
        <v>4</v>
      </c>
      <c r="L109" t="s">
        <v>4277</v>
      </c>
      <c r="M109" t="s">
        <v>4280</v>
      </c>
      <c r="N109" s="5">
        <v>41.09</v>
      </c>
      <c r="O109" t="str">
        <f>IF(ABS(Table1[[#This Row],[TotalPrice]]-Table1[[#This Row],[Quantity]]*Table1[[#This Row],[UnitPrice]]) &lt;0.01, "ok",)</f>
        <v>ok</v>
      </c>
      <c r="P109" t="str">
        <f>PROPER(TRIM(Table1[[#This Row],[ShippingAddress]]))</f>
        <v>881 Main St</v>
      </c>
      <c r="Q109" t="str">
        <f>PROPER(TRIM((Table1[[#This Row],[PaymentMethod]])))</f>
        <v>Online</v>
      </c>
      <c r="R109" t="str">
        <f>PROPER(TRIM(Table1[[#This Row],[ReferralSource]]))</f>
        <v>Email</v>
      </c>
      <c r="S109" s="5">
        <f>Table1[[#This Row],[TotalPrice]]/Table1[[#This Row],[ItemsInCart]]</f>
        <v>10.272500000000001</v>
      </c>
    </row>
    <row r="110" spans="1:19" x14ac:dyDescent="0.3">
      <c r="A110" t="s">
        <v>130</v>
      </c>
      <c r="B110" s="1">
        <v>45004</v>
      </c>
      <c r="C110" t="s">
        <v>1330</v>
      </c>
      <c r="D110" t="s">
        <v>2407</v>
      </c>
      <c r="E110">
        <v>4</v>
      </c>
      <c r="F110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>
        <v>6</v>
      </c>
      <c r="L110" t="s">
        <v>4277</v>
      </c>
      <c r="M110" t="s">
        <v>4281</v>
      </c>
      <c r="N110" s="5">
        <v>1165.4000000000001</v>
      </c>
      <c r="O110" t="str">
        <f>IF(ABS(Table1[[#This Row],[TotalPrice]]-Table1[[#This Row],[Quantity]]*Table1[[#This Row],[UnitPrice]]) &lt;0.01, "ok",)</f>
        <v>ok</v>
      </c>
      <c r="P110" t="str">
        <f>PROPER(TRIM(Table1[[#This Row],[ShippingAddress]]))</f>
        <v>109 Main St</v>
      </c>
      <c r="Q110" t="str">
        <f>PROPER(TRIM((Table1[[#This Row],[PaymentMethod]])))</f>
        <v>Credit Card</v>
      </c>
      <c r="R110" t="str">
        <f>PROPER(TRIM(Table1[[#This Row],[ReferralSource]]))</f>
        <v>Facebook</v>
      </c>
      <c r="S110" s="5">
        <f>Table1[[#This Row],[TotalPrice]]/Table1[[#This Row],[ItemsInCart]]</f>
        <v>194.23333333333335</v>
      </c>
    </row>
    <row r="111" spans="1:19" x14ac:dyDescent="0.3">
      <c r="A111" t="s">
        <v>875</v>
      </c>
      <c r="B111" s="1">
        <v>45004</v>
      </c>
      <c r="C111" t="s">
        <v>2071</v>
      </c>
      <c r="D111" t="s">
        <v>2409</v>
      </c>
      <c r="E111">
        <v>5</v>
      </c>
      <c r="F111">
        <v>330.45</v>
      </c>
      <c r="G111" t="s">
        <v>2956</v>
      </c>
      <c r="H111" t="s">
        <v>3068</v>
      </c>
      <c r="I111" t="s">
        <v>3070</v>
      </c>
      <c r="J111" t="s">
        <v>3936</v>
      </c>
      <c r="K111">
        <v>10</v>
      </c>
      <c r="L111" t="s">
        <v>4276</v>
      </c>
      <c r="M111" t="s">
        <v>4282</v>
      </c>
      <c r="N111" s="5">
        <v>1652.25</v>
      </c>
      <c r="O111" t="str">
        <f>IF(ABS(Table1[[#This Row],[TotalPrice]]-Table1[[#This Row],[Quantity]]*Table1[[#This Row],[UnitPrice]]) &lt;0.01, "ok",)</f>
        <v>ok</v>
      </c>
      <c r="P111" t="str">
        <f>PROPER(TRIM(Table1[[#This Row],[ShippingAddress]]))</f>
        <v>230 Main St</v>
      </c>
      <c r="Q111" t="str">
        <f>PROPER(TRIM((Table1[[#This Row],[PaymentMethod]])))</f>
        <v>Gift Card</v>
      </c>
      <c r="R111" t="str">
        <f>PROPER(TRIM(Table1[[#This Row],[ReferralSource]]))</f>
        <v>Google</v>
      </c>
      <c r="S111" s="5">
        <f>Table1[[#This Row],[TotalPrice]]/Table1[[#This Row],[ItemsInCart]]</f>
        <v>165.22499999999999</v>
      </c>
    </row>
    <row r="112" spans="1:19" x14ac:dyDescent="0.3">
      <c r="A112" t="s">
        <v>1127</v>
      </c>
      <c r="B112" s="1">
        <v>45004</v>
      </c>
      <c r="C112" t="s">
        <v>2318</v>
      </c>
      <c r="D112" t="s">
        <v>2409</v>
      </c>
      <c r="E112">
        <v>4</v>
      </c>
      <c r="F112">
        <v>209.99</v>
      </c>
      <c r="G112" t="s">
        <v>2982</v>
      </c>
      <c r="H112" t="s">
        <v>3069</v>
      </c>
      <c r="I112" t="s">
        <v>3073</v>
      </c>
      <c r="J112" t="s">
        <v>4188</v>
      </c>
      <c r="K112">
        <v>8</v>
      </c>
      <c r="L112" t="s">
        <v>4283</v>
      </c>
      <c r="M112" t="s">
        <v>4282</v>
      </c>
      <c r="N112" s="5">
        <v>839.96</v>
      </c>
      <c r="O112" t="str">
        <f>IF(ABS(Table1[[#This Row],[TotalPrice]]-Table1[[#This Row],[Quantity]]*Table1[[#This Row],[UnitPrice]]) &lt;0.01, "ok",)</f>
        <v>ok</v>
      </c>
      <c r="P112" t="str">
        <f>PROPER(TRIM(Table1[[#This Row],[ShippingAddress]]))</f>
        <v>168 Main St</v>
      </c>
      <c r="Q112" t="str">
        <f>PROPER(TRIM((Table1[[#This Row],[PaymentMethod]])))</f>
        <v>Cash</v>
      </c>
      <c r="R112" t="str">
        <f>PROPER(TRIM(Table1[[#This Row],[ReferralSource]]))</f>
        <v>Google</v>
      </c>
      <c r="S112" s="5">
        <f>Table1[[#This Row],[TotalPrice]]/Table1[[#This Row],[ItemsInCart]]</f>
        <v>104.995</v>
      </c>
    </row>
    <row r="113" spans="1:19" x14ac:dyDescent="0.3">
      <c r="A113" t="s">
        <v>1122</v>
      </c>
      <c r="B113" s="1">
        <v>45005</v>
      </c>
      <c r="C113" t="s">
        <v>2313</v>
      </c>
      <c r="D113" t="s">
        <v>2408</v>
      </c>
      <c r="E113">
        <v>1</v>
      </c>
      <c r="F113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>
        <v>5</v>
      </c>
      <c r="L113" t="s">
        <v>4277</v>
      </c>
      <c r="M113" t="s">
        <v>4278</v>
      </c>
      <c r="N113" s="5">
        <v>634.94000000000005</v>
      </c>
      <c r="O113" t="str">
        <f>IF(ABS(Table1[[#This Row],[TotalPrice]]-Table1[[#This Row],[Quantity]]*Table1[[#This Row],[UnitPrice]]) &lt;0.01, "ok",)</f>
        <v>ok</v>
      </c>
      <c r="P113" t="str">
        <f>PROPER(TRIM(Table1[[#This Row],[ShippingAddress]]))</f>
        <v>462 Main St</v>
      </c>
      <c r="Q113" t="str">
        <f>PROPER(TRIM((Table1[[#This Row],[PaymentMethod]])))</f>
        <v>Online</v>
      </c>
      <c r="R113" t="str">
        <f>PROPER(TRIM(Table1[[#This Row],[ReferralSource]]))</f>
        <v>Instagram</v>
      </c>
      <c r="S113" s="5">
        <f>Table1[[#This Row],[TotalPrice]]/Table1[[#This Row],[ItemsInCart]]</f>
        <v>126.98800000000001</v>
      </c>
    </row>
    <row r="114" spans="1:19" x14ac:dyDescent="0.3">
      <c r="A114" t="s">
        <v>907</v>
      </c>
      <c r="B114" s="1">
        <v>45006</v>
      </c>
      <c r="C114" t="s">
        <v>2103</v>
      </c>
      <c r="D114" t="s">
        <v>2403</v>
      </c>
      <c r="E114">
        <v>1</v>
      </c>
      <c r="F114">
        <v>678.01</v>
      </c>
      <c r="G114" t="s">
        <v>2796</v>
      </c>
      <c r="H114" t="s">
        <v>3069</v>
      </c>
      <c r="I114" t="s">
        <v>3074</v>
      </c>
      <c r="J114" t="s">
        <v>3968</v>
      </c>
      <c r="K114">
        <v>4</v>
      </c>
      <c r="L114" t="s">
        <v>4276</v>
      </c>
      <c r="M114" t="s">
        <v>4279</v>
      </c>
      <c r="N114" s="5">
        <v>678.01</v>
      </c>
      <c r="O114" t="str">
        <f>IF(ABS(Table1[[#This Row],[TotalPrice]]-Table1[[#This Row],[Quantity]]*Table1[[#This Row],[UnitPrice]]) &lt;0.01, "ok",)</f>
        <v>ok</v>
      </c>
      <c r="P114" t="str">
        <f>PROPER(TRIM(Table1[[#This Row],[ShippingAddress]]))</f>
        <v>696 Main St</v>
      </c>
      <c r="Q114" t="str">
        <f>PROPER(TRIM((Table1[[#This Row],[PaymentMethod]])))</f>
        <v>Cash</v>
      </c>
      <c r="R114" t="str">
        <f>PROPER(TRIM(Table1[[#This Row],[ReferralSource]]))</f>
        <v>Referral</v>
      </c>
      <c r="S114" s="5">
        <f>Table1[[#This Row],[TotalPrice]]/Table1[[#This Row],[ItemsInCart]]</f>
        <v>169.5025</v>
      </c>
    </row>
    <row r="115" spans="1:19" x14ac:dyDescent="0.3">
      <c r="A115" t="s">
        <v>717</v>
      </c>
      <c r="B115" s="1">
        <v>45007</v>
      </c>
      <c r="C115" t="s">
        <v>1915</v>
      </c>
      <c r="D115" t="s">
        <v>2409</v>
      </c>
      <c r="E115">
        <v>1</v>
      </c>
      <c r="F115">
        <v>92.79</v>
      </c>
      <c r="G115" t="s">
        <v>2882</v>
      </c>
      <c r="H115" t="s">
        <v>3069</v>
      </c>
      <c r="I115" t="s">
        <v>3074</v>
      </c>
      <c r="J115" t="s">
        <v>3778</v>
      </c>
      <c r="K115">
        <v>3</v>
      </c>
      <c r="L115" t="s">
        <v>4277</v>
      </c>
      <c r="M115" t="s">
        <v>4280</v>
      </c>
      <c r="N115" s="5">
        <v>92.79</v>
      </c>
      <c r="O115" t="str">
        <f>IF(ABS(Table1[[#This Row],[TotalPrice]]-Table1[[#This Row],[Quantity]]*Table1[[#This Row],[UnitPrice]]) &lt;0.01, "ok",)</f>
        <v>ok</v>
      </c>
      <c r="P115" t="str">
        <f>PROPER(TRIM(Table1[[#This Row],[ShippingAddress]]))</f>
        <v>799 Main St</v>
      </c>
      <c r="Q115" t="str">
        <f>PROPER(TRIM((Table1[[#This Row],[PaymentMethod]])))</f>
        <v>Cash</v>
      </c>
      <c r="R115" t="str">
        <f>PROPER(TRIM(Table1[[#This Row],[ReferralSource]]))</f>
        <v>Email</v>
      </c>
      <c r="S115" s="5">
        <f>Table1[[#This Row],[TotalPrice]]/Table1[[#This Row],[ItemsInCart]]</f>
        <v>30.930000000000003</v>
      </c>
    </row>
    <row r="116" spans="1:19" x14ac:dyDescent="0.3">
      <c r="A116" t="s">
        <v>1003</v>
      </c>
      <c r="B116" s="1">
        <v>45008</v>
      </c>
      <c r="C116" t="s">
        <v>2196</v>
      </c>
      <c r="D116" t="s">
        <v>2408</v>
      </c>
      <c r="E116">
        <v>4</v>
      </c>
      <c r="F116">
        <v>246.11</v>
      </c>
      <c r="G116" t="s">
        <v>2998</v>
      </c>
      <c r="H116" t="s">
        <v>3067</v>
      </c>
      <c r="I116" t="s">
        <v>3074</v>
      </c>
      <c r="J116" t="s">
        <v>4064</v>
      </c>
      <c r="K116">
        <v>4</v>
      </c>
      <c r="L116" t="s">
        <v>4275</v>
      </c>
      <c r="M116" t="s">
        <v>4278</v>
      </c>
      <c r="N116" s="5">
        <v>984.44</v>
      </c>
      <c r="O116" t="str">
        <f>IF(ABS(Table1[[#This Row],[TotalPrice]]-Table1[[#This Row],[Quantity]]*Table1[[#This Row],[UnitPrice]]) &lt;0.01, "ok",)</f>
        <v>ok</v>
      </c>
      <c r="P116" t="str">
        <f>PROPER(TRIM(Table1[[#This Row],[ShippingAddress]]))</f>
        <v>559 Main St</v>
      </c>
      <c r="Q116" t="str">
        <f>PROPER(TRIM((Table1[[#This Row],[PaymentMethod]])))</f>
        <v>Credit Card</v>
      </c>
      <c r="R116" t="str">
        <f>PROPER(TRIM(Table1[[#This Row],[ReferralSource]]))</f>
        <v>Instagram</v>
      </c>
      <c r="S116" s="5">
        <f>Table1[[#This Row],[TotalPrice]]/Table1[[#This Row],[ItemsInCart]]</f>
        <v>246.11</v>
      </c>
    </row>
    <row r="117" spans="1:19" x14ac:dyDescent="0.3">
      <c r="A117" t="s">
        <v>109</v>
      </c>
      <c r="B117" s="1">
        <v>45009</v>
      </c>
      <c r="C117" t="s">
        <v>1309</v>
      </c>
      <c r="D117" t="s">
        <v>2407</v>
      </c>
      <c r="E117">
        <v>4</v>
      </c>
      <c r="F117">
        <v>117.51</v>
      </c>
      <c r="G117" t="s">
        <v>2499</v>
      </c>
      <c r="H117" t="s">
        <v>3065</v>
      </c>
      <c r="I117" t="s">
        <v>3072</v>
      </c>
      <c r="J117" t="s">
        <v>3170</v>
      </c>
      <c r="K117">
        <v>7</v>
      </c>
      <c r="L117" t="s">
        <v>4283</v>
      </c>
      <c r="M117" t="s">
        <v>4279</v>
      </c>
      <c r="N117" s="5">
        <v>470.04</v>
      </c>
      <c r="O117" t="str">
        <f>IF(ABS(Table1[[#This Row],[TotalPrice]]-Table1[[#This Row],[Quantity]]*Table1[[#This Row],[UnitPrice]]) &lt;0.01, "ok",)</f>
        <v>ok</v>
      </c>
      <c r="P117" t="str">
        <f>PROPER(TRIM(Table1[[#This Row],[ShippingAddress]]))</f>
        <v>839 Main St</v>
      </c>
      <c r="Q117" t="str">
        <f>PROPER(TRIM((Table1[[#This Row],[PaymentMethod]])))</f>
        <v>Debit Card</v>
      </c>
      <c r="R117" t="str">
        <f>PROPER(TRIM(Table1[[#This Row],[ReferralSource]]))</f>
        <v>Referral</v>
      </c>
      <c r="S117" s="5">
        <f>Table1[[#This Row],[TotalPrice]]/Table1[[#This Row],[ItemsInCart]]</f>
        <v>67.148571428571429</v>
      </c>
    </row>
    <row r="118" spans="1:19" x14ac:dyDescent="0.3">
      <c r="A118" t="s">
        <v>277</v>
      </c>
      <c r="B118" s="1">
        <v>45010</v>
      </c>
      <c r="C118" t="s">
        <v>1477</v>
      </c>
      <c r="D118" t="s">
        <v>2404</v>
      </c>
      <c r="E118">
        <v>4</v>
      </c>
      <c r="F118">
        <v>434.85</v>
      </c>
      <c r="G118" t="s">
        <v>2634</v>
      </c>
      <c r="H118" t="s">
        <v>3067</v>
      </c>
      <c r="I118" t="s">
        <v>3074</v>
      </c>
      <c r="J118" t="s">
        <v>3338</v>
      </c>
      <c r="K118">
        <v>4</v>
      </c>
      <c r="L118" t="s">
        <v>4277</v>
      </c>
      <c r="M118" t="s">
        <v>4282</v>
      </c>
      <c r="N118" s="5">
        <v>1739.4</v>
      </c>
      <c r="O118" t="str">
        <f>IF(ABS(Table1[[#This Row],[TotalPrice]]-Table1[[#This Row],[Quantity]]*Table1[[#This Row],[UnitPrice]]) &lt;0.01, "ok",)</f>
        <v>ok</v>
      </c>
      <c r="P118" t="str">
        <f>PROPER(TRIM(Table1[[#This Row],[ShippingAddress]]))</f>
        <v>250 Main St</v>
      </c>
      <c r="Q118" t="str">
        <f>PROPER(TRIM((Table1[[#This Row],[PaymentMethod]])))</f>
        <v>Credit Card</v>
      </c>
      <c r="R118" t="str">
        <f>PROPER(TRIM(Table1[[#This Row],[ReferralSource]]))</f>
        <v>Google</v>
      </c>
      <c r="S118" s="5">
        <f>Table1[[#This Row],[TotalPrice]]/Table1[[#This Row],[ItemsInCart]]</f>
        <v>434.85</v>
      </c>
    </row>
    <row r="119" spans="1:19" x14ac:dyDescent="0.3">
      <c r="A119" t="s">
        <v>642</v>
      </c>
      <c r="B119" s="1">
        <v>45011</v>
      </c>
      <c r="C119" t="s">
        <v>1841</v>
      </c>
      <c r="D119" t="s">
        <v>2407</v>
      </c>
      <c r="E119">
        <v>5</v>
      </c>
      <c r="F119">
        <v>558.63</v>
      </c>
      <c r="G119" t="s">
        <v>2849</v>
      </c>
      <c r="H119" t="s">
        <v>3069</v>
      </c>
      <c r="I119" t="s">
        <v>3074</v>
      </c>
      <c r="J119" t="s">
        <v>3703</v>
      </c>
      <c r="K119">
        <v>8</v>
      </c>
      <c r="L119" t="s">
        <v>4276</v>
      </c>
      <c r="M119" t="s">
        <v>4279</v>
      </c>
      <c r="N119" s="5">
        <v>2793.15</v>
      </c>
      <c r="O119" t="str">
        <f>IF(ABS(Table1[[#This Row],[TotalPrice]]-Table1[[#This Row],[Quantity]]*Table1[[#This Row],[UnitPrice]]) &lt;0.01, "ok",)</f>
        <v>ok</v>
      </c>
      <c r="P119" t="str">
        <f>PROPER(TRIM(Table1[[#This Row],[ShippingAddress]]))</f>
        <v>861 Main St</v>
      </c>
      <c r="Q119" t="str">
        <f>PROPER(TRIM((Table1[[#This Row],[PaymentMethod]])))</f>
        <v>Cash</v>
      </c>
      <c r="R119" t="str">
        <f>PROPER(TRIM(Table1[[#This Row],[ReferralSource]]))</f>
        <v>Referral</v>
      </c>
      <c r="S119" s="5">
        <f>Table1[[#This Row],[TotalPrice]]/Table1[[#This Row],[ItemsInCart]]</f>
        <v>349.14375000000001</v>
      </c>
    </row>
    <row r="120" spans="1:19" x14ac:dyDescent="0.3">
      <c r="A120" t="s">
        <v>772</v>
      </c>
      <c r="B120" s="1">
        <v>45011</v>
      </c>
      <c r="C120" t="s">
        <v>1969</v>
      </c>
      <c r="D120" t="s">
        <v>2405</v>
      </c>
      <c r="E120">
        <v>3</v>
      </c>
      <c r="F120">
        <v>624.84</v>
      </c>
      <c r="G120" t="s">
        <v>2479</v>
      </c>
      <c r="H120" t="s">
        <v>3067</v>
      </c>
      <c r="I120" t="s">
        <v>3071</v>
      </c>
      <c r="J120" t="s">
        <v>3833</v>
      </c>
      <c r="K120">
        <v>8</v>
      </c>
      <c r="L120" t="s">
        <v>4277</v>
      </c>
      <c r="M120" t="s">
        <v>4281</v>
      </c>
      <c r="N120" s="5">
        <v>1874.52</v>
      </c>
      <c r="O120" t="str">
        <f>IF(ABS(Table1[[#This Row],[TotalPrice]]-Table1[[#This Row],[Quantity]]*Table1[[#This Row],[UnitPrice]]) &lt;0.01, "ok",)</f>
        <v>ok</v>
      </c>
      <c r="P120" t="str">
        <f>PROPER(TRIM(Table1[[#This Row],[ShippingAddress]]))</f>
        <v>917 Main St</v>
      </c>
      <c r="Q120" t="str">
        <f>PROPER(TRIM((Table1[[#This Row],[PaymentMethod]])))</f>
        <v>Credit Card</v>
      </c>
      <c r="R120" t="str">
        <f>PROPER(TRIM(Table1[[#This Row],[ReferralSource]]))</f>
        <v>Facebook</v>
      </c>
      <c r="S120" s="5">
        <f>Table1[[#This Row],[TotalPrice]]/Table1[[#This Row],[ItemsInCart]]</f>
        <v>234.315</v>
      </c>
    </row>
    <row r="121" spans="1:19" x14ac:dyDescent="0.3">
      <c r="A121" t="s">
        <v>946</v>
      </c>
      <c r="B121" s="1">
        <v>45011</v>
      </c>
      <c r="C121" t="s">
        <v>2142</v>
      </c>
      <c r="D121" t="s">
        <v>2408</v>
      </c>
      <c r="E121">
        <v>2</v>
      </c>
      <c r="F121">
        <v>72.39</v>
      </c>
      <c r="G121" t="s">
        <v>2982</v>
      </c>
      <c r="H121" t="s">
        <v>3066</v>
      </c>
      <c r="I121" t="s">
        <v>3073</v>
      </c>
      <c r="J121" t="s">
        <v>4007</v>
      </c>
      <c r="K121">
        <v>7</v>
      </c>
      <c r="L121" t="s">
        <v>4277</v>
      </c>
      <c r="M121" t="s">
        <v>4278</v>
      </c>
      <c r="N121" s="5">
        <v>144.78</v>
      </c>
      <c r="O121" t="str">
        <f>IF(ABS(Table1[[#This Row],[TotalPrice]]-Table1[[#This Row],[Quantity]]*Table1[[#This Row],[UnitPrice]]) &lt;0.01, "ok",)</f>
        <v>ok</v>
      </c>
      <c r="P121" t="str">
        <f>PROPER(TRIM(Table1[[#This Row],[ShippingAddress]]))</f>
        <v>168 Main St</v>
      </c>
      <c r="Q121" t="str">
        <f>PROPER(TRIM((Table1[[#This Row],[PaymentMethod]])))</f>
        <v>Online</v>
      </c>
      <c r="R121" t="str">
        <f>PROPER(TRIM(Table1[[#This Row],[ReferralSource]]))</f>
        <v>Instagram</v>
      </c>
      <c r="S121" s="5">
        <f>Table1[[#This Row],[TotalPrice]]/Table1[[#This Row],[ItemsInCart]]</f>
        <v>20.682857142857141</v>
      </c>
    </row>
    <row r="122" spans="1:19" x14ac:dyDescent="0.3">
      <c r="A122" t="s">
        <v>28</v>
      </c>
      <c r="B122" s="1">
        <v>45012</v>
      </c>
      <c r="C122" t="s">
        <v>1228</v>
      </c>
      <c r="D122" t="s">
        <v>2405</v>
      </c>
      <c r="E122">
        <v>2</v>
      </c>
      <c r="F122">
        <v>393.33</v>
      </c>
      <c r="G122" t="s">
        <v>2424</v>
      </c>
      <c r="H122" t="s">
        <v>3065</v>
      </c>
      <c r="I122" t="s">
        <v>3074</v>
      </c>
      <c r="J122" t="s">
        <v>3089</v>
      </c>
      <c r="K122">
        <v>3</v>
      </c>
      <c r="L122" t="s">
        <v>4275</v>
      </c>
      <c r="M122" t="s">
        <v>4278</v>
      </c>
      <c r="N122" s="5">
        <v>786.66</v>
      </c>
      <c r="O122" t="str">
        <f>IF(ABS(Table1[[#This Row],[TotalPrice]]-Table1[[#This Row],[Quantity]]*Table1[[#This Row],[UnitPrice]]) &lt;0.01, "ok",)</f>
        <v>ok</v>
      </c>
      <c r="P122" t="str">
        <f>PROPER(TRIM(Table1[[#This Row],[ShippingAddress]]))</f>
        <v>980 Main St</v>
      </c>
      <c r="Q122" t="str">
        <f>PROPER(TRIM((Table1[[#This Row],[PaymentMethod]])))</f>
        <v>Debit Card</v>
      </c>
      <c r="R122" t="str">
        <f>PROPER(TRIM(Table1[[#This Row],[ReferralSource]]))</f>
        <v>Instagram</v>
      </c>
      <c r="S122" s="5">
        <f>Table1[[#This Row],[TotalPrice]]/Table1[[#This Row],[ItemsInCart]]</f>
        <v>262.21999999999997</v>
      </c>
    </row>
    <row r="123" spans="1:19" x14ac:dyDescent="0.3">
      <c r="A123" t="s">
        <v>121</v>
      </c>
      <c r="B123" s="1">
        <v>45012</v>
      </c>
      <c r="C123" t="s">
        <v>1321</v>
      </c>
      <c r="D123" t="s">
        <v>2407</v>
      </c>
      <c r="E123">
        <v>5</v>
      </c>
      <c r="F123">
        <v>670.75</v>
      </c>
      <c r="G123" t="s">
        <v>2510</v>
      </c>
      <c r="H123" t="s">
        <v>3068</v>
      </c>
      <c r="I123" t="s">
        <v>3070</v>
      </c>
      <c r="J123" t="s">
        <v>3182</v>
      </c>
      <c r="K123">
        <v>8</v>
      </c>
      <c r="L123" t="s">
        <v>4276</v>
      </c>
      <c r="M123" t="s">
        <v>4278</v>
      </c>
      <c r="N123" s="5">
        <v>3353.75</v>
      </c>
      <c r="O123" t="str">
        <f>IF(ABS(Table1[[#This Row],[TotalPrice]]-Table1[[#This Row],[Quantity]]*Table1[[#This Row],[UnitPrice]]) &lt;0.01, "ok",)</f>
        <v>ok</v>
      </c>
      <c r="P123" t="str">
        <f>PROPER(TRIM(Table1[[#This Row],[ShippingAddress]]))</f>
        <v>848 Main St</v>
      </c>
      <c r="Q123" t="str">
        <f>PROPER(TRIM((Table1[[#This Row],[PaymentMethod]])))</f>
        <v>Gift Card</v>
      </c>
      <c r="R123" t="str">
        <f>PROPER(TRIM(Table1[[#This Row],[ReferralSource]]))</f>
        <v>Instagram</v>
      </c>
      <c r="S123" s="5">
        <f>Table1[[#This Row],[TotalPrice]]/Table1[[#This Row],[ItemsInCart]]</f>
        <v>419.21875</v>
      </c>
    </row>
    <row r="124" spans="1:19" x14ac:dyDescent="0.3">
      <c r="A124" t="s">
        <v>294</v>
      </c>
      <c r="B124" s="1">
        <v>45012</v>
      </c>
      <c r="C124" t="s">
        <v>1494</v>
      </c>
      <c r="D124" t="s">
        <v>2405</v>
      </c>
      <c r="E124">
        <v>3</v>
      </c>
      <c r="F124">
        <v>404.62</v>
      </c>
      <c r="G124" t="s">
        <v>2650</v>
      </c>
      <c r="H124" t="s">
        <v>3068</v>
      </c>
      <c r="I124" t="s">
        <v>3073</v>
      </c>
      <c r="J124" t="s">
        <v>3355</v>
      </c>
      <c r="K124">
        <v>6</v>
      </c>
      <c r="L124" t="s">
        <v>4276</v>
      </c>
      <c r="M124" t="s">
        <v>4278</v>
      </c>
      <c r="N124" s="5">
        <v>1213.8599999999999</v>
      </c>
      <c r="O124" t="str">
        <f>IF(ABS(Table1[[#This Row],[TotalPrice]]-Table1[[#This Row],[Quantity]]*Table1[[#This Row],[UnitPrice]]) &lt;0.01, "ok",)</f>
        <v>ok</v>
      </c>
      <c r="P124" t="str">
        <f>PROPER(TRIM(Table1[[#This Row],[ShippingAddress]]))</f>
        <v>740 Main St</v>
      </c>
      <c r="Q124" t="str">
        <f>PROPER(TRIM((Table1[[#This Row],[PaymentMethod]])))</f>
        <v>Gift Card</v>
      </c>
      <c r="R124" t="str">
        <f>PROPER(TRIM(Table1[[#This Row],[ReferralSource]]))</f>
        <v>Instagram</v>
      </c>
      <c r="S124" s="5">
        <f>Table1[[#This Row],[TotalPrice]]/Table1[[#This Row],[ItemsInCart]]</f>
        <v>202.30999999999997</v>
      </c>
    </row>
    <row r="125" spans="1:19" x14ac:dyDescent="0.3">
      <c r="A125" t="s">
        <v>954</v>
      </c>
      <c r="B125" s="1">
        <v>45012</v>
      </c>
      <c r="C125" t="s">
        <v>2150</v>
      </c>
      <c r="D125" t="s">
        <v>2407</v>
      </c>
      <c r="E125">
        <v>4</v>
      </c>
      <c r="F125">
        <v>305.32</v>
      </c>
      <c r="G125" t="s">
        <v>2984</v>
      </c>
      <c r="H125" t="s">
        <v>3066</v>
      </c>
      <c r="I125" t="s">
        <v>3071</v>
      </c>
      <c r="J125" t="s">
        <v>4015</v>
      </c>
      <c r="K125">
        <v>4</v>
      </c>
      <c r="L125" t="s">
        <v>4275</v>
      </c>
      <c r="M125" t="s">
        <v>4282</v>
      </c>
      <c r="N125" s="5">
        <v>1221.28</v>
      </c>
      <c r="O125" t="str">
        <f>IF(ABS(Table1[[#This Row],[TotalPrice]]-Table1[[#This Row],[Quantity]]*Table1[[#This Row],[UnitPrice]]) &lt;0.01, "ok",)</f>
        <v>ok</v>
      </c>
      <c r="P125" t="str">
        <f>PROPER(TRIM(Table1[[#This Row],[ShippingAddress]]))</f>
        <v>679 Main St</v>
      </c>
      <c r="Q125" t="str">
        <f>PROPER(TRIM((Table1[[#This Row],[PaymentMethod]])))</f>
        <v>Online</v>
      </c>
      <c r="R125" t="str">
        <f>PROPER(TRIM(Table1[[#This Row],[ReferralSource]]))</f>
        <v>Google</v>
      </c>
      <c r="S125" s="5">
        <f>Table1[[#This Row],[TotalPrice]]/Table1[[#This Row],[ItemsInCart]]</f>
        <v>305.32</v>
      </c>
    </row>
    <row r="126" spans="1:19" x14ac:dyDescent="0.3">
      <c r="A126" t="s">
        <v>146</v>
      </c>
      <c r="B126" s="1">
        <v>45013</v>
      </c>
      <c r="C126" t="s">
        <v>1346</v>
      </c>
      <c r="D126" t="s">
        <v>2405</v>
      </c>
      <c r="E126">
        <v>4</v>
      </c>
      <c r="F126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 s="5">
        <v>1803</v>
      </c>
      <c r="O126" t="str">
        <f>IF(ABS(Table1[[#This Row],[TotalPrice]]-Table1[[#This Row],[Quantity]]*Table1[[#This Row],[UnitPrice]]) &lt;0.01, "ok",)</f>
        <v>ok</v>
      </c>
      <c r="P126" t="str">
        <f>PROPER(TRIM(Table1[[#This Row],[ShippingAddress]]))</f>
        <v>583 Main St</v>
      </c>
      <c r="Q126" t="str">
        <f>PROPER(TRIM((Table1[[#This Row],[PaymentMethod]])))</f>
        <v>Credit Card</v>
      </c>
      <c r="R126" t="str">
        <f>PROPER(TRIM(Table1[[#This Row],[ReferralSource]]))</f>
        <v>Email</v>
      </c>
      <c r="S126" s="5">
        <f>Table1[[#This Row],[TotalPrice]]/Table1[[#This Row],[ItemsInCart]]</f>
        <v>300.5</v>
      </c>
    </row>
    <row r="127" spans="1:19" x14ac:dyDescent="0.3">
      <c r="A127" t="s">
        <v>285</v>
      </c>
      <c r="B127" s="1">
        <v>45013</v>
      </c>
      <c r="C127" t="s">
        <v>1485</v>
      </c>
      <c r="D127" t="s">
        <v>2403</v>
      </c>
      <c r="E127">
        <v>1</v>
      </c>
      <c r="F12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>
        <v>6</v>
      </c>
      <c r="L127" t="s">
        <v>4277</v>
      </c>
      <c r="M127" t="s">
        <v>4279</v>
      </c>
      <c r="N127" s="5">
        <v>542.07000000000005</v>
      </c>
      <c r="O127" t="str">
        <f>IF(ABS(Table1[[#This Row],[TotalPrice]]-Table1[[#This Row],[Quantity]]*Table1[[#This Row],[UnitPrice]]) &lt;0.01, "ok",)</f>
        <v>ok</v>
      </c>
      <c r="P127" t="str">
        <f>PROPER(TRIM(Table1[[#This Row],[ShippingAddress]]))</f>
        <v>791 Main St</v>
      </c>
      <c r="Q127" t="str">
        <f>PROPER(TRIM((Table1[[#This Row],[PaymentMethod]])))</f>
        <v>Cash</v>
      </c>
      <c r="R127" t="str">
        <f>PROPER(TRIM(Table1[[#This Row],[ReferralSource]]))</f>
        <v>Referral</v>
      </c>
      <c r="S127" s="5">
        <f>Table1[[#This Row],[TotalPrice]]/Table1[[#This Row],[ItemsInCart]]</f>
        <v>90.345000000000013</v>
      </c>
    </row>
    <row r="128" spans="1:19" x14ac:dyDescent="0.3">
      <c r="A128" t="s">
        <v>1024</v>
      </c>
      <c r="B128" s="1">
        <v>45016</v>
      </c>
      <c r="C128" t="s">
        <v>2216</v>
      </c>
      <c r="D128" t="s">
        <v>2403</v>
      </c>
      <c r="E128">
        <v>3</v>
      </c>
      <c r="F128">
        <v>659.57</v>
      </c>
      <c r="G128" t="s">
        <v>2501</v>
      </c>
      <c r="H128" t="s">
        <v>3067</v>
      </c>
      <c r="I128" t="s">
        <v>3071</v>
      </c>
      <c r="J128" t="s">
        <v>4085</v>
      </c>
      <c r="K128">
        <v>6</v>
      </c>
      <c r="L128" t="s">
        <v>4275</v>
      </c>
      <c r="M128" t="s">
        <v>4280</v>
      </c>
      <c r="N128" s="5">
        <v>1978.71</v>
      </c>
      <c r="O128" t="str">
        <f>IF(ABS(Table1[[#This Row],[TotalPrice]]-Table1[[#This Row],[Quantity]]*Table1[[#This Row],[UnitPrice]]) &lt;0.01, "ok",)</f>
        <v>ok</v>
      </c>
      <c r="P128" t="str">
        <f>PROPER(TRIM(Table1[[#This Row],[ShippingAddress]]))</f>
        <v>533 Main St</v>
      </c>
      <c r="Q128" t="str">
        <f>PROPER(TRIM((Table1[[#This Row],[PaymentMethod]])))</f>
        <v>Credit Card</v>
      </c>
      <c r="R128" t="str">
        <f>PROPER(TRIM(Table1[[#This Row],[ReferralSource]]))</f>
        <v>Email</v>
      </c>
      <c r="S128" s="5">
        <f>Table1[[#This Row],[TotalPrice]]/Table1[[#This Row],[ItemsInCart]]</f>
        <v>329.78500000000003</v>
      </c>
    </row>
    <row r="129" spans="1:19" x14ac:dyDescent="0.3">
      <c r="A129" t="s">
        <v>465</v>
      </c>
      <c r="B129" s="1">
        <v>45017</v>
      </c>
      <c r="C129" t="s">
        <v>1665</v>
      </c>
      <c r="D129" t="s">
        <v>2403</v>
      </c>
      <c r="E129">
        <v>1</v>
      </c>
      <c r="F129">
        <v>183.18</v>
      </c>
      <c r="G129" t="s">
        <v>2507</v>
      </c>
      <c r="H129" t="s">
        <v>3065</v>
      </c>
      <c r="I129" t="s">
        <v>3071</v>
      </c>
      <c r="J129" t="s">
        <v>3526</v>
      </c>
      <c r="K129">
        <v>6</v>
      </c>
      <c r="L129" t="s">
        <v>4275</v>
      </c>
      <c r="M129" t="s">
        <v>4280</v>
      </c>
      <c r="N129" s="5">
        <v>183.18</v>
      </c>
      <c r="O129" t="str">
        <f>IF(ABS(Table1[[#This Row],[TotalPrice]]-Table1[[#This Row],[Quantity]]*Table1[[#This Row],[UnitPrice]]) &lt;0.01, "ok",)</f>
        <v>ok</v>
      </c>
      <c r="P129" t="str">
        <f>PROPER(TRIM(Table1[[#This Row],[ShippingAddress]]))</f>
        <v>647 Main St</v>
      </c>
      <c r="Q129" t="str">
        <f>PROPER(TRIM((Table1[[#This Row],[PaymentMethod]])))</f>
        <v>Debit Card</v>
      </c>
      <c r="R129" t="str">
        <f>PROPER(TRIM(Table1[[#This Row],[ReferralSource]]))</f>
        <v>Email</v>
      </c>
      <c r="S129" s="5">
        <f>Table1[[#This Row],[TotalPrice]]/Table1[[#This Row],[ItemsInCart]]</f>
        <v>30.53</v>
      </c>
    </row>
    <row r="130" spans="1:19" x14ac:dyDescent="0.3">
      <c r="A130" t="s">
        <v>1157</v>
      </c>
      <c r="B130" s="1">
        <v>45019</v>
      </c>
      <c r="C130" t="s">
        <v>2346</v>
      </c>
      <c r="D130" t="s">
        <v>2406</v>
      </c>
      <c r="E130">
        <v>1</v>
      </c>
      <c r="F130">
        <v>381.61</v>
      </c>
      <c r="G130" t="s">
        <v>3042</v>
      </c>
      <c r="H130" t="s">
        <v>3065</v>
      </c>
      <c r="I130" t="s">
        <v>3074</v>
      </c>
      <c r="J130" t="s">
        <v>4218</v>
      </c>
      <c r="K130">
        <v>5</v>
      </c>
      <c r="L130" t="s">
        <v>4283</v>
      </c>
      <c r="M130" t="s">
        <v>4280</v>
      </c>
      <c r="N130" s="5">
        <v>381.61</v>
      </c>
      <c r="O130" t="str">
        <f>IF(ABS(Table1[[#This Row],[TotalPrice]]-Table1[[#This Row],[Quantity]]*Table1[[#This Row],[UnitPrice]]) &lt;0.01, "ok",)</f>
        <v>ok</v>
      </c>
      <c r="P130" t="str">
        <f>PROPER(TRIM(Table1[[#This Row],[ShippingAddress]]))</f>
        <v>114 Main St</v>
      </c>
      <c r="Q130" t="str">
        <f>PROPER(TRIM((Table1[[#This Row],[PaymentMethod]])))</f>
        <v>Debit Card</v>
      </c>
      <c r="R130" t="str">
        <f>PROPER(TRIM(Table1[[#This Row],[ReferralSource]]))</f>
        <v>Email</v>
      </c>
      <c r="S130" s="5">
        <f>Table1[[#This Row],[TotalPrice]]/Table1[[#This Row],[ItemsInCart]]</f>
        <v>76.322000000000003</v>
      </c>
    </row>
    <row r="131" spans="1:19" x14ac:dyDescent="0.3">
      <c r="A131" t="s">
        <v>264</v>
      </c>
      <c r="B131" s="1">
        <v>45021</v>
      </c>
      <c r="C131" t="s">
        <v>1464</v>
      </c>
      <c r="D131" t="s">
        <v>2409</v>
      </c>
      <c r="E131">
        <v>3</v>
      </c>
      <c r="F131">
        <v>42.95</v>
      </c>
      <c r="G131" t="s">
        <v>2492</v>
      </c>
      <c r="H131" t="s">
        <v>3068</v>
      </c>
      <c r="I131" t="s">
        <v>3072</v>
      </c>
      <c r="J131" t="s">
        <v>3325</v>
      </c>
      <c r="K131">
        <v>8</v>
      </c>
      <c r="L131" t="s">
        <v>4275</v>
      </c>
      <c r="M131" t="s">
        <v>4280</v>
      </c>
      <c r="N131" s="5">
        <v>128.85</v>
      </c>
      <c r="O131" t="str">
        <f>IF(ABS(Table1[[#This Row],[TotalPrice]]-Table1[[#This Row],[Quantity]]*Table1[[#This Row],[UnitPrice]]) &lt;0.01, "ok",)</f>
        <v>ok</v>
      </c>
      <c r="P131" t="str">
        <f>PROPER(TRIM(Table1[[#This Row],[ShippingAddress]]))</f>
        <v>318 Main St</v>
      </c>
      <c r="Q131" t="str">
        <f>PROPER(TRIM((Table1[[#This Row],[PaymentMethod]])))</f>
        <v>Gift Card</v>
      </c>
      <c r="R131" t="str">
        <f>PROPER(TRIM(Table1[[#This Row],[ReferralSource]]))</f>
        <v>Email</v>
      </c>
      <c r="S131" s="5">
        <f>Table1[[#This Row],[TotalPrice]]/Table1[[#This Row],[ItemsInCart]]</f>
        <v>16.106249999999999</v>
      </c>
    </row>
    <row r="132" spans="1:19" x14ac:dyDescent="0.3">
      <c r="A132" t="s">
        <v>1197</v>
      </c>
      <c r="B132" s="1">
        <v>45021</v>
      </c>
      <c r="C132" t="s">
        <v>2386</v>
      </c>
      <c r="D132" t="s">
        <v>2409</v>
      </c>
      <c r="E132">
        <v>1</v>
      </c>
      <c r="F132">
        <v>281.52</v>
      </c>
      <c r="G132" t="s">
        <v>2633</v>
      </c>
      <c r="H132" t="s">
        <v>3068</v>
      </c>
      <c r="I132" t="s">
        <v>3070</v>
      </c>
      <c r="J132" t="s">
        <v>4258</v>
      </c>
      <c r="K132">
        <v>6</v>
      </c>
      <c r="L132" t="s">
        <v>4277</v>
      </c>
      <c r="M132" t="s">
        <v>4279</v>
      </c>
      <c r="N132" s="5">
        <v>281.52</v>
      </c>
      <c r="O132" t="str">
        <f>IF(ABS(Table1[[#This Row],[TotalPrice]]-Table1[[#This Row],[Quantity]]*Table1[[#This Row],[UnitPrice]]) &lt;0.01, "ok",)</f>
        <v>ok</v>
      </c>
      <c r="P132" t="str">
        <f>PROPER(TRIM(Table1[[#This Row],[ShippingAddress]]))</f>
        <v>460 Main St</v>
      </c>
      <c r="Q132" t="str">
        <f>PROPER(TRIM((Table1[[#This Row],[PaymentMethod]])))</f>
        <v>Gift Card</v>
      </c>
      <c r="R132" t="str">
        <f>PROPER(TRIM(Table1[[#This Row],[ReferralSource]]))</f>
        <v>Referral</v>
      </c>
      <c r="S132" s="5">
        <f>Table1[[#This Row],[TotalPrice]]/Table1[[#This Row],[ItemsInCart]]</f>
        <v>46.919999999999995</v>
      </c>
    </row>
    <row r="133" spans="1:19" x14ac:dyDescent="0.3">
      <c r="A133" t="s">
        <v>513</v>
      </c>
      <c r="B133" s="1">
        <v>45022</v>
      </c>
      <c r="C133" t="s">
        <v>1713</v>
      </c>
      <c r="D133" t="s">
        <v>2407</v>
      </c>
      <c r="E133">
        <v>3</v>
      </c>
      <c r="F133">
        <v>539.46</v>
      </c>
      <c r="G133" t="s">
        <v>2791</v>
      </c>
      <c r="H133" t="s">
        <v>3067</v>
      </c>
      <c r="I133" t="s">
        <v>3070</v>
      </c>
      <c r="J133" t="s">
        <v>3574</v>
      </c>
      <c r="K133">
        <v>4</v>
      </c>
      <c r="L133" t="s">
        <v>4275</v>
      </c>
      <c r="M133" t="s">
        <v>4281</v>
      </c>
      <c r="N133" s="5">
        <v>1618.38</v>
      </c>
      <c r="O133" t="str">
        <f>IF(ABS(Table1[[#This Row],[TotalPrice]]-Table1[[#This Row],[Quantity]]*Table1[[#This Row],[UnitPrice]]) &lt;0.01, "ok",)</f>
        <v>ok</v>
      </c>
      <c r="P133" t="str">
        <f>PROPER(TRIM(Table1[[#This Row],[ShippingAddress]]))</f>
        <v>520 Main St</v>
      </c>
      <c r="Q133" t="str">
        <f>PROPER(TRIM((Table1[[#This Row],[PaymentMethod]])))</f>
        <v>Credit Card</v>
      </c>
      <c r="R133" t="str">
        <f>PROPER(TRIM(Table1[[#This Row],[ReferralSource]]))</f>
        <v>Facebook</v>
      </c>
      <c r="S133" s="5">
        <f>Table1[[#This Row],[TotalPrice]]/Table1[[#This Row],[ItemsInCart]]</f>
        <v>404.59500000000003</v>
      </c>
    </row>
    <row r="134" spans="1:19" x14ac:dyDescent="0.3">
      <c r="A134" t="s">
        <v>777</v>
      </c>
      <c r="B134" s="1">
        <v>45022</v>
      </c>
      <c r="C134" t="s">
        <v>1974</v>
      </c>
      <c r="D134" t="s">
        <v>2408</v>
      </c>
      <c r="E134">
        <v>1</v>
      </c>
      <c r="F134">
        <v>569.96</v>
      </c>
      <c r="G134" t="s">
        <v>2501</v>
      </c>
      <c r="H134" t="s">
        <v>3066</v>
      </c>
      <c r="I134" t="s">
        <v>3073</v>
      </c>
      <c r="J134" t="s">
        <v>3838</v>
      </c>
      <c r="K134">
        <v>4</v>
      </c>
      <c r="L134" t="s">
        <v>4276</v>
      </c>
      <c r="M134" t="s">
        <v>4280</v>
      </c>
      <c r="N134" s="5">
        <v>569.96</v>
      </c>
      <c r="O134" t="str">
        <f>IF(ABS(Table1[[#This Row],[TotalPrice]]-Table1[[#This Row],[Quantity]]*Table1[[#This Row],[UnitPrice]]) &lt;0.01, "ok",)</f>
        <v>ok</v>
      </c>
      <c r="P134" t="str">
        <f>PROPER(TRIM(Table1[[#This Row],[ShippingAddress]]))</f>
        <v>533 Main St</v>
      </c>
      <c r="Q134" t="str">
        <f>PROPER(TRIM((Table1[[#This Row],[PaymentMethod]])))</f>
        <v>Online</v>
      </c>
      <c r="R134" t="str">
        <f>PROPER(TRIM(Table1[[#This Row],[ReferralSource]]))</f>
        <v>Email</v>
      </c>
      <c r="S134" s="5">
        <f>Table1[[#This Row],[TotalPrice]]/Table1[[#This Row],[ItemsInCart]]</f>
        <v>142.49</v>
      </c>
    </row>
    <row r="135" spans="1:19" x14ac:dyDescent="0.3">
      <c r="A135" t="s">
        <v>732</v>
      </c>
      <c r="B135" s="1">
        <v>45024</v>
      </c>
      <c r="C135" t="s">
        <v>1929</v>
      </c>
      <c r="D135" t="s">
        <v>2408</v>
      </c>
      <c r="E135">
        <v>4</v>
      </c>
      <c r="F135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>
        <v>8</v>
      </c>
      <c r="L135" t="s">
        <v>4275</v>
      </c>
      <c r="M135" t="s">
        <v>4282</v>
      </c>
      <c r="N135" s="5">
        <v>258.95999999999998</v>
      </c>
      <c r="O135" t="str">
        <f>IF(ABS(Table1[[#This Row],[TotalPrice]]-Table1[[#This Row],[Quantity]]*Table1[[#This Row],[UnitPrice]]) &lt;0.01, "ok",)</f>
        <v>ok</v>
      </c>
      <c r="P135" t="str">
        <f>PROPER(TRIM(Table1[[#This Row],[ShippingAddress]]))</f>
        <v>718 Main St</v>
      </c>
      <c r="Q135" t="str">
        <f>PROPER(TRIM((Table1[[#This Row],[PaymentMethod]])))</f>
        <v>Gift Card</v>
      </c>
      <c r="R135" t="str">
        <f>PROPER(TRIM(Table1[[#This Row],[ReferralSource]]))</f>
        <v>Google</v>
      </c>
      <c r="S135" s="5">
        <f>Table1[[#This Row],[TotalPrice]]/Table1[[#This Row],[ItemsInCart]]</f>
        <v>32.369999999999997</v>
      </c>
    </row>
    <row r="136" spans="1:19" x14ac:dyDescent="0.3">
      <c r="A136" t="s">
        <v>1182</v>
      </c>
      <c r="B136" s="1">
        <v>45024</v>
      </c>
      <c r="C136" t="s">
        <v>2371</v>
      </c>
      <c r="D136" t="s">
        <v>2408</v>
      </c>
      <c r="E136">
        <v>2</v>
      </c>
      <c r="F136">
        <v>331.42</v>
      </c>
      <c r="G136" t="s">
        <v>3052</v>
      </c>
      <c r="H136" t="s">
        <v>3067</v>
      </c>
      <c r="I136" t="s">
        <v>3073</v>
      </c>
      <c r="J136" t="s">
        <v>4243</v>
      </c>
      <c r="K136">
        <v>6</v>
      </c>
      <c r="L136" t="s">
        <v>4277</v>
      </c>
      <c r="M136" t="s">
        <v>4282</v>
      </c>
      <c r="N136" s="5">
        <v>662.84</v>
      </c>
      <c r="O136" t="str">
        <f>IF(ABS(Table1[[#This Row],[TotalPrice]]-Table1[[#This Row],[Quantity]]*Table1[[#This Row],[UnitPrice]]) &lt;0.01, "ok",)</f>
        <v>ok</v>
      </c>
      <c r="P136" t="str">
        <f>PROPER(TRIM(Table1[[#This Row],[ShippingAddress]]))</f>
        <v>297 Main St</v>
      </c>
      <c r="Q136" t="str">
        <f>PROPER(TRIM((Table1[[#This Row],[PaymentMethod]])))</f>
        <v>Credit Card</v>
      </c>
      <c r="R136" t="str">
        <f>PROPER(TRIM(Table1[[#This Row],[ReferralSource]]))</f>
        <v>Google</v>
      </c>
      <c r="S136" s="5">
        <f>Table1[[#This Row],[TotalPrice]]/Table1[[#This Row],[ItemsInCart]]</f>
        <v>110.47333333333334</v>
      </c>
    </row>
    <row r="137" spans="1:19" x14ac:dyDescent="0.3">
      <c r="A137" t="s">
        <v>416</v>
      </c>
      <c r="B137" s="1">
        <v>45025</v>
      </c>
      <c r="C137" t="s">
        <v>1616</v>
      </c>
      <c r="D137" t="s">
        <v>2407</v>
      </c>
      <c r="E137">
        <v>5</v>
      </c>
      <c r="F137">
        <v>337.38</v>
      </c>
      <c r="G137" t="s">
        <v>2734</v>
      </c>
      <c r="H137" t="s">
        <v>3068</v>
      </c>
      <c r="I137" t="s">
        <v>3070</v>
      </c>
      <c r="J137" t="s">
        <v>3477</v>
      </c>
      <c r="K137">
        <v>5</v>
      </c>
      <c r="L137" t="s">
        <v>4283</v>
      </c>
      <c r="M137" t="s">
        <v>4279</v>
      </c>
      <c r="N137" s="5">
        <v>1686.9</v>
      </c>
      <c r="O137" t="str">
        <f>IF(ABS(Table1[[#This Row],[TotalPrice]]-Table1[[#This Row],[Quantity]]*Table1[[#This Row],[UnitPrice]]) &lt;0.01, "ok",)</f>
        <v>ok</v>
      </c>
      <c r="P137" t="str">
        <f>PROPER(TRIM(Table1[[#This Row],[ShippingAddress]]))</f>
        <v>858 Main St</v>
      </c>
      <c r="Q137" t="str">
        <f>PROPER(TRIM((Table1[[#This Row],[PaymentMethod]])))</f>
        <v>Gift Card</v>
      </c>
      <c r="R137" t="str">
        <f>PROPER(TRIM(Table1[[#This Row],[ReferralSource]]))</f>
        <v>Referral</v>
      </c>
      <c r="S137" s="5">
        <f>Table1[[#This Row],[TotalPrice]]/Table1[[#This Row],[ItemsInCart]]</f>
        <v>337.38</v>
      </c>
    </row>
    <row r="138" spans="1:19" x14ac:dyDescent="0.3">
      <c r="A138" t="s">
        <v>153</v>
      </c>
      <c r="B138" s="1">
        <v>45026</v>
      </c>
      <c r="C138" t="s">
        <v>1353</v>
      </c>
      <c r="D138" t="s">
        <v>2404</v>
      </c>
      <c r="E138">
        <v>1</v>
      </c>
      <c r="F138">
        <v>583.9</v>
      </c>
      <c r="G138" t="s">
        <v>2540</v>
      </c>
      <c r="H138" t="s">
        <v>3069</v>
      </c>
      <c r="I138" t="s">
        <v>3072</v>
      </c>
      <c r="J138" t="s">
        <v>3214</v>
      </c>
      <c r="K138">
        <v>1</v>
      </c>
      <c r="L138" t="s">
        <v>4283</v>
      </c>
      <c r="M138" t="s">
        <v>4280</v>
      </c>
      <c r="N138" s="5">
        <v>583.9</v>
      </c>
      <c r="O138" t="str">
        <f>IF(ABS(Table1[[#This Row],[TotalPrice]]-Table1[[#This Row],[Quantity]]*Table1[[#This Row],[UnitPrice]]) &lt;0.01, "ok",)</f>
        <v>ok</v>
      </c>
      <c r="P138" t="str">
        <f>PROPER(TRIM(Table1[[#This Row],[ShippingAddress]]))</f>
        <v>714 Main St</v>
      </c>
      <c r="Q138" t="str">
        <f>PROPER(TRIM((Table1[[#This Row],[PaymentMethod]])))</f>
        <v>Cash</v>
      </c>
      <c r="R138" t="str">
        <f>PROPER(TRIM(Table1[[#This Row],[ReferralSource]]))</f>
        <v>Email</v>
      </c>
      <c r="S138" s="5">
        <f>Table1[[#This Row],[TotalPrice]]/Table1[[#This Row],[ItemsInCart]]</f>
        <v>583.9</v>
      </c>
    </row>
    <row r="139" spans="1:19" x14ac:dyDescent="0.3">
      <c r="A139" t="s">
        <v>331</v>
      </c>
      <c r="B139" s="1">
        <v>45026</v>
      </c>
      <c r="C139" t="s">
        <v>1531</v>
      </c>
      <c r="D139" t="s">
        <v>2403</v>
      </c>
      <c r="E139">
        <v>2</v>
      </c>
      <c r="F139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>
        <v>5</v>
      </c>
      <c r="L139" t="s">
        <v>4283</v>
      </c>
      <c r="M139" t="s">
        <v>4278</v>
      </c>
      <c r="N139" s="5">
        <v>279.89999999999998</v>
      </c>
      <c r="O139" t="str">
        <f>IF(ABS(Table1[[#This Row],[TotalPrice]]-Table1[[#This Row],[Quantity]]*Table1[[#This Row],[UnitPrice]]) &lt;0.01, "ok",)</f>
        <v>ok</v>
      </c>
      <c r="P139" t="str">
        <f>PROPER(TRIM(Table1[[#This Row],[ShippingAddress]]))</f>
        <v>339 Main St</v>
      </c>
      <c r="Q139" t="str">
        <f>PROPER(TRIM((Table1[[#This Row],[PaymentMethod]])))</f>
        <v>Online</v>
      </c>
      <c r="R139" t="str">
        <f>PROPER(TRIM(Table1[[#This Row],[ReferralSource]]))</f>
        <v>Instagram</v>
      </c>
      <c r="S139" s="5">
        <f>Table1[[#This Row],[TotalPrice]]/Table1[[#This Row],[ItemsInCart]]</f>
        <v>55.98</v>
      </c>
    </row>
    <row r="140" spans="1:19" x14ac:dyDescent="0.3">
      <c r="A140" t="s">
        <v>134</v>
      </c>
      <c r="B140" s="1">
        <v>45027</v>
      </c>
      <c r="C140" t="s">
        <v>1334</v>
      </c>
      <c r="D140" t="s">
        <v>2405</v>
      </c>
      <c r="E140">
        <v>4</v>
      </c>
      <c r="F140">
        <v>629.34</v>
      </c>
      <c r="G140" t="s">
        <v>2416</v>
      </c>
      <c r="H140" t="s">
        <v>3069</v>
      </c>
      <c r="I140" t="s">
        <v>3071</v>
      </c>
      <c r="J140" t="s">
        <v>3195</v>
      </c>
      <c r="K140">
        <v>4</v>
      </c>
      <c r="L140" t="s">
        <v>4277</v>
      </c>
      <c r="M140" t="s">
        <v>4278</v>
      </c>
      <c r="N140" s="5">
        <v>2517.36</v>
      </c>
      <c r="O140" t="str">
        <f>IF(ABS(Table1[[#This Row],[TotalPrice]]-Table1[[#This Row],[Quantity]]*Table1[[#This Row],[UnitPrice]]) &lt;0.01, "ok",)</f>
        <v>ok</v>
      </c>
      <c r="P140" t="str">
        <f>PROPER(TRIM(Table1[[#This Row],[ShippingAddress]]))</f>
        <v>986 Main St</v>
      </c>
      <c r="Q140" t="str">
        <f>PROPER(TRIM((Table1[[#This Row],[PaymentMethod]])))</f>
        <v>Cash</v>
      </c>
      <c r="R140" t="str">
        <f>PROPER(TRIM(Table1[[#This Row],[ReferralSource]]))</f>
        <v>Instagram</v>
      </c>
      <c r="S140" s="5">
        <f>Table1[[#This Row],[TotalPrice]]/Table1[[#This Row],[ItemsInCart]]</f>
        <v>629.34</v>
      </c>
    </row>
    <row r="141" spans="1:19" x14ac:dyDescent="0.3">
      <c r="A141" t="s">
        <v>438</v>
      </c>
      <c r="B141" s="1">
        <v>45028</v>
      </c>
      <c r="C141" t="s">
        <v>1638</v>
      </c>
      <c r="D141" t="s">
        <v>2406</v>
      </c>
      <c r="E141">
        <v>5</v>
      </c>
      <c r="F141">
        <v>22.94</v>
      </c>
      <c r="G141" t="s">
        <v>2678</v>
      </c>
      <c r="H141" t="s">
        <v>3069</v>
      </c>
      <c r="I141" t="s">
        <v>3074</v>
      </c>
      <c r="J141" t="s">
        <v>3499</v>
      </c>
      <c r="K141">
        <v>10</v>
      </c>
      <c r="L141" t="s">
        <v>4283</v>
      </c>
      <c r="M141" t="s">
        <v>4280</v>
      </c>
      <c r="N141" s="5">
        <v>114.7</v>
      </c>
      <c r="O141" t="str">
        <f>IF(ABS(Table1[[#This Row],[TotalPrice]]-Table1[[#This Row],[Quantity]]*Table1[[#This Row],[UnitPrice]]) &lt;0.01, "ok",)</f>
        <v>ok</v>
      </c>
      <c r="P141" t="str">
        <f>PROPER(TRIM(Table1[[#This Row],[ShippingAddress]]))</f>
        <v>339 Main St</v>
      </c>
      <c r="Q141" t="str">
        <f>PROPER(TRIM((Table1[[#This Row],[PaymentMethod]])))</f>
        <v>Cash</v>
      </c>
      <c r="R141" t="str">
        <f>PROPER(TRIM(Table1[[#This Row],[ReferralSource]]))</f>
        <v>Email</v>
      </c>
      <c r="S141" s="5">
        <f>Table1[[#This Row],[TotalPrice]]/Table1[[#This Row],[ItemsInCart]]</f>
        <v>11.47</v>
      </c>
    </row>
    <row r="142" spans="1:19" x14ac:dyDescent="0.3">
      <c r="A142" t="s">
        <v>1137</v>
      </c>
      <c r="B142" s="1">
        <v>45030</v>
      </c>
      <c r="C142" t="s">
        <v>2327</v>
      </c>
      <c r="D142" t="s">
        <v>2405</v>
      </c>
      <c r="E142">
        <v>3</v>
      </c>
      <c r="F142">
        <v>554.25</v>
      </c>
      <c r="G142" t="s">
        <v>3036</v>
      </c>
      <c r="H142" t="s">
        <v>3065</v>
      </c>
      <c r="I142" t="s">
        <v>3070</v>
      </c>
      <c r="J142" t="s">
        <v>4198</v>
      </c>
      <c r="K142">
        <v>6</v>
      </c>
      <c r="L142" t="s">
        <v>4277</v>
      </c>
      <c r="M142" t="s">
        <v>4279</v>
      </c>
      <c r="N142" s="5">
        <v>1662.75</v>
      </c>
      <c r="O142" t="str">
        <f>IF(ABS(Table1[[#This Row],[TotalPrice]]-Table1[[#This Row],[Quantity]]*Table1[[#This Row],[UnitPrice]]) &lt;0.01, "ok",)</f>
        <v>ok</v>
      </c>
      <c r="P142" t="str">
        <f>PROPER(TRIM(Table1[[#This Row],[ShippingAddress]]))</f>
        <v>843 Main St</v>
      </c>
      <c r="Q142" t="str">
        <f>PROPER(TRIM((Table1[[#This Row],[PaymentMethod]])))</f>
        <v>Debit Card</v>
      </c>
      <c r="R142" t="str">
        <f>PROPER(TRIM(Table1[[#This Row],[ReferralSource]]))</f>
        <v>Referral</v>
      </c>
      <c r="S142" s="5">
        <f>Table1[[#This Row],[TotalPrice]]/Table1[[#This Row],[ItemsInCart]]</f>
        <v>277.125</v>
      </c>
    </row>
    <row r="143" spans="1:19" x14ac:dyDescent="0.3">
      <c r="A143" t="s">
        <v>345</v>
      </c>
      <c r="B143" s="1">
        <v>45031</v>
      </c>
      <c r="C143" t="s">
        <v>1545</v>
      </c>
      <c r="D143" t="s">
        <v>2407</v>
      </c>
      <c r="E143">
        <v>3</v>
      </c>
      <c r="F143">
        <v>422.13</v>
      </c>
      <c r="G143" t="s">
        <v>2522</v>
      </c>
      <c r="H143" t="s">
        <v>3066</v>
      </c>
      <c r="I143" t="s">
        <v>3073</v>
      </c>
      <c r="J143" t="s">
        <v>3406</v>
      </c>
      <c r="K143">
        <v>7</v>
      </c>
      <c r="L143" t="s">
        <v>4275</v>
      </c>
      <c r="M143" t="s">
        <v>4281</v>
      </c>
      <c r="N143" s="5">
        <v>1266.3900000000001</v>
      </c>
      <c r="O143" t="str">
        <f>IF(ABS(Table1[[#This Row],[TotalPrice]]-Table1[[#This Row],[Quantity]]*Table1[[#This Row],[UnitPrice]]) &lt;0.01, "ok",)</f>
        <v>ok</v>
      </c>
      <c r="P143" t="str">
        <f>PROPER(TRIM(Table1[[#This Row],[ShippingAddress]]))</f>
        <v>187 Main St</v>
      </c>
      <c r="Q143" t="str">
        <f>PROPER(TRIM((Table1[[#This Row],[PaymentMethod]])))</f>
        <v>Online</v>
      </c>
      <c r="R143" t="str">
        <f>PROPER(TRIM(Table1[[#This Row],[ReferralSource]]))</f>
        <v>Facebook</v>
      </c>
      <c r="S143" s="5">
        <f>Table1[[#This Row],[TotalPrice]]/Table1[[#This Row],[ItemsInCart]]</f>
        <v>180.91285714285715</v>
      </c>
    </row>
    <row r="144" spans="1:19" x14ac:dyDescent="0.3">
      <c r="A144" t="s">
        <v>528</v>
      </c>
      <c r="B144" s="1">
        <v>45032</v>
      </c>
      <c r="C144" t="s">
        <v>1728</v>
      </c>
      <c r="D144" t="s">
        <v>2407</v>
      </c>
      <c r="E144">
        <v>3</v>
      </c>
      <c r="F144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>
        <v>3</v>
      </c>
      <c r="L144" t="s">
        <v>4277</v>
      </c>
      <c r="M144" t="s">
        <v>4278</v>
      </c>
      <c r="N144" s="5">
        <v>912.44999999999993</v>
      </c>
      <c r="O144" t="str">
        <f>IF(ABS(Table1[[#This Row],[TotalPrice]]-Table1[[#This Row],[Quantity]]*Table1[[#This Row],[UnitPrice]]) &lt;0.01, "ok",)</f>
        <v>ok</v>
      </c>
      <c r="P144" t="str">
        <f>PROPER(TRIM(Table1[[#This Row],[ShippingAddress]]))</f>
        <v>492 Main St</v>
      </c>
      <c r="Q144" t="str">
        <f>PROPER(TRIM((Table1[[#This Row],[PaymentMethod]])))</f>
        <v>Gift Card</v>
      </c>
      <c r="R144" t="str">
        <f>PROPER(TRIM(Table1[[#This Row],[ReferralSource]]))</f>
        <v>Instagram</v>
      </c>
      <c r="S144" s="5">
        <f>Table1[[#This Row],[TotalPrice]]/Table1[[#This Row],[ItemsInCart]]</f>
        <v>304.14999999999998</v>
      </c>
    </row>
    <row r="145" spans="1:19" x14ac:dyDescent="0.3">
      <c r="A145" t="s">
        <v>813</v>
      </c>
      <c r="B145" s="1">
        <v>45032</v>
      </c>
      <c r="C145" t="s">
        <v>2010</v>
      </c>
      <c r="D145" t="s">
        <v>2408</v>
      </c>
      <c r="E145">
        <v>4</v>
      </c>
      <c r="F145">
        <v>328.56</v>
      </c>
      <c r="G145" t="s">
        <v>2638</v>
      </c>
      <c r="H145" t="s">
        <v>3065</v>
      </c>
      <c r="I145" t="s">
        <v>3072</v>
      </c>
      <c r="J145" t="s">
        <v>3874</v>
      </c>
      <c r="K145">
        <v>4</v>
      </c>
      <c r="L145" t="s">
        <v>4276</v>
      </c>
      <c r="M145" t="s">
        <v>4280</v>
      </c>
      <c r="N145" s="5">
        <v>1314.24</v>
      </c>
      <c r="O145" t="str">
        <f>IF(ABS(Table1[[#This Row],[TotalPrice]]-Table1[[#This Row],[Quantity]]*Table1[[#This Row],[UnitPrice]]) &lt;0.01, "ok",)</f>
        <v>ok</v>
      </c>
      <c r="P145" t="str">
        <f>PROPER(TRIM(Table1[[#This Row],[ShippingAddress]]))</f>
        <v>803 Main St</v>
      </c>
      <c r="Q145" t="str">
        <f>PROPER(TRIM((Table1[[#This Row],[PaymentMethod]])))</f>
        <v>Debit Card</v>
      </c>
      <c r="R145" t="str">
        <f>PROPER(TRIM(Table1[[#This Row],[ReferralSource]]))</f>
        <v>Email</v>
      </c>
      <c r="S145" s="5">
        <f>Table1[[#This Row],[TotalPrice]]/Table1[[#This Row],[ItemsInCart]]</f>
        <v>328.56</v>
      </c>
    </row>
    <row r="146" spans="1:19" x14ac:dyDescent="0.3">
      <c r="A146" t="s">
        <v>227</v>
      </c>
      <c r="B146" s="1">
        <v>45036</v>
      </c>
      <c r="C146" t="s">
        <v>1427</v>
      </c>
      <c r="D146" t="s">
        <v>2408</v>
      </c>
      <c r="E146">
        <v>1</v>
      </c>
      <c r="F146">
        <v>634.4</v>
      </c>
      <c r="G146" t="s">
        <v>2596</v>
      </c>
      <c r="H146" t="s">
        <v>3069</v>
      </c>
      <c r="I146" t="s">
        <v>3071</v>
      </c>
      <c r="J146" t="s">
        <v>3288</v>
      </c>
      <c r="K146">
        <v>6</v>
      </c>
      <c r="L146" t="s">
        <v>4275</v>
      </c>
      <c r="M146" t="s">
        <v>4280</v>
      </c>
      <c r="N146" s="5">
        <v>634.4</v>
      </c>
      <c r="O146" t="str">
        <f>IF(ABS(Table1[[#This Row],[TotalPrice]]-Table1[[#This Row],[Quantity]]*Table1[[#This Row],[UnitPrice]]) &lt;0.01, "ok",)</f>
        <v>ok</v>
      </c>
      <c r="P146" t="str">
        <f>PROPER(TRIM(Table1[[#This Row],[ShippingAddress]]))</f>
        <v>317 Main St</v>
      </c>
      <c r="Q146" t="str">
        <f>PROPER(TRIM((Table1[[#This Row],[PaymentMethod]])))</f>
        <v>Cash</v>
      </c>
      <c r="R146" t="str">
        <f>PROPER(TRIM(Table1[[#This Row],[ReferralSource]]))</f>
        <v>Email</v>
      </c>
      <c r="S146" s="5">
        <f>Table1[[#This Row],[TotalPrice]]/Table1[[#This Row],[ItemsInCart]]</f>
        <v>105.73333333333333</v>
      </c>
    </row>
    <row r="147" spans="1:19" x14ac:dyDescent="0.3">
      <c r="A147" t="s">
        <v>1046</v>
      </c>
      <c r="B147" s="1">
        <v>45036</v>
      </c>
      <c r="C147" t="s">
        <v>2238</v>
      </c>
      <c r="D147" t="s">
        <v>2406</v>
      </c>
      <c r="E147">
        <v>1</v>
      </c>
      <c r="F14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>
        <v>6</v>
      </c>
      <c r="L147" t="s">
        <v>4277</v>
      </c>
      <c r="M147" t="s">
        <v>4279</v>
      </c>
      <c r="N147" s="5">
        <v>618.67999999999995</v>
      </c>
      <c r="O147" t="str">
        <f>IF(ABS(Table1[[#This Row],[TotalPrice]]-Table1[[#This Row],[Quantity]]*Table1[[#This Row],[UnitPrice]]) &lt;0.01, "ok",)</f>
        <v>ok</v>
      </c>
      <c r="P147" t="str">
        <f>PROPER(TRIM(Table1[[#This Row],[ShippingAddress]]))</f>
        <v>990 Main St</v>
      </c>
      <c r="Q147" t="str">
        <f>PROPER(TRIM((Table1[[#This Row],[PaymentMethod]])))</f>
        <v>Online</v>
      </c>
      <c r="R147" t="str">
        <f>PROPER(TRIM(Table1[[#This Row],[ReferralSource]]))</f>
        <v>Referral</v>
      </c>
      <c r="S147" s="5">
        <f>Table1[[#This Row],[TotalPrice]]/Table1[[#This Row],[ItemsInCart]]</f>
        <v>103.11333333333333</v>
      </c>
    </row>
    <row r="148" spans="1:19" x14ac:dyDescent="0.3">
      <c r="A148" t="s">
        <v>1172</v>
      </c>
      <c r="B148" s="1">
        <v>45036</v>
      </c>
      <c r="C148" t="s">
        <v>2361</v>
      </c>
      <c r="D148" t="s">
        <v>2403</v>
      </c>
      <c r="E148">
        <v>4</v>
      </c>
      <c r="F148">
        <v>27.42</v>
      </c>
      <c r="G148" t="s">
        <v>2755</v>
      </c>
      <c r="H148" t="s">
        <v>3065</v>
      </c>
      <c r="I148" t="s">
        <v>3074</v>
      </c>
      <c r="J148" t="s">
        <v>4233</v>
      </c>
      <c r="K148">
        <v>4</v>
      </c>
      <c r="L148" t="s">
        <v>4275</v>
      </c>
      <c r="M148" t="s">
        <v>4279</v>
      </c>
      <c r="N148" s="5">
        <v>109.68</v>
      </c>
      <c r="O148" t="str">
        <f>IF(ABS(Table1[[#This Row],[TotalPrice]]-Table1[[#This Row],[Quantity]]*Table1[[#This Row],[UnitPrice]]) &lt;0.01, "ok",)</f>
        <v>ok</v>
      </c>
      <c r="P148" t="str">
        <f>PROPER(TRIM(Table1[[#This Row],[ShippingAddress]]))</f>
        <v>661 Main St</v>
      </c>
      <c r="Q148" t="str">
        <f>PROPER(TRIM((Table1[[#This Row],[PaymentMethod]])))</f>
        <v>Debit Card</v>
      </c>
      <c r="R148" t="str">
        <f>PROPER(TRIM(Table1[[#This Row],[ReferralSource]]))</f>
        <v>Referral</v>
      </c>
      <c r="S148" s="5">
        <f>Table1[[#This Row],[TotalPrice]]/Table1[[#This Row],[ItemsInCart]]</f>
        <v>27.42</v>
      </c>
    </row>
    <row r="149" spans="1:19" x14ac:dyDescent="0.3">
      <c r="A149" t="s">
        <v>625</v>
      </c>
      <c r="B149" s="1">
        <v>45037</v>
      </c>
      <c r="C149" t="s">
        <v>1824</v>
      </c>
      <c r="D149" t="s">
        <v>2409</v>
      </c>
      <c r="E149">
        <v>1</v>
      </c>
      <c r="F149">
        <v>305.17</v>
      </c>
      <c r="G149" t="s">
        <v>2835</v>
      </c>
      <c r="H149" t="s">
        <v>3068</v>
      </c>
      <c r="I149" t="s">
        <v>3072</v>
      </c>
      <c r="J149" t="s">
        <v>3686</v>
      </c>
      <c r="K149">
        <v>3</v>
      </c>
      <c r="L149" t="s">
        <v>4277</v>
      </c>
      <c r="M149" t="s">
        <v>4279</v>
      </c>
      <c r="N149" s="5">
        <v>305.17</v>
      </c>
      <c r="O149" t="str">
        <f>IF(ABS(Table1[[#This Row],[TotalPrice]]-Table1[[#This Row],[Quantity]]*Table1[[#This Row],[UnitPrice]]) &lt;0.01, "ok",)</f>
        <v>ok</v>
      </c>
      <c r="P149" t="str">
        <f>PROPER(TRIM(Table1[[#This Row],[ShippingAddress]]))</f>
        <v>700 Main St</v>
      </c>
      <c r="Q149" t="str">
        <f>PROPER(TRIM((Table1[[#This Row],[PaymentMethod]])))</f>
        <v>Gift Card</v>
      </c>
      <c r="R149" t="str">
        <f>PROPER(TRIM(Table1[[#This Row],[ReferralSource]]))</f>
        <v>Referral</v>
      </c>
      <c r="S149" s="5">
        <f>Table1[[#This Row],[TotalPrice]]/Table1[[#This Row],[ItemsInCart]]</f>
        <v>101.72333333333334</v>
      </c>
    </row>
    <row r="150" spans="1:19" x14ac:dyDescent="0.3">
      <c r="A150" t="s">
        <v>728</v>
      </c>
      <c r="B150" s="1">
        <v>45037</v>
      </c>
      <c r="C150" t="s">
        <v>1925</v>
      </c>
      <c r="D150" t="s">
        <v>2408</v>
      </c>
      <c r="E150">
        <v>1</v>
      </c>
      <c r="F150">
        <v>51.73</v>
      </c>
      <c r="G150" t="s">
        <v>2660</v>
      </c>
      <c r="H150" t="s">
        <v>3065</v>
      </c>
      <c r="I150" t="s">
        <v>3074</v>
      </c>
      <c r="J150" t="s">
        <v>3789</v>
      </c>
      <c r="K150">
        <v>1</v>
      </c>
      <c r="L150" t="s">
        <v>4276</v>
      </c>
      <c r="M150" t="s">
        <v>4281</v>
      </c>
      <c r="N150" s="5">
        <v>51.73</v>
      </c>
      <c r="O150" t="str">
        <f>IF(ABS(Table1[[#This Row],[TotalPrice]]-Table1[[#This Row],[Quantity]]*Table1[[#This Row],[UnitPrice]]) &lt;0.01, "ok",)</f>
        <v>ok</v>
      </c>
      <c r="P150" t="str">
        <f>PROPER(TRIM(Table1[[#This Row],[ShippingAddress]]))</f>
        <v>278 Main St</v>
      </c>
      <c r="Q150" t="str">
        <f>PROPER(TRIM((Table1[[#This Row],[PaymentMethod]])))</f>
        <v>Debit Card</v>
      </c>
      <c r="R150" t="str">
        <f>PROPER(TRIM(Table1[[#This Row],[ReferralSource]]))</f>
        <v>Facebook</v>
      </c>
      <c r="S150" s="5">
        <f>Table1[[#This Row],[TotalPrice]]/Table1[[#This Row],[ItemsInCart]]</f>
        <v>51.73</v>
      </c>
    </row>
    <row r="151" spans="1:19" x14ac:dyDescent="0.3">
      <c r="A151" t="s">
        <v>1095</v>
      </c>
      <c r="B151" s="1">
        <v>45037</v>
      </c>
      <c r="C151" t="s">
        <v>2287</v>
      </c>
      <c r="D151" t="s">
        <v>2403</v>
      </c>
      <c r="E151">
        <v>4</v>
      </c>
      <c r="F151">
        <v>425.6</v>
      </c>
      <c r="G151" t="s">
        <v>2704</v>
      </c>
      <c r="H151" t="s">
        <v>3067</v>
      </c>
      <c r="I151" t="s">
        <v>3074</v>
      </c>
      <c r="J151" t="s">
        <v>4156</v>
      </c>
      <c r="K151">
        <v>5</v>
      </c>
      <c r="L151" t="s">
        <v>4276</v>
      </c>
      <c r="M151" t="s">
        <v>4282</v>
      </c>
      <c r="N151" s="5">
        <v>1702.4</v>
      </c>
      <c r="O151" t="str">
        <f>IF(ABS(Table1[[#This Row],[TotalPrice]]-Table1[[#This Row],[Quantity]]*Table1[[#This Row],[UnitPrice]]) &lt;0.01, "ok",)</f>
        <v>ok</v>
      </c>
      <c r="P151" t="str">
        <f>PROPER(TRIM(Table1[[#This Row],[ShippingAddress]]))</f>
        <v>494 Main St</v>
      </c>
      <c r="Q151" t="str">
        <f>PROPER(TRIM((Table1[[#This Row],[PaymentMethod]])))</f>
        <v>Credit Card</v>
      </c>
      <c r="R151" t="str">
        <f>PROPER(TRIM(Table1[[#This Row],[ReferralSource]]))</f>
        <v>Google</v>
      </c>
      <c r="S151" s="5">
        <f>Table1[[#This Row],[TotalPrice]]/Table1[[#This Row],[ItemsInCart]]</f>
        <v>340.48</v>
      </c>
    </row>
    <row r="152" spans="1:19" x14ac:dyDescent="0.3">
      <c r="A152" t="s">
        <v>354</v>
      </c>
      <c r="B152" s="1">
        <v>45039</v>
      </c>
      <c r="C152" t="s">
        <v>1554</v>
      </c>
      <c r="D152" t="s">
        <v>2408</v>
      </c>
      <c r="E152">
        <v>5</v>
      </c>
      <c r="F152">
        <v>521.25</v>
      </c>
      <c r="G152" t="s">
        <v>2693</v>
      </c>
      <c r="H152" t="s">
        <v>3069</v>
      </c>
      <c r="I152" t="s">
        <v>3071</v>
      </c>
      <c r="J152" t="s">
        <v>3415</v>
      </c>
      <c r="K152">
        <v>8</v>
      </c>
      <c r="L152" t="s">
        <v>4283</v>
      </c>
      <c r="M152" t="s">
        <v>4280</v>
      </c>
      <c r="N152" s="5">
        <v>2606.25</v>
      </c>
      <c r="O152" t="str">
        <f>IF(ABS(Table1[[#This Row],[TotalPrice]]-Table1[[#This Row],[Quantity]]*Table1[[#This Row],[UnitPrice]]) &lt;0.01, "ok",)</f>
        <v>ok</v>
      </c>
      <c r="P152" t="str">
        <f>PROPER(TRIM(Table1[[#This Row],[ShippingAddress]]))</f>
        <v>826 Main St</v>
      </c>
      <c r="Q152" t="str">
        <f>PROPER(TRIM((Table1[[#This Row],[PaymentMethod]])))</f>
        <v>Cash</v>
      </c>
      <c r="R152" t="str">
        <f>PROPER(TRIM(Table1[[#This Row],[ReferralSource]]))</f>
        <v>Email</v>
      </c>
      <c r="S152" s="5">
        <f>Table1[[#This Row],[TotalPrice]]/Table1[[#This Row],[ItemsInCart]]</f>
        <v>325.78125</v>
      </c>
    </row>
    <row r="153" spans="1:19" x14ac:dyDescent="0.3">
      <c r="A153" t="s">
        <v>495</v>
      </c>
      <c r="B153" s="1">
        <v>45039</v>
      </c>
      <c r="C153" t="s">
        <v>1695</v>
      </c>
      <c r="D153" t="s">
        <v>2408</v>
      </c>
      <c r="E153">
        <v>4</v>
      </c>
      <c r="F153">
        <v>484.85</v>
      </c>
      <c r="G153" t="s">
        <v>2596</v>
      </c>
      <c r="H153" t="s">
        <v>3065</v>
      </c>
      <c r="I153" t="s">
        <v>3073</v>
      </c>
      <c r="J153" t="s">
        <v>3556</v>
      </c>
      <c r="K153">
        <v>5</v>
      </c>
      <c r="L153" t="s">
        <v>4277</v>
      </c>
      <c r="M153" t="s">
        <v>4279</v>
      </c>
      <c r="N153" s="5">
        <v>1939.4</v>
      </c>
      <c r="O153" t="str">
        <f>IF(ABS(Table1[[#This Row],[TotalPrice]]-Table1[[#This Row],[Quantity]]*Table1[[#This Row],[UnitPrice]]) &lt;0.01, "ok",)</f>
        <v>ok</v>
      </c>
      <c r="P153" t="str">
        <f>PROPER(TRIM(Table1[[#This Row],[ShippingAddress]]))</f>
        <v>317 Main St</v>
      </c>
      <c r="Q153" t="str">
        <f>PROPER(TRIM((Table1[[#This Row],[PaymentMethod]])))</f>
        <v>Debit Card</v>
      </c>
      <c r="R153" t="str">
        <f>PROPER(TRIM(Table1[[#This Row],[ReferralSource]]))</f>
        <v>Referral</v>
      </c>
      <c r="S153" s="5">
        <f>Table1[[#This Row],[TotalPrice]]/Table1[[#This Row],[ItemsInCart]]</f>
        <v>387.88</v>
      </c>
    </row>
    <row r="154" spans="1:19" x14ac:dyDescent="0.3">
      <c r="A154" t="s">
        <v>1117</v>
      </c>
      <c r="B154" s="1">
        <v>45040</v>
      </c>
      <c r="C154" t="s">
        <v>2308</v>
      </c>
      <c r="D154" t="s">
        <v>2408</v>
      </c>
      <c r="E154">
        <v>4</v>
      </c>
      <c r="F154">
        <v>276.32</v>
      </c>
      <c r="G154" t="s">
        <v>2477</v>
      </c>
      <c r="H154" t="s">
        <v>3066</v>
      </c>
      <c r="I154" t="s">
        <v>3073</v>
      </c>
      <c r="J154" t="s">
        <v>4178</v>
      </c>
      <c r="K154">
        <v>5</v>
      </c>
      <c r="L154" t="s">
        <v>4283</v>
      </c>
      <c r="M154" t="s">
        <v>4282</v>
      </c>
      <c r="N154" s="5">
        <v>1105.28</v>
      </c>
      <c r="O154" t="str">
        <f>IF(ABS(Table1[[#This Row],[TotalPrice]]-Table1[[#This Row],[Quantity]]*Table1[[#This Row],[UnitPrice]]) &lt;0.01, "ok",)</f>
        <v>ok</v>
      </c>
      <c r="P154" t="str">
        <f>PROPER(TRIM(Table1[[#This Row],[ShippingAddress]]))</f>
        <v>129 Main St</v>
      </c>
      <c r="Q154" t="str">
        <f>PROPER(TRIM((Table1[[#This Row],[PaymentMethod]])))</f>
        <v>Online</v>
      </c>
      <c r="R154" t="str">
        <f>PROPER(TRIM(Table1[[#This Row],[ReferralSource]]))</f>
        <v>Google</v>
      </c>
      <c r="S154" s="5">
        <f>Table1[[#This Row],[TotalPrice]]/Table1[[#This Row],[ItemsInCart]]</f>
        <v>221.05599999999998</v>
      </c>
    </row>
    <row r="155" spans="1:19" x14ac:dyDescent="0.3">
      <c r="A155" t="s">
        <v>1191</v>
      </c>
      <c r="B155" s="1">
        <v>45043</v>
      </c>
      <c r="C155" t="s">
        <v>2380</v>
      </c>
      <c r="D155" t="s">
        <v>2407</v>
      </c>
      <c r="E155">
        <v>1</v>
      </c>
      <c r="F155">
        <v>127.55</v>
      </c>
      <c r="G155" t="s">
        <v>2749</v>
      </c>
      <c r="H155" t="s">
        <v>3069</v>
      </c>
      <c r="I155" t="s">
        <v>3070</v>
      </c>
      <c r="J155" t="s">
        <v>4252</v>
      </c>
      <c r="K155">
        <v>3</v>
      </c>
      <c r="L155" t="s">
        <v>4275</v>
      </c>
      <c r="M155" t="s">
        <v>4279</v>
      </c>
      <c r="N155" s="5">
        <v>127.55</v>
      </c>
      <c r="O155" t="str">
        <f>IF(ABS(Table1[[#This Row],[TotalPrice]]-Table1[[#This Row],[Quantity]]*Table1[[#This Row],[UnitPrice]]) &lt;0.01, "ok",)</f>
        <v>ok</v>
      </c>
      <c r="P155" t="str">
        <f>PROPER(TRIM(Table1[[#This Row],[ShippingAddress]]))</f>
        <v>433 Main St</v>
      </c>
      <c r="Q155" t="str">
        <f>PROPER(TRIM((Table1[[#This Row],[PaymentMethod]])))</f>
        <v>Cash</v>
      </c>
      <c r="R155" t="str">
        <f>PROPER(TRIM(Table1[[#This Row],[ReferralSource]]))</f>
        <v>Referral</v>
      </c>
      <c r="S155" s="5">
        <f>Table1[[#This Row],[TotalPrice]]/Table1[[#This Row],[ItemsInCart]]</f>
        <v>42.516666666666666</v>
      </c>
    </row>
    <row r="156" spans="1:19" x14ac:dyDescent="0.3">
      <c r="A156" t="s">
        <v>232</v>
      </c>
      <c r="B156" s="1">
        <v>45044</v>
      </c>
      <c r="C156" t="s">
        <v>1432</v>
      </c>
      <c r="D156" t="s">
        <v>2405</v>
      </c>
      <c r="E156">
        <v>3</v>
      </c>
      <c r="F156">
        <v>112.46</v>
      </c>
      <c r="G156" t="s">
        <v>2599</v>
      </c>
      <c r="H156" t="s">
        <v>3068</v>
      </c>
      <c r="I156" t="s">
        <v>3070</v>
      </c>
      <c r="J156" t="s">
        <v>3293</v>
      </c>
      <c r="K156">
        <v>6</v>
      </c>
      <c r="L156" t="s">
        <v>4275</v>
      </c>
      <c r="M156" t="s">
        <v>4278</v>
      </c>
      <c r="N156" s="5">
        <v>337.38</v>
      </c>
      <c r="O156" t="str">
        <f>IF(ABS(Table1[[#This Row],[TotalPrice]]-Table1[[#This Row],[Quantity]]*Table1[[#This Row],[UnitPrice]]) &lt;0.01, "ok",)</f>
        <v>ok</v>
      </c>
      <c r="P156" t="str">
        <f>PROPER(TRIM(Table1[[#This Row],[ShippingAddress]]))</f>
        <v>882 Main St</v>
      </c>
      <c r="Q156" t="str">
        <f>PROPER(TRIM((Table1[[#This Row],[PaymentMethod]])))</f>
        <v>Gift Card</v>
      </c>
      <c r="R156" t="str">
        <f>PROPER(TRIM(Table1[[#This Row],[ReferralSource]]))</f>
        <v>Instagram</v>
      </c>
      <c r="S156" s="5">
        <f>Table1[[#This Row],[TotalPrice]]/Table1[[#This Row],[ItemsInCart]]</f>
        <v>56.23</v>
      </c>
    </row>
    <row r="157" spans="1:19" x14ac:dyDescent="0.3">
      <c r="A157" t="s">
        <v>400</v>
      </c>
      <c r="B157" s="1">
        <v>45044</v>
      </c>
      <c r="C157" t="s">
        <v>1600</v>
      </c>
      <c r="D157" t="s">
        <v>2405</v>
      </c>
      <c r="E157">
        <v>1</v>
      </c>
      <c r="F157">
        <v>93.02</v>
      </c>
      <c r="G157" t="s">
        <v>2726</v>
      </c>
      <c r="H157" t="s">
        <v>3066</v>
      </c>
      <c r="I157" t="s">
        <v>3072</v>
      </c>
      <c r="J157" t="s">
        <v>3461</v>
      </c>
      <c r="K157">
        <v>4</v>
      </c>
      <c r="L157" t="s">
        <v>4283</v>
      </c>
      <c r="M157" t="s">
        <v>4280</v>
      </c>
      <c r="N157" s="5">
        <v>93.02</v>
      </c>
      <c r="O157" t="str">
        <f>IF(ABS(Table1[[#This Row],[TotalPrice]]-Table1[[#This Row],[Quantity]]*Table1[[#This Row],[UnitPrice]]) &lt;0.01, "ok",)</f>
        <v>ok</v>
      </c>
      <c r="P157" t="str">
        <f>PROPER(TRIM(Table1[[#This Row],[ShippingAddress]]))</f>
        <v>373 Main St</v>
      </c>
      <c r="Q157" t="str">
        <f>PROPER(TRIM((Table1[[#This Row],[PaymentMethod]])))</f>
        <v>Online</v>
      </c>
      <c r="R157" t="str">
        <f>PROPER(TRIM(Table1[[#This Row],[ReferralSource]]))</f>
        <v>Email</v>
      </c>
      <c r="S157" s="5">
        <f>Table1[[#This Row],[TotalPrice]]/Table1[[#This Row],[ItemsInCart]]</f>
        <v>23.254999999999999</v>
      </c>
    </row>
    <row r="158" spans="1:19" x14ac:dyDescent="0.3">
      <c r="A158" t="s">
        <v>792</v>
      </c>
      <c r="B158" s="1">
        <v>45044</v>
      </c>
      <c r="C158" t="s">
        <v>1989</v>
      </c>
      <c r="D158" t="s">
        <v>2408</v>
      </c>
      <c r="E158">
        <v>4</v>
      </c>
      <c r="F158">
        <v>246.85</v>
      </c>
      <c r="G158" t="s">
        <v>2918</v>
      </c>
      <c r="H158" t="s">
        <v>3067</v>
      </c>
      <c r="I158" t="s">
        <v>3070</v>
      </c>
      <c r="J158" t="s">
        <v>3853</v>
      </c>
      <c r="K158">
        <v>8</v>
      </c>
      <c r="L158" t="s">
        <v>4277</v>
      </c>
      <c r="M158" t="s">
        <v>4282</v>
      </c>
      <c r="N158" s="5">
        <v>987.4</v>
      </c>
      <c r="O158" t="str">
        <f>IF(ABS(Table1[[#This Row],[TotalPrice]]-Table1[[#This Row],[Quantity]]*Table1[[#This Row],[UnitPrice]]) &lt;0.01, "ok",)</f>
        <v>ok</v>
      </c>
      <c r="P158" t="str">
        <f>PROPER(TRIM(Table1[[#This Row],[ShippingAddress]]))</f>
        <v>316 Main St</v>
      </c>
      <c r="Q158" t="str">
        <f>PROPER(TRIM((Table1[[#This Row],[PaymentMethod]])))</f>
        <v>Credit Card</v>
      </c>
      <c r="R158" t="str">
        <f>PROPER(TRIM(Table1[[#This Row],[ReferralSource]]))</f>
        <v>Google</v>
      </c>
      <c r="S158" s="5">
        <f>Table1[[#This Row],[TotalPrice]]/Table1[[#This Row],[ItemsInCart]]</f>
        <v>123.425</v>
      </c>
    </row>
    <row r="159" spans="1:19" x14ac:dyDescent="0.3">
      <c r="A159" t="s">
        <v>879</v>
      </c>
      <c r="B159" s="1">
        <v>45046</v>
      </c>
      <c r="C159" t="s">
        <v>2075</v>
      </c>
      <c r="D159" t="s">
        <v>2403</v>
      </c>
      <c r="E159">
        <v>4</v>
      </c>
      <c r="F159">
        <v>677.37</v>
      </c>
      <c r="G159" t="s">
        <v>2958</v>
      </c>
      <c r="H159" t="s">
        <v>3069</v>
      </c>
      <c r="I159" t="s">
        <v>3074</v>
      </c>
      <c r="J159" t="s">
        <v>3940</v>
      </c>
      <c r="K159">
        <v>8</v>
      </c>
      <c r="L159" t="s">
        <v>4275</v>
      </c>
      <c r="M159" t="s">
        <v>4282</v>
      </c>
      <c r="N159" s="5">
        <v>2709.48</v>
      </c>
      <c r="O159" t="str">
        <f>IF(ABS(Table1[[#This Row],[TotalPrice]]-Table1[[#This Row],[Quantity]]*Table1[[#This Row],[UnitPrice]]) &lt;0.01, "ok",)</f>
        <v>ok</v>
      </c>
      <c r="P159" t="str">
        <f>PROPER(TRIM(Table1[[#This Row],[ShippingAddress]]))</f>
        <v>156 Main St</v>
      </c>
      <c r="Q159" t="str">
        <f>PROPER(TRIM((Table1[[#This Row],[PaymentMethod]])))</f>
        <v>Cash</v>
      </c>
      <c r="R159" t="str">
        <f>PROPER(TRIM(Table1[[#This Row],[ReferralSource]]))</f>
        <v>Google</v>
      </c>
      <c r="S159" s="5">
        <f>Table1[[#This Row],[TotalPrice]]/Table1[[#This Row],[ItemsInCart]]</f>
        <v>338.685</v>
      </c>
    </row>
    <row r="160" spans="1:19" x14ac:dyDescent="0.3">
      <c r="A160" t="s">
        <v>46</v>
      </c>
      <c r="B160" s="1">
        <v>45047</v>
      </c>
      <c r="C160" t="s">
        <v>1246</v>
      </c>
      <c r="D160" t="s">
        <v>2405</v>
      </c>
      <c r="E160">
        <v>5</v>
      </c>
      <c r="F160">
        <v>536.72</v>
      </c>
      <c r="G160" t="s">
        <v>2442</v>
      </c>
      <c r="H160" t="s">
        <v>3069</v>
      </c>
      <c r="I160" t="s">
        <v>3073</v>
      </c>
      <c r="J160" t="s">
        <v>3107</v>
      </c>
      <c r="K160">
        <v>10</v>
      </c>
      <c r="L160" t="s">
        <v>4283</v>
      </c>
      <c r="M160" t="s">
        <v>4280</v>
      </c>
      <c r="N160" s="5">
        <v>2683.6</v>
      </c>
      <c r="O160" t="str">
        <f>IF(ABS(Table1[[#This Row],[TotalPrice]]-Table1[[#This Row],[Quantity]]*Table1[[#This Row],[UnitPrice]]) &lt;0.01, "ok",)</f>
        <v>ok</v>
      </c>
      <c r="P160" t="str">
        <f>PROPER(TRIM(Table1[[#This Row],[ShippingAddress]]))</f>
        <v>830 Main St</v>
      </c>
      <c r="Q160" t="str">
        <f>PROPER(TRIM((Table1[[#This Row],[PaymentMethod]])))</f>
        <v>Cash</v>
      </c>
      <c r="R160" t="str">
        <f>PROPER(TRIM(Table1[[#This Row],[ReferralSource]]))</f>
        <v>Email</v>
      </c>
      <c r="S160" s="5">
        <f>Table1[[#This Row],[TotalPrice]]/Table1[[#This Row],[ItemsInCart]]</f>
        <v>268.36</v>
      </c>
    </row>
    <row r="161" spans="1:19" x14ac:dyDescent="0.3">
      <c r="A161" t="s">
        <v>382</v>
      </c>
      <c r="B161" s="1">
        <v>45047</v>
      </c>
      <c r="C161" t="s">
        <v>1582</v>
      </c>
      <c r="D161" t="s">
        <v>2403</v>
      </c>
      <c r="E161">
        <v>3</v>
      </c>
      <c r="F161">
        <v>271.02</v>
      </c>
      <c r="G161" t="s">
        <v>2716</v>
      </c>
      <c r="H161" t="s">
        <v>3067</v>
      </c>
      <c r="I161" t="s">
        <v>3071</v>
      </c>
      <c r="J161" t="s">
        <v>3443</v>
      </c>
      <c r="K161">
        <v>6</v>
      </c>
      <c r="L161" t="s">
        <v>4283</v>
      </c>
      <c r="M161" t="s">
        <v>4282</v>
      </c>
      <c r="N161" s="5">
        <v>813.06</v>
      </c>
      <c r="O161" t="str">
        <f>IF(ABS(Table1[[#This Row],[TotalPrice]]-Table1[[#This Row],[Quantity]]*Table1[[#This Row],[UnitPrice]]) &lt;0.01, "ok",)</f>
        <v>ok</v>
      </c>
      <c r="P161" t="str">
        <f>PROPER(TRIM(Table1[[#This Row],[ShippingAddress]]))</f>
        <v>403 Main St</v>
      </c>
      <c r="Q161" t="str">
        <f>PROPER(TRIM((Table1[[#This Row],[PaymentMethod]])))</f>
        <v>Credit Card</v>
      </c>
      <c r="R161" t="str">
        <f>PROPER(TRIM(Table1[[#This Row],[ReferralSource]]))</f>
        <v>Google</v>
      </c>
      <c r="S161" s="5">
        <f>Table1[[#This Row],[TotalPrice]]/Table1[[#This Row],[ItemsInCart]]</f>
        <v>135.51</v>
      </c>
    </row>
    <row r="162" spans="1:19" x14ac:dyDescent="0.3">
      <c r="A162" t="s">
        <v>1040</v>
      </c>
      <c r="B162" s="1">
        <v>45047</v>
      </c>
      <c r="C162" t="s">
        <v>2232</v>
      </c>
      <c r="D162" t="s">
        <v>2403</v>
      </c>
      <c r="E162">
        <v>1</v>
      </c>
      <c r="F162">
        <v>677.48</v>
      </c>
      <c r="G162" t="s">
        <v>2521</v>
      </c>
      <c r="H162" t="s">
        <v>3066</v>
      </c>
      <c r="I162" t="s">
        <v>3073</v>
      </c>
      <c r="J162" t="s">
        <v>4101</v>
      </c>
      <c r="K162">
        <v>1</v>
      </c>
      <c r="L162" t="s">
        <v>4277</v>
      </c>
      <c r="M162" t="s">
        <v>4281</v>
      </c>
      <c r="N162" s="5">
        <v>677.48</v>
      </c>
      <c r="O162" t="str">
        <f>IF(ABS(Table1[[#This Row],[TotalPrice]]-Table1[[#This Row],[Quantity]]*Table1[[#This Row],[UnitPrice]]) &lt;0.01, "ok",)</f>
        <v>ok</v>
      </c>
      <c r="P162" t="str">
        <f>PROPER(TRIM(Table1[[#This Row],[ShippingAddress]]))</f>
        <v>807 Main St</v>
      </c>
      <c r="Q162" t="str">
        <f>PROPER(TRIM((Table1[[#This Row],[PaymentMethod]])))</f>
        <v>Online</v>
      </c>
      <c r="R162" t="str">
        <f>PROPER(TRIM(Table1[[#This Row],[ReferralSource]]))</f>
        <v>Facebook</v>
      </c>
      <c r="S162" s="5">
        <f>Table1[[#This Row],[TotalPrice]]/Table1[[#This Row],[ItemsInCart]]</f>
        <v>677.48</v>
      </c>
    </row>
    <row r="163" spans="1:19" x14ac:dyDescent="0.3">
      <c r="A163" t="s">
        <v>646</v>
      </c>
      <c r="B163" s="1">
        <v>45048</v>
      </c>
      <c r="C163" t="s">
        <v>1845</v>
      </c>
      <c r="D163" t="s">
        <v>2408</v>
      </c>
      <c r="E163">
        <v>5</v>
      </c>
      <c r="F163">
        <v>678.16</v>
      </c>
      <c r="G163" t="s">
        <v>2629</v>
      </c>
      <c r="H163" t="s">
        <v>3068</v>
      </c>
      <c r="I163" t="s">
        <v>3073</v>
      </c>
      <c r="J163" t="s">
        <v>3707</v>
      </c>
      <c r="K163">
        <v>7</v>
      </c>
      <c r="L163" t="s">
        <v>4277</v>
      </c>
      <c r="M163" t="s">
        <v>4281</v>
      </c>
      <c r="N163" s="5">
        <v>3390.8</v>
      </c>
      <c r="O163" t="str">
        <f>IF(ABS(Table1[[#This Row],[TotalPrice]]-Table1[[#This Row],[Quantity]]*Table1[[#This Row],[UnitPrice]]) &lt;0.01, "ok",)</f>
        <v>ok</v>
      </c>
      <c r="P163" t="str">
        <f>PROPER(TRIM(Table1[[#This Row],[ShippingAddress]]))</f>
        <v>463 Main St</v>
      </c>
      <c r="Q163" t="str">
        <f>PROPER(TRIM((Table1[[#This Row],[PaymentMethod]])))</f>
        <v>Gift Card</v>
      </c>
      <c r="R163" t="str">
        <f>PROPER(TRIM(Table1[[#This Row],[ReferralSource]]))</f>
        <v>Facebook</v>
      </c>
      <c r="S163" s="5">
        <f>Table1[[#This Row],[TotalPrice]]/Table1[[#This Row],[ItemsInCart]]</f>
        <v>484.40000000000003</v>
      </c>
    </row>
    <row r="164" spans="1:19" x14ac:dyDescent="0.3">
      <c r="A164" t="s">
        <v>679</v>
      </c>
      <c r="B164" s="1">
        <v>45048</v>
      </c>
      <c r="C164" t="s">
        <v>1877</v>
      </c>
      <c r="D164" t="s">
        <v>2405</v>
      </c>
      <c r="E164">
        <v>4</v>
      </c>
      <c r="F164">
        <v>231.26</v>
      </c>
      <c r="G164" t="s">
        <v>2866</v>
      </c>
      <c r="H164" t="s">
        <v>3066</v>
      </c>
      <c r="I164" t="s">
        <v>3070</v>
      </c>
      <c r="J164" t="s">
        <v>3740</v>
      </c>
      <c r="K164">
        <v>6</v>
      </c>
      <c r="L164" t="s">
        <v>4277</v>
      </c>
      <c r="M164" t="s">
        <v>4282</v>
      </c>
      <c r="N164" s="5">
        <v>925.04</v>
      </c>
      <c r="O164" t="str">
        <f>IF(ABS(Table1[[#This Row],[TotalPrice]]-Table1[[#This Row],[Quantity]]*Table1[[#This Row],[UnitPrice]]) &lt;0.01, "ok",)</f>
        <v>ok</v>
      </c>
      <c r="P164" t="str">
        <f>PROPER(TRIM(Table1[[#This Row],[ShippingAddress]]))</f>
        <v>253 Main St</v>
      </c>
      <c r="Q164" t="str">
        <f>PROPER(TRIM((Table1[[#This Row],[PaymentMethod]])))</f>
        <v>Online</v>
      </c>
      <c r="R164" t="str">
        <f>PROPER(TRIM(Table1[[#This Row],[ReferralSource]]))</f>
        <v>Google</v>
      </c>
      <c r="S164" s="5">
        <f>Table1[[#This Row],[TotalPrice]]/Table1[[#This Row],[ItemsInCart]]</f>
        <v>154.17333333333332</v>
      </c>
    </row>
    <row r="165" spans="1:19" x14ac:dyDescent="0.3">
      <c r="A165" t="s">
        <v>87</v>
      </c>
      <c r="B165" s="1">
        <v>45049</v>
      </c>
      <c r="C165" t="s">
        <v>1287</v>
      </c>
      <c r="D165" t="s">
        <v>2403</v>
      </c>
      <c r="E165">
        <v>4</v>
      </c>
      <c r="F165">
        <v>433.45</v>
      </c>
      <c r="G165" t="s">
        <v>2477</v>
      </c>
      <c r="H165" t="s">
        <v>3068</v>
      </c>
      <c r="I165" t="s">
        <v>3071</v>
      </c>
      <c r="J165" t="s">
        <v>3148</v>
      </c>
      <c r="K165">
        <v>4</v>
      </c>
      <c r="L165" t="s">
        <v>4283</v>
      </c>
      <c r="M165" t="s">
        <v>4281</v>
      </c>
      <c r="N165" s="5">
        <v>1733.8</v>
      </c>
      <c r="O165" t="str">
        <f>IF(ABS(Table1[[#This Row],[TotalPrice]]-Table1[[#This Row],[Quantity]]*Table1[[#This Row],[UnitPrice]]) &lt;0.01, "ok",)</f>
        <v>ok</v>
      </c>
      <c r="P165" t="str">
        <f>PROPER(TRIM(Table1[[#This Row],[ShippingAddress]]))</f>
        <v>129 Main St</v>
      </c>
      <c r="Q165" t="str">
        <f>PROPER(TRIM((Table1[[#This Row],[PaymentMethod]])))</f>
        <v>Gift Card</v>
      </c>
      <c r="R165" t="str">
        <f>PROPER(TRIM(Table1[[#This Row],[ReferralSource]]))</f>
        <v>Facebook</v>
      </c>
      <c r="S165" s="5">
        <f>Table1[[#This Row],[TotalPrice]]/Table1[[#This Row],[ItemsInCart]]</f>
        <v>433.45</v>
      </c>
    </row>
    <row r="166" spans="1:19" x14ac:dyDescent="0.3">
      <c r="A166" t="s">
        <v>681</v>
      </c>
      <c r="B166" s="1">
        <v>45049</v>
      </c>
      <c r="C166" t="s">
        <v>1879</v>
      </c>
      <c r="D166" t="s">
        <v>2408</v>
      </c>
      <c r="E166">
        <v>1</v>
      </c>
      <c r="F166">
        <v>466.42</v>
      </c>
      <c r="G166" t="s">
        <v>2590</v>
      </c>
      <c r="H166" t="s">
        <v>3068</v>
      </c>
      <c r="I166" t="s">
        <v>3074</v>
      </c>
      <c r="J166" t="s">
        <v>3742</v>
      </c>
      <c r="K166">
        <v>5</v>
      </c>
      <c r="L166" t="s">
        <v>4275</v>
      </c>
      <c r="M166" t="s">
        <v>4280</v>
      </c>
      <c r="N166" s="5">
        <v>466.42</v>
      </c>
      <c r="O166" t="str">
        <f>IF(ABS(Table1[[#This Row],[TotalPrice]]-Table1[[#This Row],[Quantity]]*Table1[[#This Row],[UnitPrice]]) &lt;0.01, "ok",)</f>
        <v>ok</v>
      </c>
      <c r="P166" t="str">
        <f>PROPER(TRIM(Table1[[#This Row],[ShippingAddress]]))</f>
        <v>172 Main St</v>
      </c>
      <c r="Q166" t="str">
        <f>PROPER(TRIM((Table1[[#This Row],[PaymentMethod]])))</f>
        <v>Gift Card</v>
      </c>
      <c r="R166" t="str">
        <f>PROPER(TRIM(Table1[[#This Row],[ReferralSource]]))</f>
        <v>Email</v>
      </c>
      <c r="S166" s="5">
        <f>Table1[[#This Row],[TotalPrice]]/Table1[[#This Row],[ItemsInCart]]</f>
        <v>93.284000000000006</v>
      </c>
    </row>
    <row r="167" spans="1:19" x14ac:dyDescent="0.3">
      <c r="A167" t="s">
        <v>815</v>
      </c>
      <c r="B167" s="1">
        <v>45049</v>
      </c>
      <c r="C167" t="s">
        <v>1241</v>
      </c>
      <c r="D167" t="s">
        <v>2407</v>
      </c>
      <c r="E167">
        <v>4</v>
      </c>
      <c r="F167">
        <v>595.62</v>
      </c>
      <c r="G167" t="s">
        <v>2931</v>
      </c>
      <c r="H167" t="s">
        <v>3065</v>
      </c>
      <c r="I167" t="s">
        <v>3074</v>
      </c>
      <c r="J167" t="s">
        <v>3876</v>
      </c>
      <c r="K167">
        <v>8</v>
      </c>
      <c r="L167" t="s">
        <v>4276</v>
      </c>
      <c r="M167" t="s">
        <v>4281</v>
      </c>
      <c r="N167" s="5">
        <v>2382.48</v>
      </c>
      <c r="O167" t="str">
        <f>IF(ABS(Table1[[#This Row],[TotalPrice]]-Table1[[#This Row],[Quantity]]*Table1[[#This Row],[UnitPrice]]) &lt;0.01, "ok",)</f>
        <v>ok</v>
      </c>
      <c r="P167" t="str">
        <f>PROPER(TRIM(Table1[[#This Row],[ShippingAddress]]))</f>
        <v>738 Main St</v>
      </c>
      <c r="Q167" t="str">
        <f>PROPER(TRIM((Table1[[#This Row],[PaymentMethod]])))</f>
        <v>Debit Card</v>
      </c>
      <c r="R167" t="str">
        <f>PROPER(TRIM(Table1[[#This Row],[ReferralSource]]))</f>
        <v>Facebook</v>
      </c>
      <c r="S167" s="5">
        <f>Table1[[#This Row],[TotalPrice]]/Table1[[#This Row],[ItemsInCart]]</f>
        <v>297.81</v>
      </c>
    </row>
    <row r="168" spans="1:19" x14ac:dyDescent="0.3">
      <c r="A168" t="s">
        <v>878</v>
      </c>
      <c r="B168" s="1">
        <v>45049</v>
      </c>
      <c r="C168" t="s">
        <v>2074</v>
      </c>
      <c r="D168" t="s">
        <v>2409</v>
      </c>
      <c r="E168">
        <v>1</v>
      </c>
      <c r="F168">
        <v>491.11</v>
      </c>
      <c r="G168" t="s">
        <v>2957</v>
      </c>
      <c r="H168" t="s">
        <v>3067</v>
      </c>
      <c r="I168" t="s">
        <v>3073</v>
      </c>
      <c r="J168" t="s">
        <v>3939</v>
      </c>
      <c r="K168">
        <v>4</v>
      </c>
      <c r="L168" t="s">
        <v>4275</v>
      </c>
      <c r="M168" t="s">
        <v>4281</v>
      </c>
      <c r="N168" s="5">
        <v>491.11</v>
      </c>
      <c r="O168" t="str">
        <f>IF(ABS(Table1[[#This Row],[TotalPrice]]-Table1[[#This Row],[Quantity]]*Table1[[#This Row],[UnitPrice]]) &lt;0.01, "ok",)</f>
        <v>ok</v>
      </c>
      <c r="P168" t="str">
        <f>PROPER(TRIM(Table1[[#This Row],[ShippingAddress]]))</f>
        <v>592 Main St</v>
      </c>
      <c r="Q168" t="str">
        <f>PROPER(TRIM((Table1[[#This Row],[PaymentMethod]])))</f>
        <v>Credit Card</v>
      </c>
      <c r="R168" t="str">
        <f>PROPER(TRIM(Table1[[#This Row],[ReferralSource]]))</f>
        <v>Facebook</v>
      </c>
      <c r="S168" s="5">
        <f>Table1[[#This Row],[TotalPrice]]/Table1[[#This Row],[ItemsInCart]]</f>
        <v>122.7775</v>
      </c>
    </row>
    <row r="169" spans="1:19" x14ac:dyDescent="0.3">
      <c r="A169" t="s">
        <v>236</v>
      </c>
      <c r="B169" s="1">
        <v>45050</v>
      </c>
      <c r="C169" t="s">
        <v>1436</v>
      </c>
      <c r="D169" t="s">
        <v>2406</v>
      </c>
      <c r="E169">
        <v>4</v>
      </c>
      <c r="F169">
        <v>693.36</v>
      </c>
      <c r="G169" t="s">
        <v>2602</v>
      </c>
      <c r="H169" t="s">
        <v>3066</v>
      </c>
      <c r="I169" t="s">
        <v>3070</v>
      </c>
      <c r="J169" t="s">
        <v>3297</v>
      </c>
      <c r="K169">
        <v>8</v>
      </c>
      <c r="L169" t="s">
        <v>4283</v>
      </c>
      <c r="M169" t="s">
        <v>4278</v>
      </c>
      <c r="N169" s="5">
        <v>2773.44</v>
      </c>
      <c r="O169" t="str">
        <f>IF(ABS(Table1[[#This Row],[TotalPrice]]-Table1[[#This Row],[Quantity]]*Table1[[#This Row],[UnitPrice]]) &lt;0.01, "ok",)</f>
        <v>ok</v>
      </c>
      <c r="P169" t="str">
        <f>PROPER(TRIM(Table1[[#This Row],[ShippingAddress]]))</f>
        <v>931 Main St</v>
      </c>
      <c r="Q169" t="str">
        <f>PROPER(TRIM((Table1[[#This Row],[PaymentMethod]])))</f>
        <v>Online</v>
      </c>
      <c r="R169" t="str">
        <f>PROPER(TRIM(Table1[[#This Row],[ReferralSource]]))</f>
        <v>Instagram</v>
      </c>
      <c r="S169" s="5">
        <f>Table1[[#This Row],[TotalPrice]]/Table1[[#This Row],[ItemsInCart]]</f>
        <v>346.68</v>
      </c>
    </row>
    <row r="170" spans="1:19" x14ac:dyDescent="0.3">
      <c r="A170" t="s">
        <v>304</v>
      </c>
      <c r="B170" s="1">
        <v>45051</v>
      </c>
      <c r="C170" t="s">
        <v>1504</v>
      </c>
      <c r="D170" t="s">
        <v>2406</v>
      </c>
      <c r="E170">
        <v>3</v>
      </c>
      <c r="F170">
        <v>99.9</v>
      </c>
      <c r="G170" t="s">
        <v>2575</v>
      </c>
      <c r="H170" t="s">
        <v>3069</v>
      </c>
      <c r="I170" t="s">
        <v>3073</v>
      </c>
      <c r="J170" t="s">
        <v>3365</v>
      </c>
      <c r="K170">
        <v>8</v>
      </c>
      <c r="L170" t="s">
        <v>4276</v>
      </c>
      <c r="M170" t="s">
        <v>4281</v>
      </c>
      <c r="N170" s="5">
        <v>299.7</v>
      </c>
      <c r="O170" t="str">
        <f>IF(ABS(Table1[[#This Row],[TotalPrice]]-Table1[[#This Row],[Quantity]]*Table1[[#This Row],[UnitPrice]]) &lt;0.01, "ok",)</f>
        <v>ok</v>
      </c>
      <c r="P170" t="str">
        <f>PROPER(TRIM(Table1[[#This Row],[ShippingAddress]]))</f>
        <v>258 Main St</v>
      </c>
      <c r="Q170" t="str">
        <f>PROPER(TRIM((Table1[[#This Row],[PaymentMethod]])))</f>
        <v>Cash</v>
      </c>
      <c r="R170" t="str">
        <f>PROPER(TRIM(Table1[[#This Row],[ReferralSource]]))</f>
        <v>Facebook</v>
      </c>
      <c r="S170" s="5">
        <f>Table1[[#This Row],[TotalPrice]]/Table1[[#This Row],[ItemsInCart]]</f>
        <v>37.462499999999999</v>
      </c>
    </row>
    <row r="171" spans="1:19" x14ac:dyDescent="0.3">
      <c r="A171" t="s">
        <v>370</v>
      </c>
      <c r="B171" s="1">
        <v>45052</v>
      </c>
      <c r="C171" t="s">
        <v>1570</v>
      </c>
      <c r="D171" t="s">
        <v>2407</v>
      </c>
      <c r="E171">
        <v>5</v>
      </c>
      <c r="F171">
        <v>374.58</v>
      </c>
      <c r="G171" t="s">
        <v>2709</v>
      </c>
      <c r="H171" t="s">
        <v>3068</v>
      </c>
      <c r="I171" t="s">
        <v>3071</v>
      </c>
      <c r="J171" t="s">
        <v>3431</v>
      </c>
      <c r="K171">
        <v>10</v>
      </c>
      <c r="L171" t="s">
        <v>4276</v>
      </c>
      <c r="M171" t="s">
        <v>4278</v>
      </c>
      <c r="N171" s="5">
        <v>1872.9</v>
      </c>
      <c r="O171" t="str">
        <f>IF(ABS(Table1[[#This Row],[TotalPrice]]-Table1[[#This Row],[Quantity]]*Table1[[#This Row],[UnitPrice]]) &lt;0.01, "ok",)</f>
        <v>ok</v>
      </c>
      <c r="P171" t="str">
        <f>PROPER(TRIM(Table1[[#This Row],[ShippingAddress]]))</f>
        <v>907 Main St</v>
      </c>
      <c r="Q171" t="str">
        <f>PROPER(TRIM((Table1[[#This Row],[PaymentMethod]])))</f>
        <v>Gift Card</v>
      </c>
      <c r="R171" t="str">
        <f>PROPER(TRIM(Table1[[#This Row],[ReferralSource]]))</f>
        <v>Instagram</v>
      </c>
      <c r="S171" s="5">
        <f>Table1[[#This Row],[TotalPrice]]/Table1[[#This Row],[ItemsInCart]]</f>
        <v>187.29000000000002</v>
      </c>
    </row>
    <row r="172" spans="1:19" x14ac:dyDescent="0.3">
      <c r="A172" t="s">
        <v>1125</v>
      </c>
      <c r="B172" s="1">
        <v>45052</v>
      </c>
      <c r="C172" t="s">
        <v>2316</v>
      </c>
      <c r="D172" t="s">
        <v>2403</v>
      </c>
      <c r="E172">
        <v>4</v>
      </c>
      <c r="F172">
        <v>234.45</v>
      </c>
      <c r="G172" t="s">
        <v>3035</v>
      </c>
      <c r="H172" t="s">
        <v>3066</v>
      </c>
      <c r="I172" t="s">
        <v>3071</v>
      </c>
      <c r="J172" t="s">
        <v>4186</v>
      </c>
      <c r="K172">
        <v>9</v>
      </c>
      <c r="L172" t="s">
        <v>4276</v>
      </c>
      <c r="M172" t="s">
        <v>4278</v>
      </c>
      <c r="N172" s="5">
        <v>937.8</v>
      </c>
      <c r="O172" t="str">
        <f>IF(ABS(Table1[[#This Row],[TotalPrice]]-Table1[[#This Row],[Quantity]]*Table1[[#This Row],[UnitPrice]]) &lt;0.01, "ok",)</f>
        <v>ok</v>
      </c>
      <c r="P172" t="str">
        <f>PROPER(TRIM(Table1[[#This Row],[ShippingAddress]]))</f>
        <v>362 Main St</v>
      </c>
      <c r="Q172" t="str">
        <f>PROPER(TRIM((Table1[[#This Row],[PaymentMethod]])))</f>
        <v>Online</v>
      </c>
      <c r="R172" t="str">
        <f>PROPER(TRIM(Table1[[#This Row],[ReferralSource]]))</f>
        <v>Instagram</v>
      </c>
      <c r="S172" s="5">
        <f>Table1[[#This Row],[TotalPrice]]/Table1[[#This Row],[ItemsInCart]]</f>
        <v>104.19999999999999</v>
      </c>
    </row>
    <row r="173" spans="1:19" x14ac:dyDescent="0.3">
      <c r="A173" t="s">
        <v>34</v>
      </c>
      <c r="B173" s="1">
        <v>45054</v>
      </c>
      <c r="C173" t="s">
        <v>1234</v>
      </c>
      <c r="D173" t="s">
        <v>2406</v>
      </c>
      <c r="E173">
        <v>5</v>
      </c>
      <c r="F173">
        <v>62.51</v>
      </c>
      <c r="G173" t="s">
        <v>2430</v>
      </c>
      <c r="H173" t="s">
        <v>3069</v>
      </c>
      <c r="I173" t="s">
        <v>3074</v>
      </c>
      <c r="J173" t="s">
        <v>3095</v>
      </c>
      <c r="K173">
        <v>9</v>
      </c>
      <c r="L173" t="s">
        <v>4277</v>
      </c>
      <c r="M173" t="s">
        <v>4278</v>
      </c>
      <c r="N173" s="5">
        <v>312.55</v>
      </c>
      <c r="O173" t="str">
        <f>IF(ABS(Table1[[#This Row],[TotalPrice]]-Table1[[#This Row],[Quantity]]*Table1[[#This Row],[UnitPrice]]) &lt;0.01, "ok",)</f>
        <v>ok</v>
      </c>
      <c r="P173" t="str">
        <f>PROPER(TRIM(Table1[[#This Row],[ShippingAddress]]))</f>
        <v>587 Main St</v>
      </c>
      <c r="Q173" t="str">
        <f>PROPER(TRIM((Table1[[#This Row],[PaymentMethod]])))</f>
        <v>Cash</v>
      </c>
      <c r="R173" t="str">
        <f>PROPER(TRIM(Table1[[#This Row],[ReferralSource]]))</f>
        <v>Instagram</v>
      </c>
      <c r="S173" s="5">
        <f>Table1[[#This Row],[TotalPrice]]/Table1[[#This Row],[ItemsInCart]]</f>
        <v>34.727777777777781</v>
      </c>
    </row>
    <row r="174" spans="1:19" x14ac:dyDescent="0.3">
      <c r="A174" t="s">
        <v>1090</v>
      </c>
      <c r="B174" s="1">
        <v>45054</v>
      </c>
      <c r="C174" t="s">
        <v>2282</v>
      </c>
      <c r="D174" t="s">
        <v>2408</v>
      </c>
      <c r="E174">
        <v>4</v>
      </c>
      <c r="F174">
        <v>686.61</v>
      </c>
      <c r="G174" t="s">
        <v>3005</v>
      </c>
      <c r="H174" t="s">
        <v>3069</v>
      </c>
      <c r="I174" t="s">
        <v>3070</v>
      </c>
      <c r="J174" t="s">
        <v>4151</v>
      </c>
      <c r="K174">
        <v>6</v>
      </c>
      <c r="L174" t="s">
        <v>4283</v>
      </c>
      <c r="M174" t="s">
        <v>4279</v>
      </c>
      <c r="N174" s="5">
        <v>2746.44</v>
      </c>
      <c r="O174" t="str">
        <f>IF(ABS(Table1[[#This Row],[TotalPrice]]-Table1[[#This Row],[Quantity]]*Table1[[#This Row],[UnitPrice]]) &lt;0.01, "ok",)</f>
        <v>ok</v>
      </c>
      <c r="P174" t="str">
        <f>PROPER(TRIM(Table1[[#This Row],[ShippingAddress]]))</f>
        <v>176 Main St</v>
      </c>
      <c r="Q174" t="str">
        <f>PROPER(TRIM((Table1[[#This Row],[PaymentMethod]])))</f>
        <v>Cash</v>
      </c>
      <c r="R174" t="str">
        <f>PROPER(TRIM(Table1[[#This Row],[ReferralSource]]))</f>
        <v>Referral</v>
      </c>
      <c r="S174" s="5">
        <f>Table1[[#This Row],[TotalPrice]]/Table1[[#This Row],[ItemsInCart]]</f>
        <v>457.74</v>
      </c>
    </row>
    <row r="175" spans="1:19" x14ac:dyDescent="0.3">
      <c r="A175" t="s">
        <v>256</v>
      </c>
      <c r="B175" s="1">
        <v>45055</v>
      </c>
      <c r="C175" t="s">
        <v>1456</v>
      </c>
      <c r="D175" t="s">
        <v>2407</v>
      </c>
      <c r="E175">
        <v>2</v>
      </c>
      <c r="F175">
        <v>219.1</v>
      </c>
      <c r="G175" t="s">
        <v>2619</v>
      </c>
      <c r="H175" t="s">
        <v>3066</v>
      </c>
      <c r="I175" t="s">
        <v>3074</v>
      </c>
      <c r="J175" t="s">
        <v>3317</v>
      </c>
      <c r="K175">
        <v>4</v>
      </c>
      <c r="L175" t="s">
        <v>4275</v>
      </c>
      <c r="M175" t="s">
        <v>4279</v>
      </c>
      <c r="N175" s="5">
        <v>438.2</v>
      </c>
      <c r="O175" t="str">
        <f>IF(ABS(Table1[[#This Row],[TotalPrice]]-Table1[[#This Row],[Quantity]]*Table1[[#This Row],[UnitPrice]]) &lt;0.01, "ok",)</f>
        <v>ok</v>
      </c>
      <c r="P175" t="str">
        <f>PROPER(TRIM(Table1[[#This Row],[ShippingAddress]]))</f>
        <v>134 Main St</v>
      </c>
      <c r="Q175" t="str">
        <f>PROPER(TRIM((Table1[[#This Row],[PaymentMethod]])))</f>
        <v>Online</v>
      </c>
      <c r="R175" t="str">
        <f>PROPER(TRIM(Table1[[#This Row],[ReferralSource]]))</f>
        <v>Referral</v>
      </c>
      <c r="S175" s="5">
        <f>Table1[[#This Row],[TotalPrice]]/Table1[[#This Row],[ItemsInCart]]</f>
        <v>109.55</v>
      </c>
    </row>
    <row r="176" spans="1:19" x14ac:dyDescent="0.3">
      <c r="A176" t="s">
        <v>686</v>
      </c>
      <c r="B176" s="1">
        <v>45055</v>
      </c>
      <c r="C176" t="s">
        <v>1884</v>
      </c>
      <c r="D176" t="s">
        <v>2404</v>
      </c>
      <c r="E176">
        <v>2</v>
      </c>
      <c r="F176">
        <v>624.16</v>
      </c>
      <c r="G176" t="s">
        <v>2843</v>
      </c>
      <c r="H176" t="s">
        <v>3065</v>
      </c>
      <c r="I176" t="s">
        <v>3070</v>
      </c>
      <c r="J176" t="s">
        <v>3747</v>
      </c>
      <c r="K176">
        <v>2</v>
      </c>
      <c r="L176" t="s">
        <v>4275</v>
      </c>
      <c r="M176" t="s">
        <v>4278</v>
      </c>
      <c r="N176" s="5">
        <v>1248.32</v>
      </c>
      <c r="O176" t="str">
        <f>IF(ABS(Table1[[#This Row],[TotalPrice]]-Table1[[#This Row],[Quantity]]*Table1[[#This Row],[UnitPrice]]) &lt;0.01, "ok",)</f>
        <v>ok</v>
      </c>
      <c r="P176" t="str">
        <f>PROPER(TRIM(Table1[[#This Row],[ShippingAddress]]))</f>
        <v>984 Main St</v>
      </c>
      <c r="Q176" t="str">
        <f>PROPER(TRIM((Table1[[#This Row],[PaymentMethod]])))</f>
        <v>Debit Card</v>
      </c>
      <c r="R176" t="str">
        <f>PROPER(TRIM(Table1[[#This Row],[ReferralSource]]))</f>
        <v>Instagram</v>
      </c>
      <c r="S176" s="5">
        <f>Table1[[#This Row],[TotalPrice]]/Table1[[#This Row],[ItemsInCart]]</f>
        <v>624.16</v>
      </c>
    </row>
    <row r="177" spans="1:19" x14ac:dyDescent="0.3">
      <c r="A177" t="s">
        <v>1138</v>
      </c>
      <c r="B177" s="1">
        <v>45055</v>
      </c>
      <c r="C177" t="s">
        <v>2328</v>
      </c>
      <c r="D177" t="s">
        <v>2406</v>
      </c>
      <c r="E177">
        <v>4</v>
      </c>
      <c r="F177">
        <v>576.87</v>
      </c>
      <c r="G177" t="s">
        <v>3037</v>
      </c>
      <c r="H177" t="s">
        <v>3068</v>
      </c>
      <c r="I177" t="s">
        <v>3072</v>
      </c>
      <c r="J177" t="s">
        <v>4199</v>
      </c>
      <c r="K177">
        <v>5</v>
      </c>
      <c r="L177" t="s">
        <v>4283</v>
      </c>
      <c r="M177" t="s">
        <v>4278</v>
      </c>
      <c r="N177" s="5">
        <v>2307.48</v>
      </c>
      <c r="O177" t="str">
        <f>IF(ABS(Table1[[#This Row],[TotalPrice]]-Table1[[#This Row],[Quantity]]*Table1[[#This Row],[UnitPrice]]) &lt;0.01, "ok",)</f>
        <v>ok</v>
      </c>
      <c r="P177" t="str">
        <f>PROPER(TRIM(Table1[[#This Row],[ShippingAddress]]))</f>
        <v>888 Main St</v>
      </c>
      <c r="Q177" t="str">
        <f>PROPER(TRIM((Table1[[#This Row],[PaymentMethod]])))</f>
        <v>Gift Card</v>
      </c>
      <c r="R177" t="str">
        <f>PROPER(TRIM(Table1[[#This Row],[ReferralSource]]))</f>
        <v>Instagram</v>
      </c>
      <c r="S177" s="5">
        <f>Table1[[#This Row],[TotalPrice]]/Table1[[#This Row],[ItemsInCart]]</f>
        <v>461.49599999999998</v>
      </c>
    </row>
    <row r="178" spans="1:19" x14ac:dyDescent="0.3">
      <c r="A178" t="s">
        <v>83</v>
      </c>
      <c r="B178" s="1">
        <v>45057</v>
      </c>
      <c r="C178" t="s">
        <v>1283</v>
      </c>
      <c r="D178" t="s">
        <v>2403</v>
      </c>
      <c r="E178">
        <v>3</v>
      </c>
      <c r="F178">
        <v>478.65</v>
      </c>
      <c r="G178" t="s">
        <v>2474</v>
      </c>
      <c r="H178" t="s">
        <v>3066</v>
      </c>
      <c r="I178" t="s">
        <v>3070</v>
      </c>
      <c r="J178" t="s">
        <v>3144</v>
      </c>
      <c r="K178">
        <v>4</v>
      </c>
      <c r="L178" t="s">
        <v>4283</v>
      </c>
      <c r="M178" t="s">
        <v>4279</v>
      </c>
      <c r="N178" s="5">
        <v>1435.95</v>
      </c>
      <c r="O178" t="str">
        <f>IF(ABS(Table1[[#This Row],[TotalPrice]]-Table1[[#This Row],[Quantity]]*Table1[[#This Row],[UnitPrice]]) &lt;0.01, "ok",)</f>
        <v>ok</v>
      </c>
      <c r="P178" t="str">
        <f>PROPER(TRIM(Table1[[#This Row],[ShippingAddress]]))</f>
        <v>552 Main St</v>
      </c>
      <c r="Q178" t="str">
        <f>PROPER(TRIM((Table1[[#This Row],[PaymentMethod]])))</f>
        <v>Online</v>
      </c>
      <c r="R178" t="str">
        <f>PROPER(TRIM(Table1[[#This Row],[ReferralSource]]))</f>
        <v>Referral</v>
      </c>
      <c r="S178" s="5">
        <f>Table1[[#This Row],[TotalPrice]]/Table1[[#This Row],[ItemsInCart]]</f>
        <v>358.98750000000001</v>
      </c>
    </row>
    <row r="179" spans="1:19" x14ac:dyDescent="0.3">
      <c r="A179" t="s">
        <v>315</v>
      </c>
      <c r="B179" s="1">
        <v>45057</v>
      </c>
      <c r="C179" t="s">
        <v>1515</v>
      </c>
      <c r="D179" t="s">
        <v>2406</v>
      </c>
      <c r="E179">
        <v>1</v>
      </c>
      <c r="F179">
        <v>583.99</v>
      </c>
      <c r="G179" t="s">
        <v>2664</v>
      </c>
      <c r="H179" t="s">
        <v>3069</v>
      </c>
      <c r="I179" t="s">
        <v>3071</v>
      </c>
      <c r="J179" t="s">
        <v>3376</v>
      </c>
      <c r="K179">
        <v>2</v>
      </c>
      <c r="L179" t="s">
        <v>4275</v>
      </c>
      <c r="M179" t="s">
        <v>4280</v>
      </c>
      <c r="N179" s="5">
        <v>583.99</v>
      </c>
      <c r="O179" t="str">
        <f>IF(ABS(Table1[[#This Row],[TotalPrice]]-Table1[[#This Row],[Quantity]]*Table1[[#This Row],[UnitPrice]]) &lt;0.01, "ok",)</f>
        <v>ok</v>
      </c>
      <c r="P179" t="str">
        <f>PROPER(TRIM(Table1[[#This Row],[ShippingAddress]]))</f>
        <v>726 Main St</v>
      </c>
      <c r="Q179" t="str">
        <f>PROPER(TRIM((Table1[[#This Row],[PaymentMethod]])))</f>
        <v>Cash</v>
      </c>
      <c r="R179" t="str">
        <f>PROPER(TRIM(Table1[[#This Row],[ReferralSource]]))</f>
        <v>Email</v>
      </c>
      <c r="S179" s="5">
        <f>Table1[[#This Row],[TotalPrice]]/Table1[[#This Row],[ItemsInCart]]</f>
        <v>291.995</v>
      </c>
    </row>
    <row r="180" spans="1:19" x14ac:dyDescent="0.3">
      <c r="A180" t="s">
        <v>21</v>
      </c>
      <c r="B180" s="1">
        <v>45058</v>
      </c>
      <c r="C180" t="s">
        <v>1221</v>
      </c>
      <c r="D180" t="s">
        <v>2403</v>
      </c>
      <c r="E180">
        <v>5</v>
      </c>
      <c r="F180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>
        <v>9</v>
      </c>
      <c r="L180" t="s">
        <v>4276</v>
      </c>
      <c r="M180" t="s">
        <v>4281</v>
      </c>
      <c r="N180" s="5">
        <v>747.75</v>
      </c>
      <c r="O180" t="str">
        <f>IF(ABS(Table1[[#This Row],[TotalPrice]]-Table1[[#This Row],[Quantity]]*Table1[[#This Row],[UnitPrice]]) &lt;0.01, "ok",)</f>
        <v>ok</v>
      </c>
      <c r="P180" t="str">
        <f>PROPER(TRIM(Table1[[#This Row],[ShippingAddress]]))</f>
        <v>706 Main St</v>
      </c>
      <c r="Q180" t="str">
        <f>PROPER(TRIM((Table1[[#This Row],[PaymentMethod]])))</f>
        <v>Cash</v>
      </c>
      <c r="R180" t="str">
        <f>PROPER(TRIM(Table1[[#This Row],[ReferralSource]]))</f>
        <v>Facebook</v>
      </c>
      <c r="S180" s="5">
        <f>Table1[[#This Row],[TotalPrice]]/Table1[[#This Row],[ItemsInCart]]</f>
        <v>83.083333333333329</v>
      </c>
    </row>
    <row r="181" spans="1:19" x14ac:dyDescent="0.3">
      <c r="A181" t="s">
        <v>972</v>
      </c>
      <c r="B181" s="1">
        <v>45059</v>
      </c>
      <c r="C181" t="s">
        <v>2165</v>
      </c>
      <c r="D181" t="s">
        <v>2409</v>
      </c>
      <c r="E181">
        <v>3</v>
      </c>
      <c r="F181">
        <v>158.66</v>
      </c>
      <c r="G181" t="s">
        <v>2656</v>
      </c>
      <c r="H181" t="s">
        <v>3068</v>
      </c>
      <c r="I181" t="s">
        <v>3073</v>
      </c>
      <c r="J181" t="s">
        <v>4033</v>
      </c>
      <c r="K181">
        <v>7</v>
      </c>
      <c r="L181" t="s">
        <v>4277</v>
      </c>
      <c r="M181" t="s">
        <v>4280</v>
      </c>
      <c r="N181" s="5">
        <v>475.98</v>
      </c>
      <c r="O181" t="str">
        <f>IF(ABS(Table1[[#This Row],[TotalPrice]]-Table1[[#This Row],[Quantity]]*Table1[[#This Row],[UnitPrice]]) &lt;0.01, "ok",)</f>
        <v>ok</v>
      </c>
      <c r="P181" t="str">
        <f>PROPER(TRIM(Table1[[#This Row],[ShippingAddress]]))</f>
        <v>537 Main St</v>
      </c>
      <c r="Q181" t="str">
        <f>PROPER(TRIM((Table1[[#This Row],[PaymentMethod]])))</f>
        <v>Gift Card</v>
      </c>
      <c r="R181" t="str">
        <f>PROPER(TRIM(Table1[[#This Row],[ReferralSource]]))</f>
        <v>Email</v>
      </c>
      <c r="S181" s="5">
        <f>Table1[[#This Row],[TotalPrice]]/Table1[[#This Row],[ItemsInCart]]</f>
        <v>67.997142857142862</v>
      </c>
    </row>
    <row r="182" spans="1:19" x14ac:dyDescent="0.3">
      <c r="A182" t="s">
        <v>579</v>
      </c>
      <c r="B182" s="1">
        <v>45060</v>
      </c>
      <c r="C182" t="s">
        <v>1779</v>
      </c>
      <c r="D182" t="s">
        <v>2405</v>
      </c>
      <c r="E182">
        <v>5</v>
      </c>
      <c r="F182">
        <v>307.98</v>
      </c>
      <c r="G182" t="s">
        <v>2770</v>
      </c>
      <c r="H182" t="s">
        <v>3066</v>
      </c>
      <c r="I182" t="s">
        <v>3074</v>
      </c>
      <c r="J182" t="s">
        <v>3640</v>
      </c>
      <c r="K182">
        <v>10</v>
      </c>
      <c r="L182" t="s">
        <v>4283</v>
      </c>
      <c r="M182" t="s">
        <v>4281</v>
      </c>
      <c r="N182" s="5">
        <v>1539.9</v>
      </c>
      <c r="O182" t="str">
        <f>IF(ABS(Table1[[#This Row],[TotalPrice]]-Table1[[#This Row],[Quantity]]*Table1[[#This Row],[UnitPrice]]) &lt;0.01, "ok",)</f>
        <v>ok</v>
      </c>
      <c r="P182" t="str">
        <f>PROPER(TRIM(Table1[[#This Row],[ShippingAddress]]))</f>
        <v>214 Main St</v>
      </c>
      <c r="Q182" t="str">
        <f>PROPER(TRIM((Table1[[#This Row],[PaymentMethod]])))</f>
        <v>Online</v>
      </c>
      <c r="R182" t="str">
        <f>PROPER(TRIM(Table1[[#This Row],[ReferralSource]]))</f>
        <v>Facebook</v>
      </c>
      <c r="S182" s="5">
        <f>Table1[[#This Row],[TotalPrice]]/Table1[[#This Row],[ItemsInCart]]</f>
        <v>153.99</v>
      </c>
    </row>
    <row r="183" spans="1:19" x14ac:dyDescent="0.3">
      <c r="A183" t="s">
        <v>255</v>
      </c>
      <c r="B183" s="1">
        <v>45062</v>
      </c>
      <c r="C183" t="s">
        <v>1455</v>
      </c>
      <c r="D183" t="s">
        <v>2406</v>
      </c>
      <c r="E183">
        <v>5</v>
      </c>
      <c r="F183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>
        <v>6</v>
      </c>
      <c r="L183" t="s">
        <v>4275</v>
      </c>
      <c r="M183" t="s">
        <v>4280</v>
      </c>
      <c r="N183" s="5">
        <v>3078.35</v>
      </c>
      <c r="O183" t="str">
        <f>IF(ABS(Table1[[#This Row],[TotalPrice]]-Table1[[#This Row],[Quantity]]*Table1[[#This Row],[UnitPrice]]) &lt;0.01, "ok",)</f>
        <v>ok</v>
      </c>
      <c r="P183" t="str">
        <f>PROPER(TRIM(Table1[[#This Row],[ShippingAddress]]))</f>
        <v>407 Main St</v>
      </c>
      <c r="Q183" t="str">
        <f>PROPER(TRIM((Table1[[#This Row],[PaymentMethod]])))</f>
        <v>Online</v>
      </c>
      <c r="R183" t="str">
        <f>PROPER(TRIM(Table1[[#This Row],[ReferralSource]]))</f>
        <v>Email</v>
      </c>
      <c r="S183" s="5">
        <f>Table1[[#This Row],[TotalPrice]]/Table1[[#This Row],[ItemsInCart]]</f>
        <v>513.05833333333328</v>
      </c>
    </row>
    <row r="184" spans="1:19" x14ac:dyDescent="0.3">
      <c r="A184" t="s">
        <v>316</v>
      </c>
      <c r="B184" s="1">
        <v>45062</v>
      </c>
      <c r="C184" t="s">
        <v>1516</v>
      </c>
      <c r="D184" t="s">
        <v>2406</v>
      </c>
      <c r="E184">
        <v>3</v>
      </c>
      <c r="F184">
        <v>468.74</v>
      </c>
      <c r="G184" t="s">
        <v>2665</v>
      </c>
      <c r="H184" t="s">
        <v>3069</v>
      </c>
      <c r="I184" t="s">
        <v>3074</v>
      </c>
      <c r="J184" t="s">
        <v>3377</v>
      </c>
      <c r="K184">
        <v>4</v>
      </c>
      <c r="L184" t="s">
        <v>4276</v>
      </c>
      <c r="M184" t="s">
        <v>4278</v>
      </c>
      <c r="N184" s="5">
        <v>1406.22</v>
      </c>
      <c r="O184" t="str">
        <f>IF(ABS(Table1[[#This Row],[TotalPrice]]-Table1[[#This Row],[Quantity]]*Table1[[#This Row],[UnitPrice]]) &lt;0.01, "ok",)</f>
        <v>ok</v>
      </c>
      <c r="P184" t="str">
        <f>PROPER(TRIM(Table1[[#This Row],[ShippingAddress]]))</f>
        <v>121 Main St</v>
      </c>
      <c r="Q184" t="str">
        <f>PROPER(TRIM((Table1[[#This Row],[PaymentMethod]])))</f>
        <v>Cash</v>
      </c>
      <c r="R184" t="str">
        <f>PROPER(TRIM(Table1[[#This Row],[ReferralSource]]))</f>
        <v>Instagram</v>
      </c>
      <c r="S184" s="5">
        <f>Table1[[#This Row],[TotalPrice]]/Table1[[#This Row],[ItemsInCart]]</f>
        <v>351.55500000000001</v>
      </c>
    </row>
    <row r="185" spans="1:19" x14ac:dyDescent="0.3">
      <c r="A185" t="s">
        <v>242</v>
      </c>
      <c r="B185" s="1">
        <v>45063</v>
      </c>
      <c r="C185" t="s">
        <v>1442</v>
      </c>
      <c r="D185" t="s">
        <v>2406</v>
      </c>
      <c r="E185">
        <v>4</v>
      </c>
      <c r="F185">
        <v>385.92</v>
      </c>
      <c r="G185" t="s">
        <v>2606</v>
      </c>
      <c r="H185" t="s">
        <v>3067</v>
      </c>
      <c r="I185" t="s">
        <v>3071</v>
      </c>
      <c r="J185" t="s">
        <v>3303</v>
      </c>
      <c r="K185">
        <v>8</v>
      </c>
      <c r="L185" t="s">
        <v>4283</v>
      </c>
      <c r="M185" t="s">
        <v>4278</v>
      </c>
      <c r="N185" s="5">
        <v>1543.68</v>
      </c>
      <c r="O185" t="str">
        <f>IF(ABS(Table1[[#This Row],[TotalPrice]]-Table1[[#This Row],[Quantity]]*Table1[[#This Row],[UnitPrice]]) &lt;0.01, "ok",)</f>
        <v>ok</v>
      </c>
      <c r="P185" t="str">
        <f>PROPER(TRIM(Table1[[#This Row],[ShippingAddress]]))</f>
        <v>579 Main St</v>
      </c>
      <c r="Q185" t="str">
        <f>PROPER(TRIM((Table1[[#This Row],[PaymentMethod]])))</f>
        <v>Credit Card</v>
      </c>
      <c r="R185" t="str">
        <f>PROPER(TRIM(Table1[[#This Row],[ReferralSource]]))</f>
        <v>Instagram</v>
      </c>
      <c r="S185" s="5">
        <f>Table1[[#This Row],[TotalPrice]]/Table1[[#This Row],[ItemsInCart]]</f>
        <v>192.96</v>
      </c>
    </row>
    <row r="186" spans="1:19" x14ac:dyDescent="0.3">
      <c r="A186" t="s">
        <v>274</v>
      </c>
      <c r="B186" s="1">
        <v>45063</v>
      </c>
      <c r="C186" t="s">
        <v>1474</v>
      </c>
      <c r="D186" t="s">
        <v>2403</v>
      </c>
      <c r="E186">
        <v>2</v>
      </c>
      <c r="F186">
        <v>407.79</v>
      </c>
      <c r="G186" t="s">
        <v>2632</v>
      </c>
      <c r="H186" t="s">
        <v>3065</v>
      </c>
      <c r="I186" t="s">
        <v>3070</v>
      </c>
      <c r="J186" t="s">
        <v>3335</v>
      </c>
      <c r="K186">
        <v>3</v>
      </c>
      <c r="L186" t="s">
        <v>4283</v>
      </c>
      <c r="M186" t="s">
        <v>4282</v>
      </c>
      <c r="N186" s="5">
        <v>815.58</v>
      </c>
      <c r="O186" t="str">
        <f>IF(ABS(Table1[[#This Row],[TotalPrice]]-Table1[[#This Row],[Quantity]]*Table1[[#This Row],[UnitPrice]]) &lt;0.01, "ok",)</f>
        <v>ok</v>
      </c>
      <c r="P186" t="str">
        <f>PROPER(TRIM(Table1[[#This Row],[ShippingAddress]]))</f>
        <v>153 Main St</v>
      </c>
      <c r="Q186" t="str">
        <f>PROPER(TRIM((Table1[[#This Row],[PaymentMethod]])))</f>
        <v>Debit Card</v>
      </c>
      <c r="R186" t="str">
        <f>PROPER(TRIM(Table1[[#This Row],[ReferralSource]]))</f>
        <v>Google</v>
      </c>
      <c r="S186" s="5">
        <f>Table1[[#This Row],[TotalPrice]]/Table1[[#This Row],[ItemsInCart]]</f>
        <v>271.86</v>
      </c>
    </row>
    <row r="187" spans="1:19" x14ac:dyDescent="0.3">
      <c r="A187" t="s">
        <v>917</v>
      </c>
      <c r="B187" s="1">
        <v>45063</v>
      </c>
      <c r="C187" t="s">
        <v>2113</v>
      </c>
      <c r="D187" t="s">
        <v>2403</v>
      </c>
      <c r="E187">
        <v>3</v>
      </c>
      <c r="F187">
        <v>473.49</v>
      </c>
      <c r="G187" t="s">
        <v>2932</v>
      </c>
      <c r="H187" t="s">
        <v>3067</v>
      </c>
      <c r="I187" t="s">
        <v>3074</v>
      </c>
      <c r="J187" t="s">
        <v>3978</v>
      </c>
      <c r="K187">
        <v>7</v>
      </c>
      <c r="L187" t="s">
        <v>4283</v>
      </c>
      <c r="M187" t="s">
        <v>4280</v>
      </c>
      <c r="N187" s="5">
        <v>1420.47</v>
      </c>
      <c r="O187" t="str">
        <f>IF(ABS(Table1[[#This Row],[TotalPrice]]-Table1[[#This Row],[Quantity]]*Table1[[#This Row],[UnitPrice]]) &lt;0.01, "ok",)</f>
        <v>ok</v>
      </c>
      <c r="P187" t="str">
        <f>PROPER(TRIM(Table1[[#This Row],[ShippingAddress]]))</f>
        <v>205 Main St</v>
      </c>
      <c r="Q187" t="str">
        <f>PROPER(TRIM((Table1[[#This Row],[PaymentMethod]])))</f>
        <v>Credit Card</v>
      </c>
      <c r="R187" t="str">
        <f>PROPER(TRIM(Table1[[#This Row],[ReferralSource]]))</f>
        <v>Email</v>
      </c>
      <c r="S187" s="5">
        <f>Table1[[#This Row],[TotalPrice]]/Table1[[#This Row],[ItemsInCart]]</f>
        <v>202.92428571428573</v>
      </c>
    </row>
    <row r="188" spans="1:19" x14ac:dyDescent="0.3">
      <c r="A188" t="s">
        <v>565</v>
      </c>
      <c r="B188" s="1">
        <v>45064</v>
      </c>
      <c r="C188" t="s">
        <v>1765</v>
      </c>
      <c r="D188" t="s">
        <v>2408</v>
      </c>
      <c r="E188">
        <v>1</v>
      </c>
      <c r="F188">
        <v>120.98</v>
      </c>
      <c r="G188" t="s">
        <v>2528</v>
      </c>
      <c r="H188" t="s">
        <v>3065</v>
      </c>
      <c r="I188" t="s">
        <v>3073</v>
      </c>
      <c r="J188" t="s">
        <v>3626</v>
      </c>
      <c r="K188">
        <v>6</v>
      </c>
      <c r="L188" t="s">
        <v>4277</v>
      </c>
      <c r="M188" t="s">
        <v>4280</v>
      </c>
      <c r="N188" s="5">
        <v>120.98</v>
      </c>
      <c r="O188" t="str">
        <f>IF(ABS(Table1[[#This Row],[TotalPrice]]-Table1[[#This Row],[Quantity]]*Table1[[#This Row],[UnitPrice]]) &lt;0.01, "ok",)</f>
        <v>ok</v>
      </c>
      <c r="P188" t="str">
        <f>PROPER(TRIM(Table1[[#This Row],[ShippingAddress]]))</f>
        <v>353 Main St</v>
      </c>
      <c r="Q188" t="str">
        <f>PROPER(TRIM((Table1[[#This Row],[PaymentMethod]])))</f>
        <v>Debit Card</v>
      </c>
      <c r="R188" t="str">
        <f>PROPER(TRIM(Table1[[#This Row],[ReferralSource]]))</f>
        <v>Email</v>
      </c>
      <c r="S188" s="5">
        <f>Table1[[#This Row],[TotalPrice]]/Table1[[#This Row],[ItemsInCart]]</f>
        <v>20.163333333333334</v>
      </c>
    </row>
    <row r="189" spans="1:19" x14ac:dyDescent="0.3">
      <c r="A189" t="s">
        <v>664</v>
      </c>
      <c r="B189" s="1">
        <v>45064</v>
      </c>
      <c r="C189" t="s">
        <v>1863</v>
      </c>
      <c r="D189" t="s">
        <v>2409</v>
      </c>
      <c r="E189">
        <v>2</v>
      </c>
      <c r="F189">
        <v>372.23</v>
      </c>
      <c r="G189" t="s">
        <v>2859</v>
      </c>
      <c r="H189" t="s">
        <v>3068</v>
      </c>
      <c r="I189" t="s">
        <v>3073</v>
      </c>
      <c r="J189" t="s">
        <v>3725</v>
      </c>
      <c r="K189">
        <v>7</v>
      </c>
      <c r="L189" t="s">
        <v>4275</v>
      </c>
      <c r="M189" t="s">
        <v>4280</v>
      </c>
      <c r="N189" s="5">
        <v>744.46</v>
      </c>
      <c r="O189" t="str">
        <f>IF(ABS(Table1[[#This Row],[TotalPrice]]-Table1[[#This Row],[Quantity]]*Table1[[#This Row],[UnitPrice]]) &lt;0.01, "ok",)</f>
        <v>ok</v>
      </c>
      <c r="P189" t="str">
        <f>PROPER(TRIM(Table1[[#This Row],[ShippingAddress]]))</f>
        <v>518 Main St</v>
      </c>
      <c r="Q189" t="str">
        <f>PROPER(TRIM((Table1[[#This Row],[PaymentMethod]])))</f>
        <v>Gift Card</v>
      </c>
      <c r="R189" t="str">
        <f>PROPER(TRIM(Table1[[#This Row],[ReferralSource]]))</f>
        <v>Email</v>
      </c>
      <c r="S189" s="5">
        <f>Table1[[#This Row],[TotalPrice]]/Table1[[#This Row],[ItemsInCart]]</f>
        <v>106.35142857142857</v>
      </c>
    </row>
    <row r="190" spans="1:19" x14ac:dyDescent="0.3">
      <c r="A190" t="s">
        <v>989</v>
      </c>
      <c r="B190" s="1">
        <v>45064</v>
      </c>
      <c r="C190" t="s">
        <v>2182</v>
      </c>
      <c r="D190" t="s">
        <v>2409</v>
      </c>
      <c r="E190">
        <v>1</v>
      </c>
      <c r="F190">
        <v>105.92</v>
      </c>
      <c r="G190" t="s">
        <v>2643</v>
      </c>
      <c r="H190" t="s">
        <v>3068</v>
      </c>
      <c r="I190" t="s">
        <v>3072</v>
      </c>
      <c r="J190" t="s">
        <v>4050</v>
      </c>
      <c r="K190">
        <v>6</v>
      </c>
      <c r="L190" t="s">
        <v>4275</v>
      </c>
      <c r="M190" t="s">
        <v>4280</v>
      </c>
      <c r="N190" s="5">
        <v>105.92</v>
      </c>
      <c r="O190" t="str">
        <f>IF(ABS(Table1[[#This Row],[TotalPrice]]-Table1[[#This Row],[Quantity]]*Table1[[#This Row],[UnitPrice]]) &lt;0.01, "ok",)</f>
        <v>ok</v>
      </c>
      <c r="P190" t="str">
        <f>PROPER(TRIM(Table1[[#This Row],[ShippingAddress]]))</f>
        <v>974 Main St</v>
      </c>
      <c r="Q190" t="str">
        <f>PROPER(TRIM((Table1[[#This Row],[PaymentMethod]])))</f>
        <v>Gift Card</v>
      </c>
      <c r="R190" t="str">
        <f>PROPER(TRIM(Table1[[#This Row],[ReferralSource]]))</f>
        <v>Email</v>
      </c>
      <c r="S190" s="5">
        <f>Table1[[#This Row],[TotalPrice]]/Table1[[#This Row],[ItemsInCart]]</f>
        <v>17.653333333333332</v>
      </c>
    </row>
    <row r="191" spans="1:19" x14ac:dyDescent="0.3">
      <c r="A191" t="s">
        <v>246</v>
      </c>
      <c r="B191" s="1">
        <v>45065</v>
      </c>
      <c r="C191" t="s">
        <v>1446</v>
      </c>
      <c r="D191" t="s">
        <v>2407</v>
      </c>
      <c r="E191">
        <v>4</v>
      </c>
      <c r="F191">
        <v>444.44</v>
      </c>
      <c r="G191" t="s">
        <v>2610</v>
      </c>
      <c r="H191" t="s">
        <v>3065</v>
      </c>
      <c r="I191" t="s">
        <v>3071</v>
      </c>
      <c r="J191" t="s">
        <v>3307</v>
      </c>
      <c r="K191">
        <v>8</v>
      </c>
      <c r="L191" t="s">
        <v>4277</v>
      </c>
      <c r="M191" t="s">
        <v>4282</v>
      </c>
      <c r="N191" s="5">
        <v>1777.76</v>
      </c>
      <c r="O191" t="str">
        <f>IF(ABS(Table1[[#This Row],[TotalPrice]]-Table1[[#This Row],[Quantity]]*Table1[[#This Row],[UnitPrice]]) &lt;0.01, "ok",)</f>
        <v>ok</v>
      </c>
      <c r="P191" t="str">
        <f>PROPER(TRIM(Table1[[#This Row],[ShippingAddress]]))</f>
        <v>610 Main St</v>
      </c>
      <c r="Q191" t="str">
        <f>PROPER(TRIM((Table1[[#This Row],[PaymentMethod]])))</f>
        <v>Debit Card</v>
      </c>
      <c r="R191" t="str">
        <f>PROPER(TRIM(Table1[[#This Row],[ReferralSource]]))</f>
        <v>Google</v>
      </c>
      <c r="S191" s="5">
        <f>Table1[[#This Row],[TotalPrice]]/Table1[[#This Row],[ItemsInCart]]</f>
        <v>222.22</v>
      </c>
    </row>
    <row r="192" spans="1:19" x14ac:dyDescent="0.3">
      <c r="A192" t="s">
        <v>1012</v>
      </c>
      <c r="B192" s="1">
        <v>45065</v>
      </c>
      <c r="C192" t="s">
        <v>2205</v>
      </c>
      <c r="D192" t="s">
        <v>2404</v>
      </c>
      <c r="E192">
        <v>2</v>
      </c>
      <c r="F192">
        <v>183.67</v>
      </c>
      <c r="G192" t="s">
        <v>2614</v>
      </c>
      <c r="H192" t="s">
        <v>3065</v>
      </c>
      <c r="I192" t="s">
        <v>3071</v>
      </c>
      <c r="J192" t="s">
        <v>4073</v>
      </c>
      <c r="K192">
        <v>6</v>
      </c>
      <c r="L192" t="s">
        <v>4275</v>
      </c>
      <c r="M192" t="s">
        <v>4282</v>
      </c>
      <c r="N192" s="5">
        <v>367.34</v>
      </c>
      <c r="O192" t="str">
        <f>IF(ABS(Table1[[#This Row],[TotalPrice]]-Table1[[#This Row],[Quantity]]*Table1[[#This Row],[UnitPrice]]) &lt;0.01, "ok",)</f>
        <v>ok</v>
      </c>
      <c r="P192" t="str">
        <f>PROPER(TRIM(Table1[[#This Row],[ShippingAddress]]))</f>
        <v>783 Main St</v>
      </c>
      <c r="Q192" t="str">
        <f>PROPER(TRIM((Table1[[#This Row],[PaymentMethod]])))</f>
        <v>Debit Card</v>
      </c>
      <c r="R192" t="str">
        <f>PROPER(TRIM(Table1[[#This Row],[ReferralSource]]))</f>
        <v>Google</v>
      </c>
      <c r="S192" s="5">
        <f>Table1[[#This Row],[TotalPrice]]/Table1[[#This Row],[ItemsInCart]]</f>
        <v>61.223333333333329</v>
      </c>
    </row>
    <row r="193" spans="1:19" x14ac:dyDescent="0.3">
      <c r="A193" t="s">
        <v>516</v>
      </c>
      <c r="B193" s="1">
        <v>45066</v>
      </c>
      <c r="C193" t="s">
        <v>1716</v>
      </c>
      <c r="D193" t="s">
        <v>2403</v>
      </c>
      <c r="E193">
        <v>3</v>
      </c>
      <c r="F193">
        <v>565.25</v>
      </c>
      <c r="G193" t="s">
        <v>2793</v>
      </c>
      <c r="H193" t="s">
        <v>3065</v>
      </c>
      <c r="I193" t="s">
        <v>3072</v>
      </c>
      <c r="J193" t="s">
        <v>3577</v>
      </c>
      <c r="K193">
        <v>7</v>
      </c>
      <c r="L193" t="s">
        <v>4275</v>
      </c>
      <c r="M193" t="s">
        <v>4280</v>
      </c>
      <c r="N193" s="5">
        <v>1695.75</v>
      </c>
      <c r="O193" t="str">
        <f>IF(ABS(Table1[[#This Row],[TotalPrice]]-Table1[[#This Row],[Quantity]]*Table1[[#This Row],[UnitPrice]]) &lt;0.01, "ok",)</f>
        <v>ok</v>
      </c>
      <c r="P193" t="str">
        <f>PROPER(TRIM(Table1[[#This Row],[ShippingAddress]]))</f>
        <v>745 Main St</v>
      </c>
      <c r="Q193" t="str">
        <f>PROPER(TRIM((Table1[[#This Row],[PaymentMethod]])))</f>
        <v>Debit Card</v>
      </c>
      <c r="R193" t="str">
        <f>PROPER(TRIM(Table1[[#This Row],[ReferralSource]]))</f>
        <v>Email</v>
      </c>
      <c r="S193" s="5">
        <f>Table1[[#This Row],[TotalPrice]]/Table1[[#This Row],[ItemsInCart]]</f>
        <v>242.25</v>
      </c>
    </row>
    <row r="194" spans="1:19" x14ac:dyDescent="0.3">
      <c r="A194" t="s">
        <v>70</v>
      </c>
      <c r="B194" s="1">
        <v>45067</v>
      </c>
      <c r="C194" t="s">
        <v>1270</v>
      </c>
      <c r="D194" t="s">
        <v>2405</v>
      </c>
      <c r="E194">
        <v>3</v>
      </c>
      <c r="F194">
        <v>479.21</v>
      </c>
      <c r="G194" t="s">
        <v>2462</v>
      </c>
      <c r="H194" t="s">
        <v>3069</v>
      </c>
      <c r="I194" t="s">
        <v>3071</v>
      </c>
      <c r="J194" t="s">
        <v>3131</v>
      </c>
      <c r="K194">
        <v>5</v>
      </c>
      <c r="L194" t="s">
        <v>4277</v>
      </c>
      <c r="M194" t="s">
        <v>4279</v>
      </c>
      <c r="N194" s="5">
        <v>1437.63</v>
      </c>
      <c r="O194" t="str">
        <f>IF(ABS(Table1[[#This Row],[TotalPrice]]-Table1[[#This Row],[Quantity]]*Table1[[#This Row],[UnitPrice]]) &lt;0.01, "ok",)</f>
        <v>ok</v>
      </c>
      <c r="P194" t="str">
        <f>PROPER(TRIM(Table1[[#This Row],[ShippingAddress]]))</f>
        <v>566 Main St</v>
      </c>
      <c r="Q194" t="str">
        <f>PROPER(TRIM((Table1[[#This Row],[PaymentMethod]])))</f>
        <v>Cash</v>
      </c>
      <c r="R194" t="str">
        <f>PROPER(TRIM(Table1[[#This Row],[ReferralSource]]))</f>
        <v>Referral</v>
      </c>
      <c r="S194" s="5">
        <f>Table1[[#This Row],[TotalPrice]]/Table1[[#This Row],[ItemsInCart]]</f>
        <v>287.52600000000001</v>
      </c>
    </row>
    <row r="195" spans="1:19" x14ac:dyDescent="0.3">
      <c r="A195" t="s">
        <v>1099</v>
      </c>
      <c r="B195" s="1">
        <v>45067</v>
      </c>
      <c r="C195" t="s">
        <v>2291</v>
      </c>
      <c r="D195" t="s">
        <v>2407</v>
      </c>
      <c r="E195">
        <v>2</v>
      </c>
      <c r="F195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>
        <v>7</v>
      </c>
      <c r="L195" t="s">
        <v>4277</v>
      </c>
      <c r="M195" t="s">
        <v>4278</v>
      </c>
      <c r="N195" s="5">
        <v>1293.3800000000001</v>
      </c>
      <c r="O195" t="str">
        <f>IF(ABS(Table1[[#This Row],[TotalPrice]]-Table1[[#This Row],[Quantity]]*Table1[[#This Row],[UnitPrice]]) &lt;0.01, "ok",)</f>
        <v>ok</v>
      </c>
      <c r="P195" t="str">
        <f>PROPER(TRIM(Table1[[#This Row],[ShippingAddress]]))</f>
        <v>404 Main St</v>
      </c>
      <c r="Q195" t="str">
        <f>PROPER(TRIM((Table1[[#This Row],[PaymentMethod]])))</f>
        <v>Debit Card</v>
      </c>
      <c r="R195" t="str">
        <f>PROPER(TRIM(Table1[[#This Row],[ReferralSource]]))</f>
        <v>Instagram</v>
      </c>
      <c r="S195" s="5">
        <f>Table1[[#This Row],[TotalPrice]]/Table1[[#This Row],[ItemsInCart]]</f>
        <v>184.76857142857145</v>
      </c>
    </row>
    <row r="196" spans="1:19" x14ac:dyDescent="0.3">
      <c r="A196" t="s">
        <v>908</v>
      </c>
      <c r="B196" s="1">
        <v>45069</v>
      </c>
      <c r="C196" t="s">
        <v>2104</v>
      </c>
      <c r="D196" t="s">
        <v>2405</v>
      </c>
      <c r="E196">
        <v>3</v>
      </c>
      <c r="F196">
        <v>575.01</v>
      </c>
      <c r="G196" t="s">
        <v>2811</v>
      </c>
      <c r="H196" t="s">
        <v>3066</v>
      </c>
      <c r="I196" t="s">
        <v>3071</v>
      </c>
      <c r="J196" t="s">
        <v>3969</v>
      </c>
      <c r="K196">
        <v>8</v>
      </c>
      <c r="L196" t="s">
        <v>4277</v>
      </c>
      <c r="M196" t="s">
        <v>4278</v>
      </c>
      <c r="N196" s="5">
        <v>1725.03</v>
      </c>
      <c r="O196" t="str">
        <f>IF(ABS(Table1[[#This Row],[TotalPrice]]-Table1[[#This Row],[Quantity]]*Table1[[#This Row],[UnitPrice]]) &lt;0.01, "ok",)</f>
        <v>ok</v>
      </c>
      <c r="P196" t="str">
        <f>PROPER(TRIM(Table1[[#This Row],[ShippingAddress]]))</f>
        <v>852 Main St</v>
      </c>
      <c r="Q196" t="str">
        <f>PROPER(TRIM((Table1[[#This Row],[PaymentMethod]])))</f>
        <v>Online</v>
      </c>
      <c r="R196" t="str">
        <f>PROPER(TRIM(Table1[[#This Row],[ReferralSource]]))</f>
        <v>Instagram</v>
      </c>
      <c r="S196" s="5">
        <f>Table1[[#This Row],[TotalPrice]]/Table1[[#This Row],[ItemsInCart]]</f>
        <v>215.62875</v>
      </c>
    </row>
    <row r="197" spans="1:19" x14ac:dyDescent="0.3">
      <c r="A197" t="s">
        <v>841</v>
      </c>
      <c r="B197" s="1">
        <v>45071</v>
      </c>
      <c r="C197" t="s">
        <v>2037</v>
      </c>
      <c r="D197" t="s">
        <v>2405</v>
      </c>
      <c r="E197">
        <v>2</v>
      </c>
      <c r="F197">
        <v>639.88</v>
      </c>
      <c r="G197" t="s">
        <v>2597</v>
      </c>
      <c r="H197" t="s">
        <v>3069</v>
      </c>
      <c r="I197" t="s">
        <v>3073</v>
      </c>
      <c r="J197" t="s">
        <v>3902</v>
      </c>
      <c r="K197">
        <v>5</v>
      </c>
      <c r="L197" t="s">
        <v>4277</v>
      </c>
      <c r="M197" t="s">
        <v>4278</v>
      </c>
      <c r="N197" s="5">
        <v>1279.76</v>
      </c>
      <c r="O197" t="str">
        <f>IF(ABS(Table1[[#This Row],[TotalPrice]]-Table1[[#This Row],[Quantity]]*Table1[[#This Row],[UnitPrice]]) &lt;0.01, "ok",)</f>
        <v>ok</v>
      </c>
      <c r="P197" t="str">
        <f>PROPER(TRIM(Table1[[#This Row],[ShippingAddress]]))</f>
        <v>432 Main St</v>
      </c>
      <c r="Q197" t="str">
        <f>PROPER(TRIM((Table1[[#This Row],[PaymentMethod]])))</f>
        <v>Cash</v>
      </c>
      <c r="R197" t="str">
        <f>PROPER(TRIM(Table1[[#This Row],[ReferralSource]]))</f>
        <v>Instagram</v>
      </c>
      <c r="S197" s="5">
        <f>Table1[[#This Row],[TotalPrice]]/Table1[[#This Row],[ItemsInCart]]</f>
        <v>255.952</v>
      </c>
    </row>
    <row r="198" spans="1:19" x14ac:dyDescent="0.3">
      <c r="A198" t="s">
        <v>869</v>
      </c>
      <c r="B198" s="1">
        <v>45071</v>
      </c>
      <c r="C198" t="s">
        <v>2065</v>
      </c>
      <c r="D198" t="s">
        <v>2403</v>
      </c>
      <c r="E198">
        <v>5</v>
      </c>
      <c r="F198">
        <v>240.61</v>
      </c>
      <c r="G198" t="s">
        <v>2624</v>
      </c>
      <c r="H198" t="s">
        <v>3067</v>
      </c>
      <c r="I198" t="s">
        <v>3070</v>
      </c>
      <c r="J198" t="s">
        <v>3930</v>
      </c>
      <c r="K198">
        <v>10</v>
      </c>
      <c r="L198" t="s">
        <v>4276</v>
      </c>
      <c r="M198" t="s">
        <v>4280</v>
      </c>
      <c r="N198" s="5">
        <v>1203.05</v>
      </c>
      <c r="O198" t="str">
        <f>IF(ABS(Table1[[#This Row],[TotalPrice]]-Table1[[#This Row],[Quantity]]*Table1[[#This Row],[UnitPrice]]) &lt;0.01, "ok",)</f>
        <v>ok</v>
      </c>
      <c r="P198" t="str">
        <f>PROPER(TRIM(Table1[[#This Row],[ShippingAddress]]))</f>
        <v>785 Main St</v>
      </c>
      <c r="Q198" t="str">
        <f>PROPER(TRIM((Table1[[#This Row],[PaymentMethod]])))</f>
        <v>Credit Card</v>
      </c>
      <c r="R198" t="str">
        <f>PROPER(TRIM(Table1[[#This Row],[ReferralSource]]))</f>
        <v>Email</v>
      </c>
      <c r="S198" s="5">
        <f>Table1[[#This Row],[TotalPrice]]/Table1[[#This Row],[ItemsInCart]]</f>
        <v>120.30499999999999</v>
      </c>
    </row>
    <row r="199" spans="1:19" x14ac:dyDescent="0.3">
      <c r="A199" t="s">
        <v>84</v>
      </c>
      <c r="B199" s="1">
        <v>45072</v>
      </c>
      <c r="C199" t="s">
        <v>1284</v>
      </c>
      <c r="D199" t="s">
        <v>2409</v>
      </c>
      <c r="E199">
        <v>1</v>
      </c>
      <c r="F199">
        <v>629.21</v>
      </c>
      <c r="G199" t="s">
        <v>2475</v>
      </c>
      <c r="H199" t="s">
        <v>3068</v>
      </c>
      <c r="I199" t="s">
        <v>3074</v>
      </c>
      <c r="J199" t="s">
        <v>3145</v>
      </c>
      <c r="K199">
        <v>2</v>
      </c>
      <c r="L199" t="s">
        <v>4276</v>
      </c>
      <c r="M199" t="s">
        <v>4278</v>
      </c>
      <c r="N199" s="5">
        <v>629.21</v>
      </c>
      <c r="O199" t="str">
        <f>IF(ABS(Table1[[#This Row],[TotalPrice]]-Table1[[#This Row],[Quantity]]*Table1[[#This Row],[UnitPrice]]) &lt;0.01, "ok",)</f>
        <v>ok</v>
      </c>
      <c r="P199" t="str">
        <f>PROPER(TRIM(Table1[[#This Row],[ShippingAddress]]))</f>
        <v>384 Main St</v>
      </c>
      <c r="Q199" t="str">
        <f>PROPER(TRIM((Table1[[#This Row],[PaymentMethod]])))</f>
        <v>Gift Card</v>
      </c>
      <c r="R199" t="str">
        <f>PROPER(TRIM(Table1[[#This Row],[ReferralSource]]))</f>
        <v>Instagram</v>
      </c>
      <c r="S199" s="5">
        <f>Table1[[#This Row],[TotalPrice]]/Table1[[#This Row],[ItemsInCart]]</f>
        <v>314.60500000000002</v>
      </c>
    </row>
    <row r="200" spans="1:19" x14ac:dyDescent="0.3">
      <c r="A200" t="s">
        <v>477</v>
      </c>
      <c r="B200" s="1">
        <v>45072</v>
      </c>
      <c r="C200" t="s">
        <v>1677</v>
      </c>
      <c r="D200" t="s">
        <v>2408</v>
      </c>
      <c r="E200">
        <v>5</v>
      </c>
      <c r="F200">
        <v>662.78</v>
      </c>
      <c r="G200" t="s">
        <v>2770</v>
      </c>
      <c r="H200" t="s">
        <v>3065</v>
      </c>
      <c r="I200" t="s">
        <v>3070</v>
      </c>
      <c r="J200" t="s">
        <v>3538</v>
      </c>
      <c r="K200">
        <v>9</v>
      </c>
      <c r="L200" t="s">
        <v>4275</v>
      </c>
      <c r="M200" t="s">
        <v>4278</v>
      </c>
      <c r="N200" s="5">
        <v>3313.9</v>
      </c>
      <c r="O200" t="str">
        <f>IF(ABS(Table1[[#This Row],[TotalPrice]]-Table1[[#This Row],[Quantity]]*Table1[[#This Row],[UnitPrice]]) &lt;0.01, "ok",)</f>
        <v>ok</v>
      </c>
      <c r="P200" t="str">
        <f>PROPER(TRIM(Table1[[#This Row],[ShippingAddress]]))</f>
        <v>214 Main St</v>
      </c>
      <c r="Q200" t="str">
        <f>PROPER(TRIM((Table1[[#This Row],[PaymentMethod]])))</f>
        <v>Debit Card</v>
      </c>
      <c r="R200" t="str">
        <f>PROPER(TRIM(Table1[[#This Row],[ReferralSource]]))</f>
        <v>Instagram</v>
      </c>
      <c r="S200" s="5">
        <f>Table1[[#This Row],[TotalPrice]]/Table1[[#This Row],[ItemsInCart]]</f>
        <v>368.21111111111111</v>
      </c>
    </row>
    <row r="201" spans="1:19" x14ac:dyDescent="0.3">
      <c r="A201" t="s">
        <v>614</v>
      </c>
      <c r="B201" s="1">
        <v>45072</v>
      </c>
      <c r="C201" t="s">
        <v>1814</v>
      </c>
      <c r="D201" t="s">
        <v>2407</v>
      </c>
      <c r="E201">
        <v>1</v>
      </c>
      <c r="F201">
        <v>72.31</v>
      </c>
      <c r="G201" t="s">
        <v>2633</v>
      </c>
      <c r="H201" t="s">
        <v>3068</v>
      </c>
      <c r="I201" t="s">
        <v>3071</v>
      </c>
      <c r="J201" t="s">
        <v>3675</v>
      </c>
      <c r="K201">
        <v>1</v>
      </c>
      <c r="L201" t="s">
        <v>4276</v>
      </c>
      <c r="M201" t="s">
        <v>4281</v>
      </c>
      <c r="N201" s="5">
        <v>72.31</v>
      </c>
      <c r="O201" t="str">
        <f>IF(ABS(Table1[[#This Row],[TotalPrice]]-Table1[[#This Row],[Quantity]]*Table1[[#This Row],[UnitPrice]]) &lt;0.01, "ok",)</f>
        <v>ok</v>
      </c>
      <c r="P201" t="str">
        <f>PROPER(TRIM(Table1[[#This Row],[ShippingAddress]]))</f>
        <v>460 Main St</v>
      </c>
      <c r="Q201" t="str">
        <f>PROPER(TRIM((Table1[[#This Row],[PaymentMethod]])))</f>
        <v>Gift Card</v>
      </c>
      <c r="R201" t="str">
        <f>PROPER(TRIM(Table1[[#This Row],[ReferralSource]]))</f>
        <v>Facebook</v>
      </c>
      <c r="S201" s="5">
        <f>Table1[[#This Row],[TotalPrice]]/Table1[[#This Row],[ItemsInCart]]</f>
        <v>72.31</v>
      </c>
    </row>
    <row r="202" spans="1:19" x14ac:dyDescent="0.3">
      <c r="A202" t="s">
        <v>181</v>
      </c>
      <c r="B202" s="1">
        <v>45073</v>
      </c>
      <c r="C202" t="s">
        <v>1381</v>
      </c>
      <c r="D202" t="s">
        <v>2406</v>
      </c>
      <c r="E202">
        <v>2</v>
      </c>
      <c r="F202">
        <v>384.14</v>
      </c>
      <c r="G202" t="s">
        <v>2560</v>
      </c>
      <c r="H202" t="s">
        <v>3066</v>
      </c>
      <c r="I202" t="s">
        <v>3072</v>
      </c>
      <c r="J202" t="s">
        <v>3242</v>
      </c>
      <c r="K202">
        <v>2</v>
      </c>
      <c r="L202" t="s">
        <v>4277</v>
      </c>
      <c r="M202" t="s">
        <v>4280</v>
      </c>
      <c r="N202" s="5">
        <v>768.28</v>
      </c>
      <c r="O202" t="str">
        <f>IF(ABS(Table1[[#This Row],[TotalPrice]]-Table1[[#This Row],[Quantity]]*Table1[[#This Row],[UnitPrice]]) &lt;0.01, "ok",)</f>
        <v>ok</v>
      </c>
      <c r="P202" t="str">
        <f>PROPER(TRIM(Table1[[#This Row],[ShippingAddress]]))</f>
        <v>219 Main St</v>
      </c>
      <c r="Q202" t="str">
        <f>PROPER(TRIM((Table1[[#This Row],[PaymentMethod]])))</f>
        <v>Online</v>
      </c>
      <c r="R202" t="str">
        <f>PROPER(TRIM(Table1[[#This Row],[ReferralSource]]))</f>
        <v>Email</v>
      </c>
      <c r="S202" s="5">
        <f>Table1[[#This Row],[TotalPrice]]/Table1[[#This Row],[ItemsInCart]]</f>
        <v>384.14</v>
      </c>
    </row>
    <row r="203" spans="1:19" x14ac:dyDescent="0.3">
      <c r="A203" t="s">
        <v>449</v>
      </c>
      <c r="B203" s="1">
        <v>45073</v>
      </c>
      <c r="C203" t="s">
        <v>1649</v>
      </c>
      <c r="D203" t="s">
        <v>2407</v>
      </c>
      <c r="E203">
        <v>1</v>
      </c>
      <c r="F203">
        <v>414.47</v>
      </c>
      <c r="G203" t="s">
        <v>2677</v>
      </c>
      <c r="H203" t="s">
        <v>3065</v>
      </c>
      <c r="I203" t="s">
        <v>3072</v>
      </c>
      <c r="J203" t="s">
        <v>3510</v>
      </c>
      <c r="K203">
        <v>3</v>
      </c>
      <c r="L203" t="s">
        <v>4276</v>
      </c>
      <c r="M203" t="s">
        <v>4278</v>
      </c>
      <c r="N203" s="5">
        <v>414.47</v>
      </c>
      <c r="O203" t="str">
        <f>IF(ABS(Table1[[#This Row],[TotalPrice]]-Table1[[#This Row],[Quantity]]*Table1[[#This Row],[UnitPrice]]) &lt;0.01, "ok",)</f>
        <v>ok</v>
      </c>
      <c r="P203" t="str">
        <f>PROPER(TRIM(Table1[[#This Row],[ShippingAddress]]))</f>
        <v>101 Main St</v>
      </c>
      <c r="Q203" t="str">
        <f>PROPER(TRIM((Table1[[#This Row],[PaymentMethod]])))</f>
        <v>Debit Card</v>
      </c>
      <c r="R203" t="str">
        <f>PROPER(TRIM(Table1[[#This Row],[ReferralSource]]))</f>
        <v>Instagram</v>
      </c>
      <c r="S203" s="5">
        <f>Table1[[#This Row],[TotalPrice]]/Table1[[#This Row],[ItemsInCart]]</f>
        <v>138.15666666666667</v>
      </c>
    </row>
    <row r="204" spans="1:19" x14ac:dyDescent="0.3">
      <c r="A204" t="s">
        <v>834</v>
      </c>
      <c r="B204" s="1">
        <v>45073</v>
      </c>
      <c r="C204" t="s">
        <v>2030</v>
      </c>
      <c r="D204" t="s">
        <v>2404</v>
      </c>
      <c r="E204">
        <v>5</v>
      </c>
      <c r="F204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>
        <v>6</v>
      </c>
      <c r="L204" t="s">
        <v>4276</v>
      </c>
      <c r="M204" t="s">
        <v>4280</v>
      </c>
      <c r="N204" s="5">
        <v>3119.05</v>
      </c>
      <c r="O204" t="str">
        <f>IF(ABS(Table1[[#This Row],[TotalPrice]]-Table1[[#This Row],[Quantity]]*Table1[[#This Row],[UnitPrice]]) &lt;0.01, "ok",)</f>
        <v>ok</v>
      </c>
      <c r="P204" t="str">
        <f>PROPER(TRIM(Table1[[#This Row],[ShippingAddress]]))</f>
        <v>171 Main St</v>
      </c>
      <c r="Q204" t="str">
        <f>PROPER(TRIM((Table1[[#This Row],[PaymentMethod]])))</f>
        <v>Cash</v>
      </c>
      <c r="R204" t="str">
        <f>PROPER(TRIM(Table1[[#This Row],[ReferralSource]]))</f>
        <v>Email</v>
      </c>
      <c r="S204" s="5">
        <f>Table1[[#This Row],[TotalPrice]]/Table1[[#This Row],[ItemsInCart]]</f>
        <v>519.8416666666667</v>
      </c>
    </row>
    <row r="205" spans="1:19" x14ac:dyDescent="0.3">
      <c r="A205" t="s">
        <v>1135</v>
      </c>
      <c r="B205" s="1">
        <v>45074</v>
      </c>
      <c r="C205" t="s">
        <v>2326</v>
      </c>
      <c r="D205" t="s">
        <v>2404</v>
      </c>
      <c r="E205">
        <v>3</v>
      </c>
      <c r="F205">
        <v>50.34</v>
      </c>
      <c r="G205" t="s">
        <v>2965</v>
      </c>
      <c r="H205" t="s">
        <v>3068</v>
      </c>
      <c r="I205" t="s">
        <v>3072</v>
      </c>
      <c r="J205" t="s">
        <v>4196</v>
      </c>
      <c r="K205">
        <v>3</v>
      </c>
      <c r="L205" t="s">
        <v>4276</v>
      </c>
      <c r="M205" t="s">
        <v>4278</v>
      </c>
      <c r="N205" s="5">
        <v>151.02000000000001</v>
      </c>
      <c r="O205" t="str">
        <f>IF(ABS(Table1[[#This Row],[TotalPrice]]-Table1[[#This Row],[Quantity]]*Table1[[#This Row],[UnitPrice]]) &lt;0.01, "ok",)</f>
        <v>ok</v>
      </c>
      <c r="P205" t="str">
        <f>PROPER(TRIM(Table1[[#This Row],[ShippingAddress]]))</f>
        <v>393 Main St</v>
      </c>
      <c r="Q205" t="str">
        <f>PROPER(TRIM((Table1[[#This Row],[PaymentMethod]])))</f>
        <v>Gift Card</v>
      </c>
      <c r="R205" t="str">
        <f>PROPER(TRIM(Table1[[#This Row],[ReferralSource]]))</f>
        <v>Instagram</v>
      </c>
      <c r="S205" s="5">
        <f>Table1[[#This Row],[TotalPrice]]/Table1[[#This Row],[ItemsInCart]]</f>
        <v>50.34</v>
      </c>
    </row>
    <row r="206" spans="1:19" x14ac:dyDescent="0.3">
      <c r="A206" t="s">
        <v>351</v>
      </c>
      <c r="B206" s="1">
        <v>45075</v>
      </c>
      <c r="C206" t="s">
        <v>1551</v>
      </c>
      <c r="D206" t="s">
        <v>2405</v>
      </c>
      <c r="E206">
        <v>3</v>
      </c>
      <c r="F206">
        <v>502.77</v>
      </c>
      <c r="G206" t="s">
        <v>2690</v>
      </c>
      <c r="H206" t="s">
        <v>3065</v>
      </c>
      <c r="I206" t="s">
        <v>3072</v>
      </c>
      <c r="J206" t="s">
        <v>3412</v>
      </c>
      <c r="K206">
        <v>8</v>
      </c>
      <c r="L206" t="s">
        <v>4277</v>
      </c>
      <c r="M206" t="s">
        <v>4280</v>
      </c>
      <c r="N206" s="5">
        <v>1508.31</v>
      </c>
      <c r="O206" t="str">
        <f>IF(ABS(Table1[[#This Row],[TotalPrice]]-Table1[[#This Row],[Quantity]]*Table1[[#This Row],[UnitPrice]]) &lt;0.01, "ok",)</f>
        <v>ok</v>
      </c>
      <c r="P206" t="str">
        <f>PROPER(TRIM(Table1[[#This Row],[ShippingAddress]]))</f>
        <v>599 Main St</v>
      </c>
      <c r="Q206" t="str">
        <f>PROPER(TRIM((Table1[[#This Row],[PaymentMethod]])))</f>
        <v>Debit Card</v>
      </c>
      <c r="R206" t="str">
        <f>PROPER(TRIM(Table1[[#This Row],[ReferralSource]]))</f>
        <v>Email</v>
      </c>
      <c r="S206" s="5">
        <f>Table1[[#This Row],[TotalPrice]]/Table1[[#This Row],[ItemsInCart]]</f>
        <v>188.53874999999999</v>
      </c>
    </row>
    <row r="207" spans="1:19" x14ac:dyDescent="0.3">
      <c r="A207" t="s">
        <v>824</v>
      </c>
      <c r="B207" s="1">
        <v>45077</v>
      </c>
      <c r="C207" t="s">
        <v>2020</v>
      </c>
      <c r="D207" t="s">
        <v>2405</v>
      </c>
      <c r="E207">
        <v>1</v>
      </c>
      <c r="F20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>
        <v>5</v>
      </c>
      <c r="L207" t="s">
        <v>4283</v>
      </c>
      <c r="M207" t="s">
        <v>4279</v>
      </c>
      <c r="N207" s="5">
        <v>553.55999999999995</v>
      </c>
      <c r="O207" t="str">
        <f>IF(ABS(Table1[[#This Row],[TotalPrice]]-Table1[[#This Row],[Quantity]]*Table1[[#This Row],[UnitPrice]]) &lt;0.01, "ok",)</f>
        <v>ok</v>
      </c>
      <c r="P207" t="str">
        <f>PROPER(TRIM(Table1[[#This Row],[ShippingAddress]]))</f>
        <v>644 Main St</v>
      </c>
      <c r="Q207" t="str">
        <f>PROPER(TRIM((Table1[[#This Row],[PaymentMethod]])))</f>
        <v>Credit Card</v>
      </c>
      <c r="R207" t="str">
        <f>PROPER(TRIM(Table1[[#This Row],[ReferralSource]]))</f>
        <v>Referral</v>
      </c>
      <c r="S207" s="5">
        <f>Table1[[#This Row],[TotalPrice]]/Table1[[#This Row],[ItemsInCart]]</f>
        <v>110.71199999999999</v>
      </c>
    </row>
    <row r="208" spans="1:19" x14ac:dyDescent="0.3">
      <c r="A208" t="s">
        <v>993</v>
      </c>
      <c r="B208" s="1">
        <v>45077</v>
      </c>
      <c r="C208" t="s">
        <v>2186</v>
      </c>
      <c r="D208" t="s">
        <v>2403</v>
      </c>
      <c r="E208">
        <v>3</v>
      </c>
      <c r="F208">
        <v>669.06</v>
      </c>
      <c r="G208" t="s">
        <v>2648</v>
      </c>
      <c r="H208" t="s">
        <v>3069</v>
      </c>
      <c r="I208" t="s">
        <v>3073</v>
      </c>
      <c r="J208" t="s">
        <v>4054</v>
      </c>
      <c r="K208">
        <v>7</v>
      </c>
      <c r="L208" t="s">
        <v>4275</v>
      </c>
      <c r="M208" t="s">
        <v>4281</v>
      </c>
      <c r="N208" s="5">
        <v>2007.18</v>
      </c>
      <c r="O208" t="str">
        <f>IF(ABS(Table1[[#This Row],[TotalPrice]]-Table1[[#This Row],[Quantity]]*Table1[[#This Row],[UnitPrice]]) &lt;0.01, "ok",)</f>
        <v>ok</v>
      </c>
      <c r="P208" t="str">
        <f>PROPER(TRIM(Table1[[#This Row],[ShippingAddress]]))</f>
        <v>299 Main St</v>
      </c>
      <c r="Q208" t="str">
        <f>PROPER(TRIM((Table1[[#This Row],[PaymentMethod]])))</f>
        <v>Cash</v>
      </c>
      <c r="R208" t="str">
        <f>PROPER(TRIM(Table1[[#This Row],[ReferralSource]]))</f>
        <v>Facebook</v>
      </c>
      <c r="S208" s="5">
        <f>Table1[[#This Row],[TotalPrice]]/Table1[[#This Row],[ItemsInCart]]</f>
        <v>286.74</v>
      </c>
    </row>
    <row r="209" spans="1:19" x14ac:dyDescent="0.3">
      <c r="A209" t="s">
        <v>892</v>
      </c>
      <c r="B209" s="1">
        <v>45078</v>
      </c>
      <c r="C209" t="s">
        <v>2088</v>
      </c>
      <c r="D209" t="s">
        <v>2409</v>
      </c>
      <c r="E209">
        <v>2</v>
      </c>
      <c r="F209">
        <v>330.69</v>
      </c>
      <c r="G209" t="s">
        <v>2965</v>
      </c>
      <c r="H209" t="s">
        <v>3066</v>
      </c>
      <c r="I209" t="s">
        <v>3071</v>
      </c>
      <c r="J209" t="s">
        <v>3953</v>
      </c>
      <c r="K209">
        <v>5</v>
      </c>
      <c r="L209" t="s">
        <v>4275</v>
      </c>
      <c r="M209" t="s">
        <v>4282</v>
      </c>
      <c r="N209" s="5">
        <v>661.38</v>
      </c>
      <c r="O209" t="str">
        <f>IF(ABS(Table1[[#This Row],[TotalPrice]]-Table1[[#This Row],[Quantity]]*Table1[[#This Row],[UnitPrice]]) &lt;0.01, "ok",)</f>
        <v>ok</v>
      </c>
      <c r="P209" t="str">
        <f>PROPER(TRIM(Table1[[#This Row],[ShippingAddress]]))</f>
        <v>393 Main St</v>
      </c>
      <c r="Q209" t="str">
        <f>PROPER(TRIM((Table1[[#This Row],[PaymentMethod]])))</f>
        <v>Online</v>
      </c>
      <c r="R209" t="str">
        <f>PROPER(TRIM(Table1[[#This Row],[ReferralSource]]))</f>
        <v>Google</v>
      </c>
      <c r="S209" s="5">
        <f>Table1[[#This Row],[TotalPrice]]/Table1[[#This Row],[ItemsInCart]]</f>
        <v>132.27600000000001</v>
      </c>
    </row>
    <row r="210" spans="1:19" x14ac:dyDescent="0.3">
      <c r="A210" t="s">
        <v>626</v>
      </c>
      <c r="B210" s="1">
        <v>45079</v>
      </c>
      <c r="C210" t="s">
        <v>1825</v>
      </c>
      <c r="D210" t="s">
        <v>2406</v>
      </c>
      <c r="E210">
        <v>3</v>
      </c>
      <c r="F210">
        <v>445.12</v>
      </c>
      <c r="G210" t="s">
        <v>2678</v>
      </c>
      <c r="H210" t="s">
        <v>3068</v>
      </c>
      <c r="I210" t="s">
        <v>3071</v>
      </c>
      <c r="J210" t="s">
        <v>3687</v>
      </c>
      <c r="K210">
        <v>8</v>
      </c>
      <c r="L210" t="s">
        <v>4283</v>
      </c>
      <c r="M210" t="s">
        <v>4282</v>
      </c>
      <c r="N210" s="5">
        <v>1335.36</v>
      </c>
      <c r="O210" t="str">
        <f>IF(ABS(Table1[[#This Row],[TotalPrice]]-Table1[[#This Row],[Quantity]]*Table1[[#This Row],[UnitPrice]]) &lt;0.01, "ok",)</f>
        <v>ok</v>
      </c>
      <c r="P210" t="str">
        <f>PROPER(TRIM(Table1[[#This Row],[ShippingAddress]]))</f>
        <v>339 Main St</v>
      </c>
      <c r="Q210" t="str">
        <f>PROPER(TRIM((Table1[[#This Row],[PaymentMethod]])))</f>
        <v>Gift Card</v>
      </c>
      <c r="R210" t="str">
        <f>PROPER(TRIM(Table1[[#This Row],[ReferralSource]]))</f>
        <v>Google</v>
      </c>
      <c r="S210" s="5">
        <f>Table1[[#This Row],[TotalPrice]]/Table1[[#This Row],[ItemsInCart]]</f>
        <v>166.92</v>
      </c>
    </row>
    <row r="211" spans="1:19" x14ac:dyDescent="0.3">
      <c r="A211" t="s">
        <v>775</v>
      </c>
      <c r="B211" s="1">
        <v>45079</v>
      </c>
      <c r="C211" t="s">
        <v>1972</v>
      </c>
      <c r="D211" t="s">
        <v>2409</v>
      </c>
      <c r="E211">
        <v>4</v>
      </c>
      <c r="F211">
        <v>37.76</v>
      </c>
      <c r="G211" t="s">
        <v>2911</v>
      </c>
      <c r="H211" t="s">
        <v>3065</v>
      </c>
      <c r="I211" t="s">
        <v>3073</v>
      </c>
      <c r="J211" t="s">
        <v>3836</v>
      </c>
      <c r="K211">
        <v>7</v>
      </c>
      <c r="L211" t="s">
        <v>4283</v>
      </c>
      <c r="M211" t="s">
        <v>4282</v>
      </c>
      <c r="N211" s="5">
        <v>151.04</v>
      </c>
      <c r="O211" t="str">
        <f>IF(ABS(Table1[[#This Row],[TotalPrice]]-Table1[[#This Row],[Quantity]]*Table1[[#This Row],[UnitPrice]]) &lt;0.01, "ok",)</f>
        <v>ok</v>
      </c>
      <c r="P211" t="str">
        <f>PROPER(TRIM(Table1[[#This Row],[ShippingAddress]]))</f>
        <v>217 Main St</v>
      </c>
      <c r="Q211" t="str">
        <f>PROPER(TRIM((Table1[[#This Row],[PaymentMethod]])))</f>
        <v>Debit Card</v>
      </c>
      <c r="R211" t="str">
        <f>PROPER(TRIM(Table1[[#This Row],[ReferralSource]]))</f>
        <v>Google</v>
      </c>
      <c r="S211" s="5">
        <f>Table1[[#This Row],[TotalPrice]]/Table1[[#This Row],[ItemsInCart]]</f>
        <v>21.577142857142857</v>
      </c>
    </row>
    <row r="212" spans="1:19" x14ac:dyDescent="0.3">
      <c r="A212" t="s">
        <v>364</v>
      </c>
      <c r="B212" s="1">
        <v>45080</v>
      </c>
      <c r="C212" t="s">
        <v>1564</v>
      </c>
      <c r="D212" t="s">
        <v>2406</v>
      </c>
      <c r="E212">
        <v>2</v>
      </c>
      <c r="F212">
        <v>54.41</v>
      </c>
      <c r="G212" t="s">
        <v>2703</v>
      </c>
      <c r="H212" t="s">
        <v>3066</v>
      </c>
      <c r="I212" t="s">
        <v>3070</v>
      </c>
      <c r="J212" t="s">
        <v>3425</v>
      </c>
      <c r="K212">
        <v>6</v>
      </c>
      <c r="L212" t="s">
        <v>4283</v>
      </c>
      <c r="M212" t="s">
        <v>4278</v>
      </c>
      <c r="N212" s="5">
        <v>108.82</v>
      </c>
      <c r="O212" t="str">
        <f>IF(ABS(Table1[[#This Row],[TotalPrice]]-Table1[[#This Row],[Quantity]]*Table1[[#This Row],[UnitPrice]]) &lt;0.01, "ok",)</f>
        <v>ok</v>
      </c>
      <c r="P212" t="str">
        <f>PROPER(TRIM(Table1[[#This Row],[ShippingAddress]]))</f>
        <v>495 Main St</v>
      </c>
      <c r="Q212" t="str">
        <f>PROPER(TRIM((Table1[[#This Row],[PaymentMethod]])))</f>
        <v>Online</v>
      </c>
      <c r="R212" t="str">
        <f>PROPER(TRIM(Table1[[#This Row],[ReferralSource]]))</f>
        <v>Instagram</v>
      </c>
      <c r="S212" s="5">
        <f>Table1[[#This Row],[TotalPrice]]/Table1[[#This Row],[ItemsInCart]]</f>
        <v>18.136666666666667</v>
      </c>
    </row>
    <row r="213" spans="1:19" x14ac:dyDescent="0.3">
      <c r="A213" t="s">
        <v>718</v>
      </c>
      <c r="B213" s="1">
        <v>45080</v>
      </c>
      <c r="C213" t="s">
        <v>1916</v>
      </c>
      <c r="D213" t="s">
        <v>2409</v>
      </c>
      <c r="E213">
        <v>4</v>
      </c>
      <c r="F213">
        <v>30.27</v>
      </c>
      <c r="G213" t="s">
        <v>2555</v>
      </c>
      <c r="H213" t="s">
        <v>3066</v>
      </c>
      <c r="I213" t="s">
        <v>3073</v>
      </c>
      <c r="J213" t="s">
        <v>3779</v>
      </c>
      <c r="K213">
        <v>9</v>
      </c>
      <c r="L213" t="s">
        <v>4276</v>
      </c>
      <c r="M213" t="s">
        <v>4282</v>
      </c>
      <c r="N213" s="5">
        <v>121.08</v>
      </c>
      <c r="O213" t="str">
        <f>IF(ABS(Table1[[#This Row],[TotalPrice]]-Table1[[#This Row],[Quantity]]*Table1[[#This Row],[UnitPrice]]) &lt;0.01, "ok",)</f>
        <v>ok</v>
      </c>
      <c r="P213" t="str">
        <f>PROPER(TRIM(Table1[[#This Row],[ShippingAddress]]))</f>
        <v>819 Main St</v>
      </c>
      <c r="Q213" t="str">
        <f>PROPER(TRIM((Table1[[#This Row],[PaymentMethod]])))</f>
        <v>Online</v>
      </c>
      <c r="R213" t="str">
        <f>PROPER(TRIM(Table1[[#This Row],[ReferralSource]]))</f>
        <v>Google</v>
      </c>
      <c r="S213" s="5">
        <f>Table1[[#This Row],[TotalPrice]]/Table1[[#This Row],[ItemsInCart]]</f>
        <v>13.453333333333333</v>
      </c>
    </row>
    <row r="214" spans="1:19" x14ac:dyDescent="0.3">
      <c r="A214" t="s">
        <v>284</v>
      </c>
      <c r="B214" s="1">
        <v>45081</v>
      </c>
      <c r="C214" t="s">
        <v>1484</v>
      </c>
      <c r="D214" t="s">
        <v>2407</v>
      </c>
      <c r="E214">
        <v>4</v>
      </c>
      <c r="F214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>
        <v>5</v>
      </c>
      <c r="L214" t="s">
        <v>4277</v>
      </c>
      <c r="M214" t="s">
        <v>4282</v>
      </c>
      <c r="N214" s="5">
        <v>1239.6400000000001</v>
      </c>
      <c r="O214" t="str">
        <f>IF(ABS(Table1[[#This Row],[TotalPrice]]-Table1[[#This Row],[Quantity]]*Table1[[#This Row],[UnitPrice]]) &lt;0.01, "ok",)</f>
        <v>ok</v>
      </c>
      <c r="P214" t="str">
        <f>PROPER(TRIM(Table1[[#This Row],[ShippingAddress]]))</f>
        <v>127 Main St</v>
      </c>
      <c r="Q214" t="str">
        <f>PROPER(TRIM((Table1[[#This Row],[PaymentMethod]])))</f>
        <v>Debit Card</v>
      </c>
      <c r="R214" t="str">
        <f>PROPER(TRIM(Table1[[#This Row],[ReferralSource]]))</f>
        <v>Google</v>
      </c>
      <c r="S214" s="5">
        <f>Table1[[#This Row],[TotalPrice]]/Table1[[#This Row],[ItemsInCart]]</f>
        <v>247.92800000000003</v>
      </c>
    </row>
    <row r="215" spans="1:19" x14ac:dyDescent="0.3">
      <c r="A215" t="s">
        <v>593</v>
      </c>
      <c r="B215" s="1">
        <v>45081</v>
      </c>
      <c r="C215" t="s">
        <v>1793</v>
      </c>
      <c r="D215" t="s">
        <v>2405</v>
      </c>
      <c r="E215">
        <v>2</v>
      </c>
      <c r="F215">
        <v>187.88</v>
      </c>
      <c r="G215" t="s">
        <v>2679</v>
      </c>
      <c r="H215" t="s">
        <v>3066</v>
      </c>
      <c r="I215" t="s">
        <v>3070</v>
      </c>
      <c r="J215" t="s">
        <v>3654</v>
      </c>
      <c r="K215">
        <v>4</v>
      </c>
      <c r="L215" t="s">
        <v>4277</v>
      </c>
      <c r="M215" t="s">
        <v>4281</v>
      </c>
      <c r="N215" s="5">
        <v>375.76</v>
      </c>
      <c r="O215" t="str">
        <f>IF(ABS(Table1[[#This Row],[TotalPrice]]-Table1[[#This Row],[Quantity]]*Table1[[#This Row],[UnitPrice]]) &lt;0.01, "ok",)</f>
        <v>ok</v>
      </c>
      <c r="P215" t="str">
        <f>PROPER(TRIM(Table1[[#This Row],[ShippingAddress]]))</f>
        <v>413 Main St</v>
      </c>
      <c r="Q215" t="str">
        <f>PROPER(TRIM((Table1[[#This Row],[PaymentMethod]])))</f>
        <v>Online</v>
      </c>
      <c r="R215" t="str">
        <f>PROPER(TRIM(Table1[[#This Row],[ReferralSource]]))</f>
        <v>Facebook</v>
      </c>
      <c r="S215" s="5">
        <f>Table1[[#This Row],[TotalPrice]]/Table1[[#This Row],[ItemsInCart]]</f>
        <v>93.94</v>
      </c>
    </row>
    <row r="216" spans="1:19" x14ac:dyDescent="0.3">
      <c r="A216" t="s">
        <v>47</v>
      </c>
      <c r="B216" s="1">
        <v>45082</v>
      </c>
      <c r="C216" t="s">
        <v>1247</v>
      </c>
      <c r="D216" t="s">
        <v>2406</v>
      </c>
      <c r="E216">
        <v>1</v>
      </c>
      <c r="F216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>
        <v>4</v>
      </c>
      <c r="L216" t="s">
        <v>4277</v>
      </c>
      <c r="M216" t="s">
        <v>4281</v>
      </c>
      <c r="N216" s="5">
        <v>162.77000000000001</v>
      </c>
      <c r="O216" t="str">
        <f>IF(ABS(Table1[[#This Row],[TotalPrice]]-Table1[[#This Row],[Quantity]]*Table1[[#This Row],[UnitPrice]]) &lt;0.01, "ok",)</f>
        <v>ok</v>
      </c>
      <c r="P216" t="str">
        <f>PROPER(TRIM(Table1[[#This Row],[ShippingAddress]]))</f>
        <v>912 Main St</v>
      </c>
      <c r="Q216" t="str">
        <f>PROPER(TRIM((Table1[[#This Row],[PaymentMethod]])))</f>
        <v>Online</v>
      </c>
      <c r="R216" t="str">
        <f>PROPER(TRIM(Table1[[#This Row],[ReferralSource]]))</f>
        <v>Facebook</v>
      </c>
      <c r="S216" s="5">
        <f>Table1[[#This Row],[TotalPrice]]/Table1[[#This Row],[ItemsInCart]]</f>
        <v>40.692500000000003</v>
      </c>
    </row>
    <row r="217" spans="1:19" x14ac:dyDescent="0.3">
      <c r="A217" t="s">
        <v>436</v>
      </c>
      <c r="B217" s="1">
        <v>45082</v>
      </c>
      <c r="C217" t="s">
        <v>1636</v>
      </c>
      <c r="D217" t="s">
        <v>2404</v>
      </c>
      <c r="E217">
        <v>4</v>
      </c>
      <c r="F217">
        <v>206.6</v>
      </c>
      <c r="G217" t="s">
        <v>2426</v>
      </c>
      <c r="H217" t="s">
        <v>3068</v>
      </c>
      <c r="I217" t="s">
        <v>3072</v>
      </c>
      <c r="J217" t="s">
        <v>3497</v>
      </c>
      <c r="K217">
        <v>6</v>
      </c>
      <c r="L217" t="s">
        <v>4277</v>
      </c>
      <c r="M217" t="s">
        <v>4279</v>
      </c>
      <c r="N217" s="5">
        <v>826.4</v>
      </c>
      <c r="O217" t="str">
        <f>IF(ABS(Table1[[#This Row],[TotalPrice]]-Table1[[#This Row],[Quantity]]*Table1[[#This Row],[UnitPrice]]) &lt;0.01, "ok",)</f>
        <v>ok</v>
      </c>
      <c r="P217" t="str">
        <f>PROPER(TRIM(Table1[[#This Row],[ShippingAddress]]))</f>
        <v>914 Main St</v>
      </c>
      <c r="Q217" t="str">
        <f>PROPER(TRIM((Table1[[#This Row],[PaymentMethod]])))</f>
        <v>Gift Card</v>
      </c>
      <c r="R217" t="str">
        <f>PROPER(TRIM(Table1[[#This Row],[ReferralSource]]))</f>
        <v>Referral</v>
      </c>
      <c r="S217" s="5">
        <f>Table1[[#This Row],[TotalPrice]]/Table1[[#This Row],[ItemsInCart]]</f>
        <v>137.73333333333332</v>
      </c>
    </row>
    <row r="218" spans="1:19" x14ac:dyDescent="0.3">
      <c r="A218" t="s">
        <v>1081</v>
      </c>
      <c r="B218" s="1">
        <v>45083</v>
      </c>
      <c r="C218" t="s">
        <v>2273</v>
      </c>
      <c r="D218" t="s">
        <v>2404</v>
      </c>
      <c r="E218">
        <v>2</v>
      </c>
      <c r="F218">
        <v>316.2</v>
      </c>
      <c r="G218" t="s">
        <v>2475</v>
      </c>
      <c r="H218" t="s">
        <v>3066</v>
      </c>
      <c r="I218" t="s">
        <v>3072</v>
      </c>
      <c r="J218" t="s">
        <v>4142</v>
      </c>
      <c r="K218">
        <v>2</v>
      </c>
      <c r="L218" t="s">
        <v>4283</v>
      </c>
      <c r="M218" t="s">
        <v>4278</v>
      </c>
      <c r="N218" s="5">
        <v>632.4</v>
      </c>
      <c r="O218" t="str">
        <f>IF(ABS(Table1[[#This Row],[TotalPrice]]-Table1[[#This Row],[Quantity]]*Table1[[#This Row],[UnitPrice]]) &lt;0.01, "ok",)</f>
        <v>ok</v>
      </c>
      <c r="P218" t="str">
        <f>PROPER(TRIM(Table1[[#This Row],[ShippingAddress]]))</f>
        <v>384 Main St</v>
      </c>
      <c r="Q218" t="str">
        <f>PROPER(TRIM((Table1[[#This Row],[PaymentMethod]])))</f>
        <v>Online</v>
      </c>
      <c r="R218" t="str">
        <f>PROPER(TRIM(Table1[[#This Row],[ReferralSource]]))</f>
        <v>Instagram</v>
      </c>
      <c r="S218" s="5">
        <f>Table1[[#This Row],[TotalPrice]]/Table1[[#This Row],[ItemsInCart]]</f>
        <v>316.2</v>
      </c>
    </row>
    <row r="219" spans="1:19" x14ac:dyDescent="0.3">
      <c r="A219" t="s">
        <v>395</v>
      </c>
      <c r="B219" s="1">
        <v>45084</v>
      </c>
      <c r="C219" t="s">
        <v>1595</v>
      </c>
      <c r="D219" t="s">
        <v>2406</v>
      </c>
      <c r="E219">
        <v>1</v>
      </c>
      <c r="F219">
        <v>191.76</v>
      </c>
      <c r="G219" t="s">
        <v>2454</v>
      </c>
      <c r="H219" t="s">
        <v>3067</v>
      </c>
      <c r="I219" t="s">
        <v>3072</v>
      </c>
      <c r="J219" t="s">
        <v>3456</v>
      </c>
      <c r="K219">
        <v>1</v>
      </c>
      <c r="L219" t="s">
        <v>4276</v>
      </c>
      <c r="M219" t="s">
        <v>4278</v>
      </c>
      <c r="N219" s="5">
        <v>191.76</v>
      </c>
      <c r="O219" t="str">
        <f>IF(ABS(Table1[[#This Row],[TotalPrice]]-Table1[[#This Row],[Quantity]]*Table1[[#This Row],[UnitPrice]]) &lt;0.01, "ok",)</f>
        <v>ok</v>
      </c>
      <c r="P219" t="str">
        <f>PROPER(TRIM(Table1[[#This Row],[ShippingAddress]]))</f>
        <v>223 Main St</v>
      </c>
      <c r="Q219" t="str">
        <f>PROPER(TRIM((Table1[[#This Row],[PaymentMethod]])))</f>
        <v>Credit Card</v>
      </c>
      <c r="R219" t="str">
        <f>PROPER(TRIM(Table1[[#This Row],[ReferralSource]]))</f>
        <v>Instagram</v>
      </c>
      <c r="S219" s="5">
        <f>Table1[[#This Row],[TotalPrice]]/Table1[[#This Row],[ItemsInCart]]</f>
        <v>191.76</v>
      </c>
    </row>
    <row r="220" spans="1:19" x14ac:dyDescent="0.3">
      <c r="A220" t="s">
        <v>444</v>
      </c>
      <c r="B220" s="1">
        <v>45084</v>
      </c>
      <c r="C220" t="s">
        <v>1644</v>
      </c>
      <c r="D220" t="s">
        <v>2404</v>
      </c>
      <c r="E220">
        <v>1</v>
      </c>
      <c r="F220">
        <v>450.07</v>
      </c>
      <c r="G220" t="s">
        <v>2749</v>
      </c>
      <c r="H220" t="s">
        <v>3068</v>
      </c>
      <c r="I220" t="s">
        <v>3070</v>
      </c>
      <c r="J220" t="s">
        <v>3505</v>
      </c>
      <c r="K220">
        <v>6</v>
      </c>
      <c r="L220" t="s">
        <v>4276</v>
      </c>
      <c r="M220" t="s">
        <v>4282</v>
      </c>
      <c r="N220" s="5">
        <v>450.07</v>
      </c>
      <c r="O220" t="str">
        <f>IF(ABS(Table1[[#This Row],[TotalPrice]]-Table1[[#This Row],[Quantity]]*Table1[[#This Row],[UnitPrice]]) &lt;0.01, "ok",)</f>
        <v>ok</v>
      </c>
      <c r="P220" t="str">
        <f>PROPER(TRIM(Table1[[#This Row],[ShippingAddress]]))</f>
        <v>433 Main St</v>
      </c>
      <c r="Q220" t="str">
        <f>PROPER(TRIM((Table1[[#This Row],[PaymentMethod]])))</f>
        <v>Gift Card</v>
      </c>
      <c r="R220" t="str">
        <f>PROPER(TRIM(Table1[[#This Row],[ReferralSource]]))</f>
        <v>Google</v>
      </c>
      <c r="S220" s="5">
        <f>Table1[[#This Row],[TotalPrice]]/Table1[[#This Row],[ItemsInCart]]</f>
        <v>75.01166666666667</v>
      </c>
    </row>
    <row r="221" spans="1:19" x14ac:dyDescent="0.3">
      <c r="A221" t="s">
        <v>589</v>
      </c>
      <c r="B221" s="1">
        <v>45084</v>
      </c>
      <c r="C221" t="s">
        <v>1789</v>
      </c>
      <c r="D221" t="s">
        <v>2406</v>
      </c>
      <c r="E221">
        <v>5</v>
      </c>
      <c r="F221">
        <v>448.15</v>
      </c>
      <c r="G221" t="s">
        <v>2825</v>
      </c>
      <c r="H221" t="s">
        <v>3068</v>
      </c>
      <c r="I221" t="s">
        <v>3072</v>
      </c>
      <c r="J221" t="s">
        <v>3650</v>
      </c>
      <c r="K221">
        <v>7</v>
      </c>
      <c r="L221" t="s">
        <v>4275</v>
      </c>
      <c r="M221" t="s">
        <v>4282</v>
      </c>
      <c r="N221" s="5">
        <v>2240.75</v>
      </c>
      <c r="O221" t="str">
        <f>IF(ABS(Table1[[#This Row],[TotalPrice]]-Table1[[#This Row],[Quantity]]*Table1[[#This Row],[UnitPrice]]) &lt;0.01, "ok",)</f>
        <v>ok</v>
      </c>
      <c r="P221" t="str">
        <f>PROPER(TRIM(Table1[[#This Row],[ShippingAddress]]))</f>
        <v>528 Main St</v>
      </c>
      <c r="Q221" t="str">
        <f>PROPER(TRIM((Table1[[#This Row],[PaymentMethod]])))</f>
        <v>Gift Card</v>
      </c>
      <c r="R221" t="str">
        <f>PROPER(TRIM(Table1[[#This Row],[ReferralSource]]))</f>
        <v>Google</v>
      </c>
      <c r="S221" s="5">
        <f>Table1[[#This Row],[TotalPrice]]/Table1[[#This Row],[ItemsInCart]]</f>
        <v>320.10714285714283</v>
      </c>
    </row>
    <row r="222" spans="1:19" x14ac:dyDescent="0.3">
      <c r="A222" t="s">
        <v>1136</v>
      </c>
      <c r="B222" s="1">
        <v>45084</v>
      </c>
      <c r="C222" t="s">
        <v>1480</v>
      </c>
      <c r="D222" t="s">
        <v>2403</v>
      </c>
      <c r="E222">
        <v>5</v>
      </c>
      <c r="F222">
        <v>678.19</v>
      </c>
      <c r="G222" t="s">
        <v>3008</v>
      </c>
      <c r="H222" t="s">
        <v>3066</v>
      </c>
      <c r="I222" t="s">
        <v>3072</v>
      </c>
      <c r="J222" t="s">
        <v>4197</v>
      </c>
      <c r="K222">
        <v>8</v>
      </c>
      <c r="L222" t="s">
        <v>4283</v>
      </c>
      <c r="M222" t="s">
        <v>4281</v>
      </c>
      <c r="N222" s="5">
        <v>3390.95</v>
      </c>
      <c r="O222" t="str">
        <f>IF(ABS(Table1[[#This Row],[TotalPrice]]-Table1[[#This Row],[Quantity]]*Table1[[#This Row],[UnitPrice]]) &lt;0.01, "ok",)</f>
        <v>ok</v>
      </c>
      <c r="P222" t="str">
        <f>PROPER(TRIM(Table1[[#This Row],[ShippingAddress]]))</f>
        <v>766 Main St</v>
      </c>
      <c r="Q222" t="str">
        <f>PROPER(TRIM((Table1[[#This Row],[PaymentMethod]])))</f>
        <v>Online</v>
      </c>
      <c r="R222" t="str">
        <f>PROPER(TRIM(Table1[[#This Row],[ReferralSource]]))</f>
        <v>Facebook</v>
      </c>
      <c r="S222" s="5">
        <f>Table1[[#This Row],[TotalPrice]]/Table1[[#This Row],[ItemsInCart]]</f>
        <v>423.86874999999998</v>
      </c>
    </row>
    <row r="223" spans="1:19" x14ac:dyDescent="0.3">
      <c r="A223" t="s">
        <v>95</v>
      </c>
      <c r="B223" s="1">
        <v>45085</v>
      </c>
      <c r="C223" t="s">
        <v>1295</v>
      </c>
      <c r="D223" t="s">
        <v>2403</v>
      </c>
      <c r="E223">
        <v>2</v>
      </c>
      <c r="F223">
        <v>394.3</v>
      </c>
      <c r="G223" t="s">
        <v>2485</v>
      </c>
      <c r="H223" t="s">
        <v>3069</v>
      </c>
      <c r="I223" t="s">
        <v>3070</v>
      </c>
      <c r="J223" t="s">
        <v>3156</v>
      </c>
      <c r="K223">
        <v>6</v>
      </c>
      <c r="L223" t="s">
        <v>4276</v>
      </c>
      <c r="M223" t="s">
        <v>4280</v>
      </c>
      <c r="N223" s="5">
        <v>788.6</v>
      </c>
      <c r="O223" t="str">
        <f>IF(ABS(Table1[[#This Row],[TotalPrice]]-Table1[[#This Row],[Quantity]]*Table1[[#This Row],[UnitPrice]]) &lt;0.01, "ok",)</f>
        <v>ok</v>
      </c>
      <c r="P223" t="str">
        <f>PROPER(TRIM(Table1[[#This Row],[ShippingAddress]]))</f>
        <v>496 Main St</v>
      </c>
      <c r="Q223" t="str">
        <f>PROPER(TRIM((Table1[[#This Row],[PaymentMethod]])))</f>
        <v>Cash</v>
      </c>
      <c r="R223" t="str">
        <f>PROPER(TRIM(Table1[[#This Row],[ReferralSource]]))</f>
        <v>Email</v>
      </c>
      <c r="S223" s="5">
        <f>Table1[[#This Row],[TotalPrice]]/Table1[[#This Row],[ItemsInCart]]</f>
        <v>131.43333333333334</v>
      </c>
    </row>
    <row r="224" spans="1:19" x14ac:dyDescent="0.3">
      <c r="A224" t="s">
        <v>373</v>
      </c>
      <c r="B224" s="1">
        <v>45086</v>
      </c>
      <c r="C224" t="s">
        <v>1573</v>
      </c>
      <c r="D224" t="s">
        <v>2409</v>
      </c>
      <c r="E224">
        <v>4</v>
      </c>
      <c r="F224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>
        <v>5</v>
      </c>
      <c r="L224" t="s">
        <v>4277</v>
      </c>
      <c r="M224" t="s">
        <v>4279</v>
      </c>
      <c r="N224" s="5">
        <v>2426.2800000000002</v>
      </c>
      <c r="O224" t="str">
        <f>IF(ABS(Table1[[#This Row],[TotalPrice]]-Table1[[#This Row],[Quantity]]*Table1[[#This Row],[UnitPrice]]) &lt;0.01, "ok",)</f>
        <v>ok</v>
      </c>
      <c r="P224" t="str">
        <f>PROPER(TRIM(Table1[[#This Row],[ShippingAddress]]))</f>
        <v>303 Main St</v>
      </c>
      <c r="Q224" t="str">
        <f>PROPER(TRIM((Table1[[#This Row],[PaymentMethod]])))</f>
        <v>Debit Card</v>
      </c>
      <c r="R224" t="str">
        <f>PROPER(TRIM(Table1[[#This Row],[ReferralSource]]))</f>
        <v>Referral</v>
      </c>
      <c r="S224" s="5">
        <f>Table1[[#This Row],[TotalPrice]]/Table1[[#This Row],[ItemsInCart]]</f>
        <v>485.25600000000003</v>
      </c>
    </row>
    <row r="225" spans="1:19" x14ac:dyDescent="0.3">
      <c r="A225" t="s">
        <v>1107</v>
      </c>
      <c r="B225" s="1">
        <v>45086</v>
      </c>
      <c r="C225" t="s">
        <v>2299</v>
      </c>
      <c r="D225" t="s">
        <v>2404</v>
      </c>
      <c r="E225">
        <v>4</v>
      </c>
      <c r="F225">
        <v>197.36</v>
      </c>
      <c r="G225" t="s">
        <v>3026</v>
      </c>
      <c r="H225" t="s">
        <v>3068</v>
      </c>
      <c r="I225" t="s">
        <v>3072</v>
      </c>
      <c r="J225" t="s">
        <v>4168</v>
      </c>
      <c r="K225">
        <v>9</v>
      </c>
      <c r="L225" t="s">
        <v>4276</v>
      </c>
      <c r="M225" t="s">
        <v>4278</v>
      </c>
      <c r="N225" s="5">
        <v>789.44</v>
      </c>
      <c r="O225" t="str">
        <f>IF(ABS(Table1[[#This Row],[TotalPrice]]-Table1[[#This Row],[Quantity]]*Table1[[#This Row],[UnitPrice]]) &lt;0.01, "ok",)</f>
        <v>ok</v>
      </c>
      <c r="P225" t="str">
        <f>PROPER(TRIM(Table1[[#This Row],[ShippingAddress]]))</f>
        <v>557 Main St</v>
      </c>
      <c r="Q225" t="str">
        <f>PROPER(TRIM((Table1[[#This Row],[PaymentMethod]])))</f>
        <v>Gift Card</v>
      </c>
      <c r="R225" t="str">
        <f>PROPER(TRIM(Table1[[#This Row],[ReferralSource]]))</f>
        <v>Instagram</v>
      </c>
      <c r="S225" s="5">
        <f>Table1[[#This Row],[TotalPrice]]/Table1[[#This Row],[ItemsInCart]]</f>
        <v>87.715555555555568</v>
      </c>
    </row>
    <row r="226" spans="1:19" x14ac:dyDescent="0.3">
      <c r="A226" t="s">
        <v>273</v>
      </c>
      <c r="B226" s="1">
        <v>45088</v>
      </c>
      <c r="C226" t="s">
        <v>1473</v>
      </c>
      <c r="D226" t="s">
        <v>2406</v>
      </c>
      <c r="E226">
        <v>4</v>
      </c>
      <c r="F226">
        <v>435.12</v>
      </c>
      <c r="G226" t="s">
        <v>2535</v>
      </c>
      <c r="H226" t="s">
        <v>3067</v>
      </c>
      <c r="I226" t="s">
        <v>3073</v>
      </c>
      <c r="J226" t="s">
        <v>3334</v>
      </c>
      <c r="K226">
        <v>9</v>
      </c>
      <c r="L226" t="s">
        <v>4275</v>
      </c>
      <c r="M226" t="s">
        <v>4278</v>
      </c>
      <c r="N226" s="5">
        <v>1740.48</v>
      </c>
      <c r="O226" t="str">
        <f>IF(ABS(Table1[[#This Row],[TotalPrice]]-Table1[[#This Row],[Quantity]]*Table1[[#This Row],[UnitPrice]]) &lt;0.01, "ok",)</f>
        <v>ok</v>
      </c>
      <c r="P226" t="str">
        <f>PROPER(TRIM(Table1[[#This Row],[ShippingAddress]]))</f>
        <v>636 Main St</v>
      </c>
      <c r="Q226" t="str">
        <f>PROPER(TRIM((Table1[[#This Row],[PaymentMethod]])))</f>
        <v>Credit Card</v>
      </c>
      <c r="R226" t="str">
        <f>PROPER(TRIM(Table1[[#This Row],[ReferralSource]]))</f>
        <v>Instagram</v>
      </c>
      <c r="S226" s="5">
        <f>Table1[[#This Row],[TotalPrice]]/Table1[[#This Row],[ItemsInCart]]</f>
        <v>193.38666666666666</v>
      </c>
    </row>
    <row r="227" spans="1:19" x14ac:dyDescent="0.3">
      <c r="A227" t="s">
        <v>519</v>
      </c>
      <c r="B227" s="1">
        <v>45088</v>
      </c>
      <c r="C227" t="s">
        <v>1719</v>
      </c>
      <c r="D227" t="s">
        <v>2407</v>
      </c>
      <c r="E227">
        <v>2</v>
      </c>
      <c r="F227">
        <v>434.97</v>
      </c>
      <c r="G227" t="s">
        <v>2727</v>
      </c>
      <c r="H227" t="s">
        <v>3066</v>
      </c>
      <c r="I227" t="s">
        <v>3070</v>
      </c>
      <c r="J227" t="s">
        <v>3580</v>
      </c>
      <c r="K227">
        <v>7</v>
      </c>
      <c r="L227" t="s">
        <v>4283</v>
      </c>
      <c r="M227" t="s">
        <v>4280</v>
      </c>
      <c r="N227" s="5">
        <v>869.94</v>
      </c>
      <c r="O227" t="str">
        <f>IF(ABS(Table1[[#This Row],[TotalPrice]]-Table1[[#This Row],[Quantity]]*Table1[[#This Row],[UnitPrice]]) &lt;0.01, "ok",)</f>
        <v>ok</v>
      </c>
      <c r="P227" t="str">
        <f>PROPER(TRIM(Table1[[#This Row],[ShippingAddress]]))</f>
        <v>558 Main St</v>
      </c>
      <c r="Q227" t="str">
        <f>PROPER(TRIM((Table1[[#This Row],[PaymentMethod]])))</f>
        <v>Online</v>
      </c>
      <c r="R227" t="str">
        <f>PROPER(TRIM(Table1[[#This Row],[ReferralSource]]))</f>
        <v>Email</v>
      </c>
      <c r="S227" s="5">
        <f>Table1[[#This Row],[TotalPrice]]/Table1[[#This Row],[ItemsInCart]]</f>
        <v>124.27714285714286</v>
      </c>
    </row>
    <row r="228" spans="1:19" x14ac:dyDescent="0.3">
      <c r="A228" t="s">
        <v>1143</v>
      </c>
      <c r="B228" s="1">
        <v>45088</v>
      </c>
      <c r="C228" t="s">
        <v>2333</v>
      </c>
      <c r="D228" t="s">
        <v>2406</v>
      </c>
      <c r="E228">
        <v>4</v>
      </c>
      <c r="F228">
        <v>418.71</v>
      </c>
      <c r="G228" t="s">
        <v>2480</v>
      </c>
      <c r="H228" t="s">
        <v>3069</v>
      </c>
      <c r="I228" t="s">
        <v>3074</v>
      </c>
      <c r="J228" t="s">
        <v>4204</v>
      </c>
      <c r="K228">
        <v>8</v>
      </c>
      <c r="L228" t="s">
        <v>4276</v>
      </c>
      <c r="M228" t="s">
        <v>4278</v>
      </c>
      <c r="N228" s="5">
        <v>1674.84</v>
      </c>
      <c r="O228" t="str">
        <f>IF(ABS(Table1[[#This Row],[TotalPrice]]-Table1[[#This Row],[Quantity]]*Table1[[#This Row],[UnitPrice]]) &lt;0.01, "ok",)</f>
        <v>ok</v>
      </c>
      <c r="P228" t="str">
        <f>PROPER(TRIM(Table1[[#This Row],[ShippingAddress]]))</f>
        <v>239 Main St</v>
      </c>
      <c r="Q228" t="str">
        <f>PROPER(TRIM((Table1[[#This Row],[PaymentMethod]])))</f>
        <v>Cash</v>
      </c>
      <c r="R228" t="str">
        <f>PROPER(TRIM(Table1[[#This Row],[ReferralSource]]))</f>
        <v>Instagram</v>
      </c>
      <c r="S228" s="5">
        <f>Table1[[#This Row],[TotalPrice]]/Table1[[#This Row],[ItemsInCart]]</f>
        <v>209.35499999999999</v>
      </c>
    </row>
    <row r="229" spans="1:19" x14ac:dyDescent="0.3">
      <c r="A229" t="s">
        <v>1213</v>
      </c>
      <c r="B229" s="1">
        <v>45088</v>
      </c>
      <c r="C229" t="s">
        <v>2402</v>
      </c>
      <c r="D229" t="s">
        <v>2405</v>
      </c>
      <c r="E229">
        <v>4</v>
      </c>
      <c r="F229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>
        <v>6</v>
      </c>
      <c r="L229" t="s">
        <v>4275</v>
      </c>
      <c r="M229" t="s">
        <v>4279</v>
      </c>
      <c r="N229" s="5">
        <v>2242.3200000000002</v>
      </c>
      <c r="O229" t="str">
        <f>IF(ABS(Table1[[#This Row],[TotalPrice]]-Table1[[#This Row],[Quantity]]*Table1[[#This Row],[UnitPrice]]) &lt;0.01, "ok",)</f>
        <v>ok</v>
      </c>
      <c r="P229" t="str">
        <f>PROPER(TRIM(Table1[[#This Row],[ShippingAddress]]))</f>
        <v>201 Main St</v>
      </c>
      <c r="Q229" t="str">
        <f>PROPER(TRIM((Table1[[#This Row],[PaymentMethod]])))</f>
        <v>Gift Card</v>
      </c>
      <c r="R229" t="str">
        <f>PROPER(TRIM(Table1[[#This Row],[ReferralSource]]))</f>
        <v>Referral</v>
      </c>
      <c r="S229" s="5">
        <f>Table1[[#This Row],[TotalPrice]]/Table1[[#This Row],[ItemsInCart]]</f>
        <v>373.72</v>
      </c>
    </row>
    <row r="230" spans="1:19" x14ac:dyDescent="0.3">
      <c r="A230" t="s">
        <v>601</v>
      </c>
      <c r="B230" s="1">
        <v>45089</v>
      </c>
      <c r="C230" t="s">
        <v>1801</v>
      </c>
      <c r="D230" t="s">
        <v>2403</v>
      </c>
      <c r="E230">
        <v>5</v>
      </c>
      <c r="F230">
        <v>514.6</v>
      </c>
      <c r="G230" t="s">
        <v>2829</v>
      </c>
      <c r="H230" t="s">
        <v>3068</v>
      </c>
      <c r="I230" t="s">
        <v>3073</v>
      </c>
      <c r="J230" t="s">
        <v>3662</v>
      </c>
      <c r="K230">
        <v>10</v>
      </c>
      <c r="L230" t="s">
        <v>4276</v>
      </c>
      <c r="M230" t="s">
        <v>4278</v>
      </c>
      <c r="N230" s="5">
        <v>2573</v>
      </c>
      <c r="O230" t="str">
        <f>IF(ABS(Table1[[#This Row],[TotalPrice]]-Table1[[#This Row],[Quantity]]*Table1[[#This Row],[UnitPrice]]) &lt;0.01, "ok",)</f>
        <v>ok</v>
      </c>
      <c r="P230" t="str">
        <f>PROPER(TRIM(Table1[[#This Row],[ShippingAddress]]))</f>
        <v>347 Main St</v>
      </c>
      <c r="Q230" t="str">
        <f>PROPER(TRIM((Table1[[#This Row],[PaymentMethod]])))</f>
        <v>Gift Card</v>
      </c>
      <c r="R230" t="str">
        <f>PROPER(TRIM(Table1[[#This Row],[ReferralSource]]))</f>
        <v>Instagram</v>
      </c>
      <c r="S230" s="5">
        <f>Table1[[#This Row],[TotalPrice]]/Table1[[#This Row],[ItemsInCart]]</f>
        <v>257.3</v>
      </c>
    </row>
    <row r="231" spans="1:19" x14ac:dyDescent="0.3">
      <c r="A231" t="s">
        <v>610</v>
      </c>
      <c r="B231" s="1">
        <v>45089</v>
      </c>
      <c r="C231" t="s">
        <v>1810</v>
      </c>
      <c r="D231" t="s">
        <v>2409</v>
      </c>
      <c r="E231">
        <v>3</v>
      </c>
      <c r="F231">
        <v>606.41</v>
      </c>
      <c r="G231" t="s">
        <v>2834</v>
      </c>
      <c r="H231" t="s">
        <v>3065</v>
      </c>
      <c r="I231" t="s">
        <v>3072</v>
      </c>
      <c r="J231" t="s">
        <v>3671</v>
      </c>
      <c r="K231">
        <v>7</v>
      </c>
      <c r="L231" t="s">
        <v>4276</v>
      </c>
      <c r="M231" t="s">
        <v>4281</v>
      </c>
      <c r="N231" s="5">
        <v>1819.23</v>
      </c>
      <c r="O231" t="str">
        <f>IF(ABS(Table1[[#This Row],[TotalPrice]]-Table1[[#This Row],[Quantity]]*Table1[[#This Row],[UnitPrice]]) &lt;0.01, "ok",)</f>
        <v>ok</v>
      </c>
      <c r="P231" t="str">
        <f>PROPER(TRIM(Table1[[#This Row],[ShippingAddress]]))</f>
        <v>653 Main St</v>
      </c>
      <c r="Q231" t="str">
        <f>PROPER(TRIM((Table1[[#This Row],[PaymentMethod]])))</f>
        <v>Debit Card</v>
      </c>
      <c r="R231" t="str">
        <f>PROPER(TRIM(Table1[[#This Row],[ReferralSource]]))</f>
        <v>Facebook</v>
      </c>
      <c r="S231" s="5">
        <f>Table1[[#This Row],[TotalPrice]]/Table1[[#This Row],[ItemsInCart]]</f>
        <v>259.89</v>
      </c>
    </row>
    <row r="232" spans="1:19" x14ac:dyDescent="0.3">
      <c r="A232" t="s">
        <v>668</v>
      </c>
      <c r="B232" s="1">
        <v>45089</v>
      </c>
      <c r="C232" t="s">
        <v>1867</v>
      </c>
      <c r="D232" t="s">
        <v>2405</v>
      </c>
      <c r="E232">
        <v>3</v>
      </c>
      <c r="F232">
        <v>382.37</v>
      </c>
      <c r="G232" t="s">
        <v>2861</v>
      </c>
      <c r="H232" t="s">
        <v>3065</v>
      </c>
      <c r="I232" t="s">
        <v>3072</v>
      </c>
      <c r="J232" t="s">
        <v>3729</v>
      </c>
      <c r="K232">
        <v>8</v>
      </c>
      <c r="L232" t="s">
        <v>4283</v>
      </c>
      <c r="M232" t="s">
        <v>4278</v>
      </c>
      <c r="N232" s="5">
        <v>1147.1099999999999</v>
      </c>
      <c r="O232" t="str">
        <f>IF(ABS(Table1[[#This Row],[TotalPrice]]-Table1[[#This Row],[Quantity]]*Table1[[#This Row],[UnitPrice]]) &lt;0.01, "ok",)</f>
        <v>ok</v>
      </c>
      <c r="P232" t="str">
        <f>PROPER(TRIM(Table1[[#This Row],[ShippingAddress]]))</f>
        <v>863 Main St</v>
      </c>
      <c r="Q232" t="str">
        <f>PROPER(TRIM((Table1[[#This Row],[PaymentMethod]])))</f>
        <v>Debit Card</v>
      </c>
      <c r="R232" t="str">
        <f>PROPER(TRIM(Table1[[#This Row],[ReferralSource]]))</f>
        <v>Instagram</v>
      </c>
      <c r="S232" s="5">
        <f>Table1[[#This Row],[TotalPrice]]/Table1[[#This Row],[ItemsInCart]]</f>
        <v>143.38874999999999</v>
      </c>
    </row>
    <row r="233" spans="1:19" x14ac:dyDescent="0.3">
      <c r="A233" t="s">
        <v>769</v>
      </c>
      <c r="B233" s="1">
        <v>45090</v>
      </c>
      <c r="C233" t="s">
        <v>1966</v>
      </c>
      <c r="D233" t="s">
        <v>2409</v>
      </c>
      <c r="E233">
        <v>3</v>
      </c>
      <c r="F233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 s="5">
        <v>1010.13</v>
      </c>
      <c r="O233" t="str">
        <f>IF(ABS(Table1[[#This Row],[TotalPrice]]-Table1[[#This Row],[Quantity]]*Table1[[#This Row],[UnitPrice]]) &lt;0.01, "ok",)</f>
        <v>ok</v>
      </c>
      <c r="P233" t="str">
        <f>PROPER(TRIM(Table1[[#This Row],[ShippingAddress]]))</f>
        <v>658 Main St</v>
      </c>
      <c r="Q233" t="str">
        <f>PROPER(TRIM((Table1[[#This Row],[PaymentMethod]])))</f>
        <v>Credit Card</v>
      </c>
      <c r="R233" t="str">
        <f>PROPER(TRIM(Table1[[#This Row],[ReferralSource]]))</f>
        <v>Email</v>
      </c>
      <c r="S233" s="5">
        <f>Table1[[#This Row],[TotalPrice]]/Table1[[#This Row],[ItemsInCart]]</f>
        <v>252.5325</v>
      </c>
    </row>
    <row r="234" spans="1:19" x14ac:dyDescent="0.3">
      <c r="A234" t="s">
        <v>685</v>
      </c>
      <c r="B234" s="1">
        <v>45092</v>
      </c>
      <c r="C234" t="s">
        <v>1883</v>
      </c>
      <c r="D234" t="s">
        <v>2406</v>
      </c>
      <c r="E234">
        <v>5</v>
      </c>
      <c r="F234">
        <v>50.74</v>
      </c>
      <c r="G234" t="s">
        <v>2554</v>
      </c>
      <c r="H234" t="s">
        <v>3068</v>
      </c>
      <c r="I234" t="s">
        <v>3071</v>
      </c>
      <c r="J234" t="s">
        <v>3746</v>
      </c>
      <c r="K234">
        <v>7</v>
      </c>
      <c r="L234" t="s">
        <v>4277</v>
      </c>
      <c r="M234" t="s">
        <v>4282</v>
      </c>
      <c r="N234" s="5">
        <v>253.7</v>
      </c>
      <c r="O234" t="str">
        <f>IF(ABS(Table1[[#This Row],[TotalPrice]]-Table1[[#This Row],[Quantity]]*Table1[[#This Row],[UnitPrice]]) &lt;0.01, "ok",)</f>
        <v>ok</v>
      </c>
      <c r="P234" t="str">
        <f>PROPER(TRIM(Table1[[#This Row],[ShippingAddress]]))</f>
        <v>737 Main St</v>
      </c>
      <c r="Q234" t="str">
        <f>PROPER(TRIM((Table1[[#This Row],[PaymentMethod]])))</f>
        <v>Gift Card</v>
      </c>
      <c r="R234" t="str">
        <f>PROPER(TRIM(Table1[[#This Row],[ReferralSource]]))</f>
        <v>Google</v>
      </c>
      <c r="S234" s="5">
        <f>Table1[[#This Row],[TotalPrice]]/Table1[[#This Row],[ItemsInCart]]</f>
        <v>36.24285714285714</v>
      </c>
    </row>
    <row r="235" spans="1:19" x14ac:dyDescent="0.3">
      <c r="A235" t="s">
        <v>494</v>
      </c>
      <c r="B235" s="1">
        <v>45093</v>
      </c>
      <c r="C235" t="s">
        <v>1694</v>
      </c>
      <c r="D235" t="s">
        <v>2406</v>
      </c>
      <c r="E235">
        <v>1</v>
      </c>
      <c r="F235">
        <v>335.1</v>
      </c>
      <c r="G235" t="s">
        <v>2509</v>
      </c>
      <c r="H235" t="s">
        <v>3065</v>
      </c>
      <c r="I235" t="s">
        <v>3074</v>
      </c>
      <c r="J235" t="s">
        <v>3555</v>
      </c>
      <c r="K235">
        <v>6</v>
      </c>
      <c r="L235" t="s">
        <v>4276</v>
      </c>
      <c r="M235" t="s">
        <v>4279</v>
      </c>
      <c r="N235" s="5">
        <v>335.1</v>
      </c>
      <c r="O235" t="str">
        <f>IF(ABS(Table1[[#This Row],[TotalPrice]]-Table1[[#This Row],[Quantity]]*Table1[[#This Row],[UnitPrice]]) &lt;0.01, "ok",)</f>
        <v>ok</v>
      </c>
      <c r="P235" t="str">
        <f>PROPER(TRIM(Table1[[#This Row],[ShippingAddress]]))</f>
        <v>126 Main St</v>
      </c>
      <c r="Q235" t="str">
        <f>PROPER(TRIM((Table1[[#This Row],[PaymentMethod]])))</f>
        <v>Debit Card</v>
      </c>
      <c r="R235" t="str">
        <f>PROPER(TRIM(Table1[[#This Row],[ReferralSource]]))</f>
        <v>Referral</v>
      </c>
      <c r="S235" s="5">
        <f>Table1[[#This Row],[TotalPrice]]/Table1[[#This Row],[ItemsInCart]]</f>
        <v>55.85</v>
      </c>
    </row>
    <row r="236" spans="1:19" x14ac:dyDescent="0.3">
      <c r="A236" t="s">
        <v>637</v>
      </c>
      <c r="B236" s="1">
        <v>45093</v>
      </c>
      <c r="C236" t="s">
        <v>1836</v>
      </c>
      <c r="D236" t="s">
        <v>2407</v>
      </c>
      <c r="E236">
        <v>3</v>
      </c>
      <c r="F236">
        <v>396</v>
      </c>
      <c r="G236" t="s">
        <v>2847</v>
      </c>
      <c r="H236" t="s">
        <v>3068</v>
      </c>
      <c r="I236" t="s">
        <v>3071</v>
      </c>
      <c r="J236" t="s">
        <v>3698</v>
      </c>
      <c r="K236">
        <v>4</v>
      </c>
      <c r="L236" t="s">
        <v>4276</v>
      </c>
      <c r="M236" t="s">
        <v>4278</v>
      </c>
      <c r="N236" s="5">
        <v>1188</v>
      </c>
      <c r="O236" t="str">
        <f>IF(ABS(Table1[[#This Row],[TotalPrice]]-Table1[[#This Row],[Quantity]]*Table1[[#This Row],[UnitPrice]]) &lt;0.01, "ok",)</f>
        <v>ok</v>
      </c>
      <c r="P236" t="str">
        <f>PROPER(TRIM(Table1[[#This Row],[ShippingAddress]]))</f>
        <v>269 Main St</v>
      </c>
      <c r="Q236" t="str">
        <f>PROPER(TRIM((Table1[[#This Row],[PaymentMethod]])))</f>
        <v>Gift Card</v>
      </c>
      <c r="R236" t="str">
        <f>PROPER(TRIM(Table1[[#This Row],[ReferralSource]]))</f>
        <v>Instagram</v>
      </c>
      <c r="S236" s="5">
        <f>Table1[[#This Row],[TotalPrice]]/Table1[[#This Row],[ItemsInCart]]</f>
        <v>297</v>
      </c>
    </row>
    <row r="237" spans="1:19" x14ac:dyDescent="0.3">
      <c r="A237" t="s">
        <v>806</v>
      </c>
      <c r="B237" s="1">
        <v>45093</v>
      </c>
      <c r="C237" t="s">
        <v>2003</v>
      </c>
      <c r="D237" t="s">
        <v>2409</v>
      </c>
      <c r="E237">
        <v>2</v>
      </c>
      <c r="F237">
        <v>356.35</v>
      </c>
      <c r="G237" t="s">
        <v>2926</v>
      </c>
      <c r="H237" t="s">
        <v>3065</v>
      </c>
      <c r="I237" t="s">
        <v>3072</v>
      </c>
      <c r="J237" t="s">
        <v>3867</v>
      </c>
      <c r="K237">
        <v>6</v>
      </c>
      <c r="L237" t="s">
        <v>4277</v>
      </c>
      <c r="M237" t="s">
        <v>4281</v>
      </c>
      <c r="N237" s="5">
        <v>712.7</v>
      </c>
      <c r="O237" t="str">
        <f>IF(ABS(Table1[[#This Row],[TotalPrice]]-Table1[[#This Row],[Quantity]]*Table1[[#This Row],[UnitPrice]]) &lt;0.01, "ok",)</f>
        <v>ok</v>
      </c>
      <c r="P237" t="str">
        <f>PROPER(TRIM(Table1[[#This Row],[ShippingAddress]]))</f>
        <v>746 Main St</v>
      </c>
      <c r="Q237" t="str">
        <f>PROPER(TRIM((Table1[[#This Row],[PaymentMethod]])))</f>
        <v>Debit Card</v>
      </c>
      <c r="R237" t="str">
        <f>PROPER(TRIM(Table1[[#This Row],[ReferralSource]]))</f>
        <v>Facebook</v>
      </c>
      <c r="S237" s="5">
        <f>Table1[[#This Row],[TotalPrice]]/Table1[[#This Row],[ItemsInCart]]</f>
        <v>118.78333333333335</v>
      </c>
    </row>
    <row r="238" spans="1:19" x14ac:dyDescent="0.3">
      <c r="A238" t="s">
        <v>1112</v>
      </c>
      <c r="B238" s="1">
        <v>45094</v>
      </c>
      <c r="C238" t="s">
        <v>2304</v>
      </c>
      <c r="D238" t="s">
        <v>2403</v>
      </c>
      <c r="E238">
        <v>4</v>
      </c>
      <c r="F238">
        <v>255.86</v>
      </c>
      <c r="G238" t="s">
        <v>3031</v>
      </c>
      <c r="H238" t="s">
        <v>3067</v>
      </c>
      <c r="I238" t="s">
        <v>3073</v>
      </c>
      <c r="J238" t="s">
        <v>4173</v>
      </c>
      <c r="K238">
        <v>7</v>
      </c>
      <c r="L238" t="s">
        <v>4283</v>
      </c>
      <c r="M238" t="s">
        <v>4280</v>
      </c>
      <c r="N238" s="5">
        <v>1023.44</v>
      </c>
      <c r="O238" t="str">
        <f>IF(ABS(Table1[[#This Row],[TotalPrice]]-Table1[[#This Row],[Quantity]]*Table1[[#This Row],[UnitPrice]]) &lt;0.01, "ok",)</f>
        <v>ok</v>
      </c>
      <c r="P238" t="str">
        <f>PROPER(TRIM(Table1[[#This Row],[ShippingAddress]]))</f>
        <v>155 Main St</v>
      </c>
      <c r="Q238" t="str">
        <f>PROPER(TRIM((Table1[[#This Row],[PaymentMethod]])))</f>
        <v>Credit Card</v>
      </c>
      <c r="R238" t="str">
        <f>PROPER(TRIM(Table1[[#This Row],[ReferralSource]]))</f>
        <v>Email</v>
      </c>
      <c r="S238" s="5">
        <f>Table1[[#This Row],[TotalPrice]]/Table1[[#This Row],[ItemsInCart]]</f>
        <v>146.20571428571429</v>
      </c>
    </row>
    <row r="239" spans="1:19" x14ac:dyDescent="0.3">
      <c r="A239" t="s">
        <v>215</v>
      </c>
      <c r="B239" s="1">
        <v>45095</v>
      </c>
      <c r="C239" t="s">
        <v>1415</v>
      </c>
      <c r="D239" t="s">
        <v>2403</v>
      </c>
      <c r="E239">
        <v>2</v>
      </c>
      <c r="F239">
        <v>674.9</v>
      </c>
      <c r="G239" t="s">
        <v>2482</v>
      </c>
      <c r="H239" t="s">
        <v>3066</v>
      </c>
      <c r="I239" t="s">
        <v>3070</v>
      </c>
      <c r="J239" t="s">
        <v>3276</v>
      </c>
      <c r="K239">
        <v>4</v>
      </c>
      <c r="L239" t="s">
        <v>4275</v>
      </c>
      <c r="M239" t="s">
        <v>4281</v>
      </c>
      <c r="N239" s="5">
        <v>1349.8</v>
      </c>
      <c r="O239" t="str">
        <f>IF(ABS(Table1[[#This Row],[TotalPrice]]-Table1[[#This Row],[Quantity]]*Table1[[#This Row],[UnitPrice]]) &lt;0.01, "ok",)</f>
        <v>ok</v>
      </c>
      <c r="P239" t="str">
        <f>PROPER(TRIM(Table1[[#This Row],[ShippingAddress]]))</f>
        <v>146 Main St</v>
      </c>
      <c r="Q239" t="str">
        <f>PROPER(TRIM((Table1[[#This Row],[PaymentMethod]])))</f>
        <v>Online</v>
      </c>
      <c r="R239" t="str">
        <f>PROPER(TRIM(Table1[[#This Row],[ReferralSource]]))</f>
        <v>Facebook</v>
      </c>
      <c r="S239" s="5">
        <f>Table1[[#This Row],[TotalPrice]]/Table1[[#This Row],[ItemsInCart]]</f>
        <v>337.45</v>
      </c>
    </row>
    <row r="240" spans="1:19" x14ac:dyDescent="0.3">
      <c r="A240" t="s">
        <v>226</v>
      </c>
      <c r="B240" s="1">
        <v>45097</v>
      </c>
      <c r="C240" t="s">
        <v>1426</v>
      </c>
      <c r="D240" t="s">
        <v>2403</v>
      </c>
      <c r="E240">
        <v>1</v>
      </c>
      <c r="F240">
        <v>265.38</v>
      </c>
      <c r="G240" t="s">
        <v>2595</v>
      </c>
      <c r="H240" t="s">
        <v>3067</v>
      </c>
      <c r="I240" t="s">
        <v>3071</v>
      </c>
      <c r="J240" t="s">
        <v>3287</v>
      </c>
      <c r="K240">
        <v>6</v>
      </c>
      <c r="L240" t="s">
        <v>4277</v>
      </c>
      <c r="M240" t="s">
        <v>4280</v>
      </c>
      <c r="N240" s="5">
        <v>265.38</v>
      </c>
      <c r="O240" t="str">
        <f>IF(ABS(Table1[[#This Row],[TotalPrice]]-Table1[[#This Row],[Quantity]]*Table1[[#This Row],[UnitPrice]]) &lt;0.01, "ok",)</f>
        <v>ok</v>
      </c>
      <c r="P240" t="str">
        <f>PROPER(TRIM(Table1[[#This Row],[ShippingAddress]]))</f>
        <v>367 Main St</v>
      </c>
      <c r="Q240" t="str">
        <f>PROPER(TRIM((Table1[[#This Row],[PaymentMethod]])))</f>
        <v>Credit Card</v>
      </c>
      <c r="R240" t="str">
        <f>PROPER(TRIM(Table1[[#This Row],[ReferralSource]]))</f>
        <v>Email</v>
      </c>
      <c r="S240" s="5">
        <f>Table1[[#This Row],[TotalPrice]]/Table1[[#This Row],[ItemsInCart]]</f>
        <v>44.23</v>
      </c>
    </row>
    <row r="241" spans="1:19" x14ac:dyDescent="0.3">
      <c r="A241" t="s">
        <v>1014</v>
      </c>
      <c r="B241" s="1">
        <v>45098</v>
      </c>
      <c r="C241" t="s">
        <v>2207</v>
      </c>
      <c r="D241" t="s">
        <v>2407</v>
      </c>
      <c r="E241">
        <v>5</v>
      </c>
      <c r="F241">
        <v>260.93</v>
      </c>
      <c r="G241" t="s">
        <v>3001</v>
      </c>
      <c r="H241" t="s">
        <v>3066</v>
      </c>
      <c r="I241" t="s">
        <v>3073</v>
      </c>
      <c r="J241" t="s">
        <v>4075</v>
      </c>
      <c r="K241">
        <v>9</v>
      </c>
      <c r="L241" t="s">
        <v>4275</v>
      </c>
      <c r="M241" t="s">
        <v>4280</v>
      </c>
      <c r="N241" s="5">
        <v>1304.6500000000001</v>
      </c>
      <c r="O241" t="str">
        <f>IF(ABS(Table1[[#This Row],[TotalPrice]]-Table1[[#This Row],[Quantity]]*Table1[[#This Row],[UnitPrice]]) &lt;0.01, "ok",)</f>
        <v>ok</v>
      </c>
      <c r="P241" t="str">
        <f>PROPER(TRIM(Table1[[#This Row],[ShippingAddress]]))</f>
        <v>582 Main St</v>
      </c>
      <c r="Q241" t="str">
        <f>PROPER(TRIM((Table1[[#This Row],[PaymentMethod]])))</f>
        <v>Online</v>
      </c>
      <c r="R241" t="str">
        <f>PROPER(TRIM(Table1[[#This Row],[ReferralSource]]))</f>
        <v>Email</v>
      </c>
      <c r="S241" s="5">
        <f>Table1[[#This Row],[TotalPrice]]/Table1[[#This Row],[ItemsInCart]]</f>
        <v>144.96111111111111</v>
      </c>
    </row>
    <row r="242" spans="1:19" x14ac:dyDescent="0.3">
      <c r="A242" t="s">
        <v>644</v>
      </c>
      <c r="B242" s="1">
        <v>45100</v>
      </c>
      <c r="C242" t="s">
        <v>1843</v>
      </c>
      <c r="D242" t="s">
        <v>2403</v>
      </c>
      <c r="E242">
        <v>5</v>
      </c>
      <c r="F242">
        <v>248.84</v>
      </c>
      <c r="G242" t="s">
        <v>2851</v>
      </c>
      <c r="H242" t="s">
        <v>3065</v>
      </c>
      <c r="I242" t="s">
        <v>3071</v>
      </c>
      <c r="J242" t="s">
        <v>3705</v>
      </c>
      <c r="K242">
        <v>10</v>
      </c>
      <c r="L242" t="s">
        <v>4283</v>
      </c>
      <c r="M242" t="s">
        <v>4278</v>
      </c>
      <c r="N242" s="5">
        <v>1244.2</v>
      </c>
      <c r="O242" t="str">
        <f>IF(ABS(Table1[[#This Row],[TotalPrice]]-Table1[[#This Row],[Quantity]]*Table1[[#This Row],[UnitPrice]]) &lt;0.01, "ok",)</f>
        <v>ok</v>
      </c>
      <c r="P242" t="str">
        <f>PROPER(TRIM(Table1[[#This Row],[ShippingAddress]]))</f>
        <v>140 Main St</v>
      </c>
      <c r="Q242" t="str">
        <f>PROPER(TRIM((Table1[[#This Row],[PaymentMethod]])))</f>
        <v>Debit Card</v>
      </c>
      <c r="R242" t="str">
        <f>PROPER(TRIM(Table1[[#This Row],[ReferralSource]]))</f>
        <v>Instagram</v>
      </c>
      <c r="S242" s="5">
        <f>Table1[[#This Row],[TotalPrice]]/Table1[[#This Row],[ItemsInCart]]</f>
        <v>124.42</v>
      </c>
    </row>
    <row r="243" spans="1:19" x14ac:dyDescent="0.3">
      <c r="A243" t="s">
        <v>1061</v>
      </c>
      <c r="B243" s="1">
        <v>45100</v>
      </c>
      <c r="C243" t="s">
        <v>2253</v>
      </c>
      <c r="D243" t="s">
        <v>2406</v>
      </c>
      <c r="E243">
        <v>4</v>
      </c>
      <c r="F243">
        <v>540.34</v>
      </c>
      <c r="G243" t="s">
        <v>3015</v>
      </c>
      <c r="H243" t="s">
        <v>3068</v>
      </c>
      <c r="I243" t="s">
        <v>3070</v>
      </c>
      <c r="J243" t="s">
        <v>4122</v>
      </c>
      <c r="K243">
        <v>6</v>
      </c>
      <c r="L243" t="s">
        <v>4277</v>
      </c>
      <c r="M243" t="s">
        <v>4279</v>
      </c>
      <c r="N243" s="5">
        <v>2161.36</v>
      </c>
      <c r="O243" t="str">
        <f>IF(ABS(Table1[[#This Row],[TotalPrice]]-Table1[[#This Row],[Quantity]]*Table1[[#This Row],[UnitPrice]]) &lt;0.01, "ok",)</f>
        <v>ok</v>
      </c>
      <c r="P243" t="str">
        <f>PROPER(TRIM(Table1[[#This Row],[ShippingAddress]]))</f>
        <v>394 Main St</v>
      </c>
      <c r="Q243" t="str">
        <f>PROPER(TRIM((Table1[[#This Row],[PaymentMethod]])))</f>
        <v>Gift Card</v>
      </c>
      <c r="R243" t="str">
        <f>PROPER(TRIM(Table1[[#This Row],[ReferralSource]]))</f>
        <v>Referral</v>
      </c>
      <c r="S243" s="5">
        <f>Table1[[#This Row],[TotalPrice]]/Table1[[#This Row],[ItemsInCart]]</f>
        <v>360.22666666666669</v>
      </c>
    </row>
    <row r="244" spans="1:19" x14ac:dyDescent="0.3">
      <c r="A244" t="s">
        <v>88</v>
      </c>
      <c r="B244" s="1">
        <v>45101</v>
      </c>
      <c r="C244" t="s">
        <v>1288</v>
      </c>
      <c r="D244" t="s">
        <v>2404</v>
      </c>
      <c r="E244">
        <v>5</v>
      </c>
      <c r="F244">
        <v>90.87</v>
      </c>
      <c r="G244" t="s">
        <v>2478</v>
      </c>
      <c r="H244" t="s">
        <v>3069</v>
      </c>
      <c r="I244" t="s">
        <v>3074</v>
      </c>
      <c r="J244" t="s">
        <v>3149</v>
      </c>
      <c r="K244">
        <v>5</v>
      </c>
      <c r="L244" t="s">
        <v>4283</v>
      </c>
      <c r="M244" t="s">
        <v>4278</v>
      </c>
      <c r="N244" s="5">
        <v>454.35</v>
      </c>
      <c r="O244" t="str">
        <f>IF(ABS(Table1[[#This Row],[TotalPrice]]-Table1[[#This Row],[Quantity]]*Table1[[#This Row],[UnitPrice]]) &lt;0.01, "ok",)</f>
        <v>ok</v>
      </c>
      <c r="P244" t="str">
        <f>PROPER(TRIM(Table1[[#This Row],[ShippingAddress]]))</f>
        <v>622 Main St</v>
      </c>
      <c r="Q244" t="str">
        <f>PROPER(TRIM((Table1[[#This Row],[PaymentMethod]])))</f>
        <v>Cash</v>
      </c>
      <c r="R244" t="str">
        <f>PROPER(TRIM(Table1[[#This Row],[ReferralSource]]))</f>
        <v>Instagram</v>
      </c>
      <c r="S244" s="5">
        <f>Table1[[#This Row],[TotalPrice]]/Table1[[#This Row],[ItemsInCart]]</f>
        <v>90.87</v>
      </c>
    </row>
    <row r="245" spans="1:19" x14ac:dyDescent="0.3">
      <c r="A245" t="s">
        <v>470</v>
      </c>
      <c r="B245" s="1">
        <v>45103</v>
      </c>
      <c r="C245" t="s">
        <v>1670</v>
      </c>
      <c r="D245" t="s">
        <v>2409</v>
      </c>
      <c r="E245">
        <v>5</v>
      </c>
      <c r="F245">
        <v>62.81</v>
      </c>
      <c r="G245" t="s">
        <v>2698</v>
      </c>
      <c r="H245" t="s">
        <v>3067</v>
      </c>
      <c r="I245" t="s">
        <v>3070</v>
      </c>
      <c r="J245" t="s">
        <v>3531</v>
      </c>
      <c r="K245">
        <v>9</v>
      </c>
      <c r="L245" t="s">
        <v>4275</v>
      </c>
      <c r="M245" t="s">
        <v>4281</v>
      </c>
      <c r="N245" s="5">
        <v>314.05</v>
      </c>
      <c r="O245" t="str">
        <f>IF(ABS(Table1[[#This Row],[TotalPrice]]-Table1[[#This Row],[Quantity]]*Table1[[#This Row],[UnitPrice]]) &lt;0.01, "ok",)</f>
        <v>ok</v>
      </c>
      <c r="P245" t="str">
        <f>PROPER(TRIM(Table1[[#This Row],[ShippingAddress]]))</f>
        <v>259 Main St</v>
      </c>
      <c r="Q245" t="str">
        <f>PROPER(TRIM((Table1[[#This Row],[PaymentMethod]])))</f>
        <v>Credit Card</v>
      </c>
      <c r="R245" t="str">
        <f>PROPER(TRIM(Table1[[#This Row],[ReferralSource]]))</f>
        <v>Facebook</v>
      </c>
      <c r="S245" s="5">
        <f>Table1[[#This Row],[TotalPrice]]/Table1[[#This Row],[ItemsInCart]]</f>
        <v>34.894444444444446</v>
      </c>
    </row>
    <row r="246" spans="1:19" x14ac:dyDescent="0.3">
      <c r="A246" t="s">
        <v>94</v>
      </c>
      <c r="B246" s="1">
        <v>45104</v>
      </c>
      <c r="C246" t="s">
        <v>1294</v>
      </c>
      <c r="D246" t="s">
        <v>2404</v>
      </c>
      <c r="E246">
        <v>3</v>
      </c>
      <c r="F246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>
        <v>6</v>
      </c>
      <c r="L246" t="s">
        <v>4283</v>
      </c>
      <c r="M246" t="s">
        <v>4281</v>
      </c>
      <c r="N246" s="5">
        <v>1768.68</v>
      </c>
      <c r="O246" t="str">
        <f>IF(ABS(Table1[[#This Row],[TotalPrice]]-Table1[[#This Row],[Quantity]]*Table1[[#This Row],[UnitPrice]]) &lt;0.01, "ok",)</f>
        <v>ok</v>
      </c>
      <c r="P246" t="str">
        <f>PROPER(TRIM(Table1[[#This Row],[ShippingAddress]]))</f>
        <v>591 Main St</v>
      </c>
      <c r="Q246" t="str">
        <f>PROPER(TRIM((Table1[[#This Row],[PaymentMethod]])))</f>
        <v>Online</v>
      </c>
      <c r="R246" t="str">
        <f>PROPER(TRIM(Table1[[#This Row],[ReferralSource]]))</f>
        <v>Facebook</v>
      </c>
      <c r="S246" s="5">
        <f>Table1[[#This Row],[TotalPrice]]/Table1[[#This Row],[ItemsInCart]]</f>
        <v>294.78000000000003</v>
      </c>
    </row>
    <row r="247" spans="1:19" x14ac:dyDescent="0.3">
      <c r="A247" t="s">
        <v>376</v>
      </c>
      <c r="B247" s="1">
        <v>45104</v>
      </c>
      <c r="C247" t="s">
        <v>1576</v>
      </c>
      <c r="D247" t="s">
        <v>2403</v>
      </c>
      <c r="E247">
        <v>4</v>
      </c>
      <c r="F247">
        <v>206.84</v>
      </c>
      <c r="G247" t="s">
        <v>2714</v>
      </c>
      <c r="H247" t="s">
        <v>3069</v>
      </c>
      <c r="I247" t="s">
        <v>3071</v>
      </c>
      <c r="J247" t="s">
        <v>3437</v>
      </c>
      <c r="K247">
        <v>5</v>
      </c>
      <c r="L247" t="s">
        <v>4277</v>
      </c>
      <c r="M247" t="s">
        <v>4278</v>
      </c>
      <c r="N247" s="5">
        <v>827.36</v>
      </c>
      <c r="O247" t="str">
        <f>IF(ABS(Table1[[#This Row],[TotalPrice]]-Table1[[#This Row],[Quantity]]*Table1[[#This Row],[UnitPrice]]) &lt;0.01, "ok",)</f>
        <v>ok</v>
      </c>
      <c r="P247" t="str">
        <f>PROPER(TRIM(Table1[[#This Row],[ShippingAddress]]))</f>
        <v>312 Main St</v>
      </c>
      <c r="Q247" t="str">
        <f>PROPER(TRIM((Table1[[#This Row],[PaymentMethod]])))</f>
        <v>Cash</v>
      </c>
      <c r="R247" t="str">
        <f>PROPER(TRIM(Table1[[#This Row],[ReferralSource]]))</f>
        <v>Instagram</v>
      </c>
      <c r="S247" s="5">
        <f>Table1[[#This Row],[TotalPrice]]/Table1[[#This Row],[ItemsInCart]]</f>
        <v>165.47200000000001</v>
      </c>
    </row>
    <row r="248" spans="1:19" x14ac:dyDescent="0.3">
      <c r="A248" t="s">
        <v>423</v>
      </c>
      <c r="B248" s="1">
        <v>45105</v>
      </c>
      <c r="C248" t="s">
        <v>1623</v>
      </c>
      <c r="D248" t="s">
        <v>2409</v>
      </c>
      <c r="E248">
        <v>5</v>
      </c>
      <c r="F248">
        <v>84.13</v>
      </c>
      <c r="G248" t="s">
        <v>2736</v>
      </c>
      <c r="H248" t="s">
        <v>3066</v>
      </c>
      <c r="I248" t="s">
        <v>3073</v>
      </c>
      <c r="J248" t="s">
        <v>3484</v>
      </c>
      <c r="K248">
        <v>9</v>
      </c>
      <c r="L248" t="s">
        <v>4275</v>
      </c>
      <c r="M248" t="s">
        <v>4282</v>
      </c>
      <c r="N248" s="5">
        <v>420.65</v>
      </c>
      <c r="O248" t="str">
        <f>IF(ABS(Table1[[#This Row],[TotalPrice]]-Table1[[#This Row],[Quantity]]*Table1[[#This Row],[UnitPrice]]) &lt;0.01, "ok",)</f>
        <v>ok</v>
      </c>
      <c r="P248" t="str">
        <f>PROPER(TRIM(Table1[[#This Row],[ShippingAddress]]))</f>
        <v>767 Main St</v>
      </c>
      <c r="Q248" t="str">
        <f>PROPER(TRIM((Table1[[#This Row],[PaymentMethod]])))</f>
        <v>Online</v>
      </c>
      <c r="R248" t="str">
        <f>PROPER(TRIM(Table1[[#This Row],[ReferralSource]]))</f>
        <v>Google</v>
      </c>
      <c r="S248" s="5">
        <f>Table1[[#This Row],[TotalPrice]]/Table1[[#This Row],[ItemsInCart]]</f>
        <v>46.738888888888887</v>
      </c>
    </row>
    <row r="249" spans="1:19" x14ac:dyDescent="0.3">
      <c r="A249" t="s">
        <v>1108</v>
      </c>
      <c r="B249" s="1">
        <v>45105</v>
      </c>
      <c r="C249" t="s">
        <v>2300</v>
      </c>
      <c r="D249" t="s">
        <v>2407</v>
      </c>
      <c r="E249">
        <v>4</v>
      </c>
      <c r="F249">
        <v>648.91</v>
      </c>
      <c r="G249" t="s">
        <v>3027</v>
      </c>
      <c r="H249" t="s">
        <v>3067</v>
      </c>
      <c r="I249" t="s">
        <v>3070</v>
      </c>
      <c r="J249" t="s">
        <v>4169</v>
      </c>
      <c r="K249">
        <v>6</v>
      </c>
      <c r="L249" t="s">
        <v>4275</v>
      </c>
      <c r="M249" t="s">
        <v>4278</v>
      </c>
      <c r="N249" s="5">
        <v>2595.64</v>
      </c>
      <c r="O249" t="str">
        <f>IF(ABS(Table1[[#This Row],[TotalPrice]]-Table1[[#This Row],[Quantity]]*Table1[[#This Row],[UnitPrice]]) &lt;0.01, "ok",)</f>
        <v>ok</v>
      </c>
      <c r="P249" t="str">
        <f>PROPER(TRIM(Table1[[#This Row],[ShippingAddress]]))</f>
        <v>615 Main St</v>
      </c>
      <c r="Q249" t="str">
        <f>PROPER(TRIM((Table1[[#This Row],[PaymentMethod]])))</f>
        <v>Credit Card</v>
      </c>
      <c r="R249" t="str">
        <f>PROPER(TRIM(Table1[[#This Row],[ReferralSource]]))</f>
        <v>Instagram</v>
      </c>
      <c r="S249" s="5">
        <f>Table1[[#This Row],[TotalPrice]]/Table1[[#This Row],[ItemsInCart]]</f>
        <v>432.60666666666663</v>
      </c>
    </row>
    <row r="250" spans="1:19" x14ac:dyDescent="0.3">
      <c r="A250" t="s">
        <v>339</v>
      </c>
      <c r="B250" s="1">
        <v>45106</v>
      </c>
      <c r="C250" t="s">
        <v>1539</v>
      </c>
      <c r="D250" t="s">
        <v>2409</v>
      </c>
      <c r="E250">
        <v>3</v>
      </c>
      <c r="F250">
        <v>361.39</v>
      </c>
      <c r="G250" t="s">
        <v>2683</v>
      </c>
      <c r="H250" t="s">
        <v>3067</v>
      </c>
      <c r="I250" t="s">
        <v>3070</v>
      </c>
      <c r="J250" t="s">
        <v>3400</v>
      </c>
      <c r="K250">
        <v>8</v>
      </c>
      <c r="L250" t="s">
        <v>4283</v>
      </c>
      <c r="M250" t="s">
        <v>4279</v>
      </c>
      <c r="N250" s="5">
        <v>1084.17</v>
      </c>
      <c r="O250" t="str">
        <f>IF(ABS(Table1[[#This Row],[TotalPrice]]-Table1[[#This Row],[Quantity]]*Table1[[#This Row],[UnitPrice]]) &lt;0.01, "ok",)</f>
        <v>ok</v>
      </c>
      <c r="P250" t="str">
        <f>PROPER(TRIM(Table1[[#This Row],[ShippingAddress]]))</f>
        <v>665 Main St</v>
      </c>
      <c r="Q250" t="str">
        <f>PROPER(TRIM((Table1[[#This Row],[PaymentMethod]])))</f>
        <v>Credit Card</v>
      </c>
      <c r="R250" t="str">
        <f>PROPER(TRIM(Table1[[#This Row],[ReferralSource]]))</f>
        <v>Referral</v>
      </c>
      <c r="S250" s="5">
        <f>Table1[[#This Row],[TotalPrice]]/Table1[[#This Row],[ItemsInCart]]</f>
        <v>135.52125000000001</v>
      </c>
    </row>
    <row r="251" spans="1:19" x14ac:dyDescent="0.3">
      <c r="A251" t="s">
        <v>571</v>
      </c>
      <c r="B251" s="1">
        <v>45106</v>
      </c>
      <c r="C251" t="s">
        <v>1771</v>
      </c>
      <c r="D251" t="s">
        <v>2405</v>
      </c>
      <c r="E251">
        <v>1</v>
      </c>
      <c r="F251">
        <v>56.2</v>
      </c>
      <c r="G251" t="s">
        <v>2818</v>
      </c>
      <c r="H251" t="s">
        <v>3065</v>
      </c>
      <c r="I251" t="s">
        <v>3074</v>
      </c>
      <c r="J251" t="s">
        <v>3632</v>
      </c>
      <c r="K251">
        <v>1</v>
      </c>
      <c r="L251" t="s">
        <v>4277</v>
      </c>
      <c r="M251" t="s">
        <v>4281</v>
      </c>
      <c r="N251" s="5">
        <v>56.2</v>
      </c>
      <c r="O251" t="str">
        <f>IF(ABS(Table1[[#This Row],[TotalPrice]]-Table1[[#This Row],[Quantity]]*Table1[[#This Row],[UnitPrice]]) &lt;0.01, "ok",)</f>
        <v>ok</v>
      </c>
      <c r="P251" t="str">
        <f>PROPER(TRIM(Table1[[#This Row],[ShippingAddress]]))</f>
        <v>130 Main St</v>
      </c>
      <c r="Q251" t="str">
        <f>PROPER(TRIM((Table1[[#This Row],[PaymentMethod]])))</f>
        <v>Debit Card</v>
      </c>
      <c r="R251" t="str">
        <f>PROPER(TRIM(Table1[[#This Row],[ReferralSource]]))</f>
        <v>Facebook</v>
      </c>
      <c r="S251" s="5">
        <f>Table1[[#This Row],[TotalPrice]]/Table1[[#This Row],[ItemsInCart]]</f>
        <v>56.2</v>
      </c>
    </row>
    <row r="252" spans="1:19" x14ac:dyDescent="0.3">
      <c r="A252" t="s">
        <v>45</v>
      </c>
      <c r="B252" s="1">
        <v>45107</v>
      </c>
      <c r="C252" t="s">
        <v>1245</v>
      </c>
      <c r="D252" t="s">
        <v>2406</v>
      </c>
      <c r="E252">
        <v>3</v>
      </c>
      <c r="F252">
        <v>500.08</v>
      </c>
      <c r="G252" t="s">
        <v>2441</v>
      </c>
      <c r="H252" t="s">
        <v>3065</v>
      </c>
      <c r="I252" t="s">
        <v>3072</v>
      </c>
      <c r="J252" t="s">
        <v>3106</v>
      </c>
      <c r="K252">
        <v>6</v>
      </c>
      <c r="L252" t="s">
        <v>4283</v>
      </c>
      <c r="M252" t="s">
        <v>4281</v>
      </c>
      <c r="N252" s="5">
        <v>1500.24</v>
      </c>
      <c r="O252" t="str">
        <f>IF(ABS(Table1[[#This Row],[TotalPrice]]-Table1[[#This Row],[Quantity]]*Table1[[#This Row],[UnitPrice]]) &lt;0.01, "ok",)</f>
        <v>ok</v>
      </c>
      <c r="P252" t="str">
        <f>PROPER(TRIM(Table1[[#This Row],[ShippingAddress]]))</f>
        <v>996 Main St</v>
      </c>
      <c r="Q252" t="str">
        <f>PROPER(TRIM((Table1[[#This Row],[PaymentMethod]])))</f>
        <v>Debit Card</v>
      </c>
      <c r="R252" t="str">
        <f>PROPER(TRIM(Table1[[#This Row],[ReferralSource]]))</f>
        <v>Facebook</v>
      </c>
      <c r="S252" s="5">
        <f>Table1[[#This Row],[TotalPrice]]/Table1[[#This Row],[ItemsInCart]]</f>
        <v>250.04</v>
      </c>
    </row>
    <row r="253" spans="1:19" x14ac:dyDescent="0.3">
      <c r="A253" t="s">
        <v>613</v>
      </c>
      <c r="B253" s="1">
        <v>45107</v>
      </c>
      <c r="C253" t="s">
        <v>1813</v>
      </c>
      <c r="D253" t="s">
        <v>2406</v>
      </c>
      <c r="E253">
        <v>3</v>
      </c>
      <c r="F253">
        <v>556.99</v>
      </c>
      <c r="G253" t="s">
        <v>2739</v>
      </c>
      <c r="H253" t="s">
        <v>3066</v>
      </c>
      <c r="I253" t="s">
        <v>3071</v>
      </c>
      <c r="J253" t="s">
        <v>3674</v>
      </c>
      <c r="K253">
        <v>4</v>
      </c>
      <c r="L253" t="s">
        <v>4276</v>
      </c>
      <c r="M253" t="s">
        <v>4281</v>
      </c>
      <c r="N253" s="5">
        <v>1670.97</v>
      </c>
      <c r="O253" t="str">
        <f>IF(ABS(Table1[[#This Row],[TotalPrice]]-Table1[[#This Row],[Quantity]]*Table1[[#This Row],[UnitPrice]]) &lt;0.01, "ok",)</f>
        <v>ok</v>
      </c>
      <c r="P253" t="str">
        <f>PROPER(TRIM(Table1[[#This Row],[ShippingAddress]]))</f>
        <v>123 Main St</v>
      </c>
      <c r="Q253" t="str">
        <f>PROPER(TRIM((Table1[[#This Row],[PaymentMethod]])))</f>
        <v>Online</v>
      </c>
      <c r="R253" t="str">
        <f>PROPER(TRIM(Table1[[#This Row],[ReferralSource]]))</f>
        <v>Facebook</v>
      </c>
      <c r="S253" s="5">
        <f>Table1[[#This Row],[TotalPrice]]/Table1[[#This Row],[ItemsInCart]]</f>
        <v>417.74250000000001</v>
      </c>
    </row>
    <row r="254" spans="1:19" x14ac:dyDescent="0.3">
      <c r="A254" t="s">
        <v>321</v>
      </c>
      <c r="B254" s="1">
        <v>45108</v>
      </c>
      <c r="C254" t="s">
        <v>1521</v>
      </c>
      <c r="D254" t="s">
        <v>2408</v>
      </c>
      <c r="E254">
        <v>3</v>
      </c>
      <c r="F254">
        <v>557.41</v>
      </c>
      <c r="G254" t="s">
        <v>2670</v>
      </c>
      <c r="H254" t="s">
        <v>3066</v>
      </c>
      <c r="I254" t="s">
        <v>3073</v>
      </c>
      <c r="J254" t="s">
        <v>3382</v>
      </c>
      <c r="K254">
        <v>4</v>
      </c>
      <c r="L254" t="s">
        <v>4283</v>
      </c>
      <c r="M254" t="s">
        <v>4280</v>
      </c>
      <c r="N254" s="5">
        <v>1672.23</v>
      </c>
      <c r="O254" t="str">
        <f>IF(ABS(Table1[[#This Row],[TotalPrice]]-Table1[[#This Row],[Quantity]]*Table1[[#This Row],[UnitPrice]]) &lt;0.01, "ok",)</f>
        <v>ok</v>
      </c>
      <c r="P254" t="str">
        <f>PROPER(TRIM(Table1[[#This Row],[ShippingAddress]]))</f>
        <v>135 Main St</v>
      </c>
      <c r="Q254" t="str">
        <f>PROPER(TRIM((Table1[[#This Row],[PaymentMethod]])))</f>
        <v>Online</v>
      </c>
      <c r="R254" t="str">
        <f>PROPER(TRIM(Table1[[#This Row],[ReferralSource]]))</f>
        <v>Email</v>
      </c>
      <c r="S254" s="5">
        <f>Table1[[#This Row],[TotalPrice]]/Table1[[#This Row],[ItemsInCart]]</f>
        <v>418.0575</v>
      </c>
    </row>
    <row r="255" spans="1:19" x14ac:dyDescent="0.3">
      <c r="A255" t="s">
        <v>262</v>
      </c>
      <c r="B255" s="1">
        <v>45109</v>
      </c>
      <c r="C255" t="s">
        <v>1462</v>
      </c>
      <c r="D255" t="s">
        <v>2408</v>
      </c>
      <c r="E255">
        <v>1</v>
      </c>
      <c r="F255">
        <v>670.54</v>
      </c>
      <c r="G255" t="s">
        <v>2625</v>
      </c>
      <c r="H255" t="s">
        <v>3069</v>
      </c>
      <c r="I255" t="s">
        <v>3070</v>
      </c>
      <c r="J255" t="s">
        <v>3323</v>
      </c>
      <c r="K255">
        <v>6</v>
      </c>
      <c r="L255" t="s">
        <v>4276</v>
      </c>
      <c r="M255" t="s">
        <v>4279</v>
      </c>
      <c r="N255" s="5">
        <v>670.54</v>
      </c>
      <c r="O255" t="str">
        <f>IF(ABS(Table1[[#This Row],[TotalPrice]]-Table1[[#This Row],[Quantity]]*Table1[[#This Row],[UnitPrice]]) &lt;0.01, "ok",)</f>
        <v>ok</v>
      </c>
      <c r="P255" t="str">
        <f>PROPER(TRIM(Table1[[#This Row],[ShippingAddress]]))</f>
        <v>471 Main St</v>
      </c>
      <c r="Q255" t="str">
        <f>PROPER(TRIM((Table1[[#This Row],[PaymentMethod]])))</f>
        <v>Cash</v>
      </c>
      <c r="R255" t="str">
        <f>PROPER(TRIM(Table1[[#This Row],[ReferralSource]]))</f>
        <v>Referral</v>
      </c>
      <c r="S255" s="5">
        <f>Table1[[#This Row],[TotalPrice]]/Table1[[#This Row],[ItemsInCart]]</f>
        <v>111.75666666666666</v>
      </c>
    </row>
    <row r="256" spans="1:19" x14ac:dyDescent="0.3">
      <c r="A256" t="s">
        <v>710</v>
      </c>
      <c r="B256" s="1">
        <v>45109</v>
      </c>
      <c r="C256" t="s">
        <v>1908</v>
      </c>
      <c r="D256" t="s">
        <v>2406</v>
      </c>
      <c r="E256">
        <v>4</v>
      </c>
      <c r="F256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>
        <v>9</v>
      </c>
      <c r="L256" t="s">
        <v>4277</v>
      </c>
      <c r="M256" t="s">
        <v>4281</v>
      </c>
      <c r="N256" s="5">
        <v>604.79999999999995</v>
      </c>
      <c r="O256" t="str">
        <f>IF(ABS(Table1[[#This Row],[TotalPrice]]-Table1[[#This Row],[Quantity]]*Table1[[#This Row],[UnitPrice]]) &lt;0.01, "ok",)</f>
        <v>ok</v>
      </c>
      <c r="P256" t="str">
        <f>PROPER(TRIM(Table1[[#This Row],[ShippingAddress]]))</f>
        <v>965 Main St</v>
      </c>
      <c r="Q256" t="str">
        <f>PROPER(TRIM((Table1[[#This Row],[PaymentMethod]])))</f>
        <v>Gift Card</v>
      </c>
      <c r="R256" t="str">
        <f>PROPER(TRIM(Table1[[#This Row],[ReferralSource]]))</f>
        <v>Facebook</v>
      </c>
      <c r="S256" s="5">
        <f>Table1[[#This Row],[TotalPrice]]/Table1[[#This Row],[ItemsInCart]]</f>
        <v>67.199999999999989</v>
      </c>
    </row>
    <row r="257" spans="1:19" x14ac:dyDescent="0.3">
      <c r="A257" t="s">
        <v>203</v>
      </c>
      <c r="B257" s="1">
        <v>45112</v>
      </c>
      <c r="C257" t="s">
        <v>1403</v>
      </c>
      <c r="D257" t="s">
        <v>2407</v>
      </c>
      <c r="E257">
        <v>5</v>
      </c>
      <c r="F257">
        <v>429.45</v>
      </c>
      <c r="G257" t="s">
        <v>2581</v>
      </c>
      <c r="H257" t="s">
        <v>3068</v>
      </c>
      <c r="I257" t="s">
        <v>3071</v>
      </c>
      <c r="J257" t="s">
        <v>3264</v>
      </c>
      <c r="K257">
        <v>5</v>
      </c>
      <c r="L257" t="s">
        <v>4277</v>
      </c>
      <c r="M257" t="s">
        <v>4280</v>
      </c>
      <c r="N257" s="5">
        <v>2147.25</v>
      </c>
      <c r="O257" t="str">
        <f>IF(ABS(Table1[[#This Row],[TotalPrice]]-Table1[[#This Row],[Quantity]]*Table1[[#This Row],[UnitPrice]]) &lt;0.01, "ok",)</f>
        <v>ok</v>
      </c>
      <c r="P257" t="str">
        <f>PROPER(TRIM(Table1[[#This Row],[ShippingAddress]]))</f>
        <v>597 Main St</v>
      </c>
      <c r="Q257" t="str">
        <f>PROPER(TRIM((Table1[[#This Row],[PaymentMethod]])))</f>
        <v>Gift Card</v>
      </c>
      <c r="R257" t="str">
        <f>PROPER(TRIM(Table1[[#This Row],[ReferralSource]]))</f>
        <v>Email</v>
      </c>
      <c r="S257" s="5">
        <f>Table1[[#This Row],[TotalPrice]]/Table1[[#This Row],[ItemsInCart]]</f>
        <v>429.45</v>
      </c>
    </row>
    <row r="258" spans="1:19" x14ac:dyDescent="0.3">
      <c r="A258" t="s">
        <v>408</v>
      </c>
      <c r="B258" s="1">
        <v>45112</v>
      </c>
      <c r="C258" t="s">
        <v>1608</v>
      </c>
      <c r="D258" t="s">
        <v>2409</v>
      </c>
      <c r="E258">
        <v>5</v>
      </c>
      <c r="F258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>
        <v>10</v>
      </c>
      <c r="L258" t="s">
        <v>4283</v>
      </c>
      <c r="M258" t="s">
        <v>4281</v>
      </c>
      <c r="N258" s="5">
        <v>2647.75</v>
      </c>
      <c r="O258" t="str">
        <f>IF(ABS(Table1[[#This Row],[TotalPrice]]-Table1[[#This Row],[Quantity]]*Table1[[#This Row],[UnitPrice]]) &lt;0.01, "ok",)</f>
        <v>ok</v>
      </c>
      <c r="P258" t="str">
        <f>PROPER(TRIM(Table1[[#This Row],[ShippingAddress]]))</f>
        <v>359 Main St</v>
      </c>
      <c r="Q258" t="str">
        <f>PROPER(TRIM((Table1[[#This Row],[PaymentMethod]])))</f>
        <v>Gift Card</v>
      </c>
      <c r="R258" t="str">
        <f>PROPER(TRIM(Table1[[#This Row],[ReferralSource]]))</f>
        <v>Facebook</v>
      </c>
      <c r="S258" s="5">
        <f>Table1[[#This Row],[TotalPrice]]/Table1[[#This Row],[ItemsInCart]]</f>
        <v>264.77499999999998</v>
      </c>
    </row>
    <row r="259" spans="1:19" x14ac:dyDescent="0.3">
      <c r="A259" t="s">
        <v>521</v>
      </c>
      <c r="B259" s="1">
        <v>45112</v>
      </c>
      <c r="C259" t="s">
        <v>1721</v>
      </c>
      <c r="D259" t="s">
        <v>2404</v>
      </c>
      <c r="E259">
        <v>1</v>
      </c>
      <c r="F259">
        <v>171.59</v>
      </c>
      <c r="G259" t="s">
        <v>2684</v>
      </c>
      <c r="H259" t="s">
        <v>3067</v>
      </c>
      <c r="I259" t="s">
        <v>3074</v>
      </c>
      <c r="J259" t="s">
        <v>3582</v>
      </c>
      <c r="K259">
        <v>5</v>
      </c>
      <c r="L259" t="s">
        <v>4277</v>
      </c>
      <c r="M259" t="s">
        <v>4280</v>
      </c>
      <c r="N259" s="5">
        <v>171.59</v>
      </c>
      <c r="O259" t="str">
        <f>IF(ABS(Table1[[#This Row],[TotalPrice]]-Table1[[#This Row],[Quantity]]*Table1[[#This Row],[UnitPrice]]) &lt;0.01, "ok",)</f>
        <v>ok</v>
      </c>
      <c r="P259" t="str">
        <f>PROPER(TRIM(Table1[[#This Row],[ShippingAddress]]))</f>
        <v>546 Main St</v>
      </c>
      <c r="Q259" t="str">
        <f>PROPER(TRIM((Table1[[#This Row],[PaymentMethod]])))</f>
        <v>Credit Card</v>
      </c>
      <c r="R259" t="str">
        <f>PROPER(TRIM(Table1[[#This Row],[ReferralSource]]))</f>
        <v>Email</v>
      </c>
      <c r="S259" s="5">
        <f>Table1[[#This Row],[TotalPrice]]/Table1[[#This Row],[ItemsInCart]]</f>
        <v>34.317999999999998</v>
      </c>
    </row>
    <row r="260" spans="1:19" x14ac:dyDescent="0.3">
      <c r="A260" t="s">
        <v>137</v>
      </c>
      <c r="B260" s="1">
        <v>45113</v>
      </c>
      <c r="C260" t="s">
        <v>1337</v>
      </c>
      <c r="D260" t="s">
        <v>2409</v>
      </c>
      <c r="E260">
        <v>3</v>
      </c>
      <c r="F260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>
        <v>5</v>
      </c>
      <c r="L260" t="s">
        <v>4283</v>
      </c>
      <c r="M260" t="s">
        <v>4278</v>
      </c>
      <c r="N260" s="5">
        <v>834.12000000000012</v>
      </c>
      <c r="O260" t="str">
        <f>IF(ABS(Table1[[#This Row],[TotalPrice]]-Table1[[#This Row],[Quantity]]*Table1[[#This Row],[UnitPrice]]) &lt;0.01, "ok",)</f>
        <v>ok</v>
      </c>
      <c r="P260" t="str">
        <f>PROPER(TRIM(Table1[[#This Row],[ShippingAddress]]))</f>
        <v>727 Main St</v>
      </c>
      <c r="Q260" t="str">
        <f>PROPER(TRIM((Table1[[#This Row],[PaymentMethod]])))</f>
        <v>Online</v>
      </c>
      <c r="R260" t="str">
        <f>PROPER(TRIM(Table1[[#This Row],[ReferralSource]]))</f>
        <v>Instagram</v>
      </c>
      <c r="S260" s="5">
        <f>Table1[[#This Row],[TotalPrice]]/Table1[[#This Row],[ItemsInCart]]</f>
        <v>166.82400000000001</v>
      </c>
    </row>
    <row r="261" spans="1:19" x14ac:dyDescent="0.3">
      <c r="A261" t="s">
        <v>783</v>
      </c>
      <c r="B261" s="1">
        <v>45113</v>
      </c>
      <c r="C261" t="s">
        <v>1980</v>
      </c>
      <c r="D261" t="s">
        <v>2407</v>
      </c>
      <c r="E261">
        <v>4</v>
      </c>
      <c r="F261">
        <v>678.55</v>
      </c>
      <c r="G261" t="s">
        <v>2438</v>
      </c>
      <c r="H261" t="s">
        <v>3069</v>
      </c>
      <c r="I261" t="s">
        <v>3073</v>
      </c>
      <c r="J261" t="s">
        <v>3844</v>
      </c>
      <c r="K261">
        <v>5</v>
      </c>
      <c r="L261" t="s">
        <v>4283</v>
      </c>
      <c r="M261" t="s">
        <v>4280</v>
      </c>
      <c r="N261" s="5">
        <v>2714.2</v>
      </c>
      <c r="O261" t="str">
        <f>IF(ABS(Table1[[#This Row],[TotalPrice]]-Table1[[#This Row],[Quantity]]*Table1[[#This Row],[UnitPrice]]) &lt;0.01, "ok",)</f>
        <v>ok</v>
      </c>
      <c r="P261" t="str">
        <f>PROPER(TRIM(Table1[[#This Row],[ShippingAddress]]))</f>
        <v>568 Main St</v>
      </c>
      <c r="Q261" t="str">
        <f>PROPER(TRIM((Table1[[#This Row],[PaymentMethod]])))</f>
        <v>Cash</v>
      </c>
      <c r="R261" t="str">
        <f>PROPER(TRIM(Table1[[#This Row],[ReferralSource]]))</f>
        <v>Email</v>
      </c>
      <c r="S261" s="5">
        <f>Table1[[#This Row],[TotalPrice]]/Table1[[#This Row],[ItemsInCart]]</f>
        <v>542.83999999999992</v>
      </c>
    </row>
    <row r="262" spans="1:19" x14ac:dyDescent="0.3">
      <c r="A262" t="s">
        <v>643</v>
      </c>
      <c r="B262" s="1">
        <v>45114</v>
      </c>
      <c r="C262" t="s">
        <v>1842</v>
      </c>
      <c r="D262" t="s">
        <v>2404</v>
      </c>
      <c r="E262">
        <v>3</v>
      </c>
      <c r="F262">
        <v>19.73</v>
      </c>
      <c r="G262" t="s">
        <v>2850</v>
      </c>
      <c r="H262" t="s">
        <v>3066</v>
      </c>
      <c r="I262" t="s">
        <v>3074</v>
      </c>
      <c r="J262" t="s">
        <v>3704</v>
      </c>
      <c r="K262">
        <v>3</v>
      </c>
      <c r="L262" t="s">
        <v>4283</v>
      </c>
      <c r="M262" t="s">
        <v>4279</v>
      </c>
      <c r="N262" s="5">
        <v>59.19</v>
      </c>
      <c r="O262" t="str">
        <f>IF(ABS(Table1[[#This Row],[TotalPrice]]-Table1[[#This Row],[Quantity]]*Table1[[#This Row],[UnitPrice]]) &lt;0.01, "ok",)</f>
        <v>ok</v>
      </c>
      <c r="P262" t="str">
        <f>PROPER(TRIM(Table1[[#This Row],[ShippingAddress]]))</f>
        <v>840 Main St</v>
      </c>
      <c r="Q262" t="str">
        <f>PROPER(TRIM((Table1[[#This Row],[PaymentMethod]])))</f>
        <v>Online</v>
      </c>
      <c r="R262" t="str">
        <f>PROPER(TRIM(Table1[[#This Row],[ReferralSource]]))</f>
        <v>Referral</v>
      </c>
      <c r="S262" s="5">
        <f>Table1[[#This Row],[TotalPrice]]/Table1[[#This Row],[ItemsInCart]]</f>
        <v>19.73</v>
      </c>
    </row>
    <row r="263" spans="1:19" x14ac:dyDescent="0.3">
      <c r="A263" t="s">
        <v>371</v>
      </c>
      <c r="B263" s="1">
        <v>45115</v>
      </c>
      <c r="C263" t="s">
        <v>1571</v>
      </c>
      <c r="D263" t="s">
        <v>2408</v>
      </c>
      <c r="E263">
        <v>5</v>
      </c>
      <c r="F263">
        <v>408.56</v>
      </c>
      <c r="G263" t="s">
        <v>2692</v>
      </c>
      <c r="H263" t="s">
        <v>3065</v>
      </c>
      <c r="I263" t="s">
        <v>3073</v>
      </c>
      <c r="J263" t="s">
        <v>3432</v>
      </c>
      <c r="K263">
        <v>8</v>
      </c>
      <c r="L263" t="s">
        <v>4276</v>
      </c>
      <c r="M263" t="s">
        <v>4278</v>
      </c>
      <c r="N263" s="5">
        <v>2042.8</v>
      </c>
      <c r="O263" t="str">
        <f>IF(ABS(Table1[[#This Row],[TotalPrice]]-Table1[[#This Row],[Quantity]]*Table1[[#This Row],[UnitPrice]]) &lt;0.01, "ok",)</f>
        <v>ok</v>
      </c>
      <c r="P263" t="str">
        <f>PROPER(TRIM(Table1[[#This Row],[ShippingAddress]]))</f>
        <v>398 Main St</v>
      </c>
      <c r="Q263" t="str">
        <f>PROPER(TRIM((Table1[[#This Row],[PaymentMethod]])))</f>
        <v>Debit Card</v>
      </c>
      <c r="R263" t="str">
        <f>PROPER(TRIM(Table1[[#This Row],[ReferralSource]]))</f>
        <v>Instagram</v>
      </c>
      <c r="S263" s="5">
        <f>Table1[[#This Row],[TotalPrice]]/Table1[[#This Row],[ItemsInCart]]</f>
        <v>255.35</v>
      </c>
    </row>
    <row r="264" spans="1:19" x14ac:dyDescent="0.3">
      <c r="A264" t="s">
        <v>1032</v>
      </c>
      <c r="B264" s="1">
        <v>45115</v>
      </c>
      <c r="C264" t="s">
        <v>2224</v>
      </c>
      <c r="D264" t="s">
        <v>2408</v>
      </c>
      <c r="E264">
        <v>3</v>
      </c>
      <c r="F264">
        <v>182.48</v>
      </c>
      <c r="G264" t="s">
        <v>3004</v>
      </c>
      <c r="H264" t="s">
        <v>3069</v>
      </c>
      <c r="I264" t="s">
        <v>3073</v>
      </c>
      <c r="J264" t="s">
        <v>4093</v>
      </c>
      <c r="K264">
        <v>3</v>
      </c>
      <c r="L264" t="s">
        <v>4283</v>
      </c>
      <c r="M264" t="s">
        <v>4278</v>
      </c>
      <c r="N264" s="5">
        <v>547.43999999999994</v>
      </c>
      <c r="O264" t="str">
        <f>IF(ABS(Table1[[#This Row],[TotalPrice]]-Table1[[#This Row],[Quantity]]*Table1[[#This Row],[UnitPrice]]) &lt;0.01, "ok",)</f>
        <v>ok</v>
      </c>
      <c r="P264" t="str">
        <f>PROPER(TRIM(Table1[[#This Row],[ShippingAddress]]))</f>
        <v>209 Main St</v>
      </c>
      <c r="Q264" t="str">
        <f>PROPER(TRIM((Table1[[#This Row],[PaymentMethod]])))</f>
        <v>Cash</v>
      </c>
      <c r="R264" t="str">
        <f>PROPER(TRIM(Table1[[#This Row],[ReferralSource]]))</f>
        <v>Instagram</v>
      </c>
      <c r="S264" s="5">
        <f>Table1[[#This Row],[TotalPrice]]/Table1[[#This Row],[ItemsInCart]]</f>
        <v>182.48</v>
      </c>
    </row>
    <row r="265" spans="1:19" x14ac:dyDescent="0.3">
      <c r="A265" t="s">
        <v>327</v>
      </c>
      <c r="B265" s="1">
        <v>45116</v>
      </c>
      <c r="C265" t="s">
        <v>1527</v>
      </c>
      <c r="D265" t="s">
        <v>2406</v>
      </c>
      <c r="E265">
        <v>2</v>
      </c>
      <c r="F265">
        <v>434.3</v>
      </c>
      <c r="G265" t="s">
        <v>2674</v>
      </c>
      <c r="H265" t="s">
        <v>3069</v>
      </c>
      <c r="I265" t="s">
        <v>3073</v>
      </c>
      <c r="J265" t="s">
        <v>3388</v>
      </c>
      <c r="K265">
        <v>7</v>
      </c>
      <c r="L265" t="s">
        <v>4275</v>
      </c>
      <c r="M265" t="s">
        <v>4278</v>
      </c>
      <c r="N265" s="5">
        <v>868.6</v>
      </c>
      <c r="O265" t="str">
        <f>IF(ABS(Table1[[#This Row],[TotalPrice]]-Table1[[#This Row],[Quantity]]*Table1[[#This Row],[UnitPrice]]) &lt;0.01, "ok",)</f>
        <v>ok</v>
      </c>
      <c r="P265" t="str">
        <f>PROPER(TRIM(Table1[[#This Row],[ShippingAddress]]))</f>
        <v>978 Main St</v>
      </c>
      <c r="Q265" t="str">
        <f>PROPER(TRIM((Table1[[#This Row],[PaymentMethod]])))</f>
        <v>Cash</v>
      </c>
      <c r="R265" t="str">
        <f>PROPER(TRIM(Table1[[#This Row],[ReferralSource]]))</f>
        <v>Instagram</v>
      </c>
      <c r="S265" s="5">
        <f>Table1[[#This Row],[TotalPrice]]/Table1[[#This Row],[ItemsInCart]]</f>
        <v>124.08571428571429</v>
      </c>
    </row>
    <row r="266" spans="1:19" x14ac:dyDescent="0.3">
      <c r="A266" t="s">
        <v>886</v>
      </c>
      <c r="B266" s="1">
        <v>45117</v>
      </c>
      <c r="C266" t="s">
        <v>2082</v>
      </c>
      <c r="D266" t="s">
        <v>2406</v>
      </c>
      <c r="E266">
        <v>4</v>
      </c>
      <c r="F266">
        <v>629.34</v>
      </c>
      <c r="G266" t="s">
        <v>2590</v>
      </c>
      <c r="H266" t="s">
        <v>3069</v>
      </c>
      <c r="I266" t="s">
        <v>3070</v>
      </c>
      <c r="J266" t="s">
        <v>3947</v>
      </c>
      <c r="K266">
        <v>7</v>
      </c>
      <c r="L266" t="s">
        <v>4283</v>
      </c>
      <c r="M266" t="s">
        <v>4280</v>
      </c>
      <c r="N266" s="5">
        <v>2517.36</v>
      </c>
      <c r="O266" t="str">
        <f>IF(ABS(Table1[[#This Row],[TotalPrice]]-Table1[[#This Row],[Quantity]]*Table1[[#This Row],[UnitPrice]]) &lt;0.01, "ok",)</f>
        <v>ok</v>
      </c>
      <c r="P266" t="str">
        <f>PROPER(TRIM(Table1[[#This Row],[ShippingAddress]]))</f>
        <v>172 Main St</v>
      </c>
      <c r="Q266" t="str">
        <f>PROPER(TRIM((Table1[[#This Row],[PaymentMethod]])))</f>
        <v>Cash</v>
      </c>
      <c r="R266" t="str">
        <f>PROPER(TRIM(Table1[[#This Row],[ReferralSource]]))</f>
        <v>Email</v>
      </c>
      <c r="S266" s="5">
        <f>Table1[[#This Row],[TotalPrice]]/Table1[[#This Row],[ItemsInCart]]</f>
        <v>359.62285714285719</v>
      </c>
    </row>
    <row r="267" spans="1:19" x14ac:dyDescent="0.3">
      <c r="A267" t="s">
        <v>368</v>
      </c>
      <c r="B267" s="1">
        <v>45118</v>
      </c>
      <c r="C267" t="s">
        <v>1568</v>
      </c>
      <c r="D267" t="s">
        <v>2404</v>
      </c>
      <c r="E267">
        <v>1</v>
      </c>
      <c r="F267">
        <v>693.41</v>
      </c>
      <c r="G267" t="s">
        <v>2707</v>
      </c>
      <c r="H267" t="s">
        <v>3065</v>
      </c>
      <c r="I267" t="s">
        <v>3070</v>
      </c>
      <c r="J267" t="s">
        <v>3429</v>
      </c>
      <c r="K267">
        <v>4</v>
      </c>
      <c r="L267" t="s">
        <v>4283</v>
      </c>
      <c r="M267" t="s">
        <v>4278</v>
      </c>
      <c r="N267" s="5">
        <v>693.41</v>
      </c>
      <c r="O267" t="str">
        <f>IF(ABS(Table1[[#This Row],[TotalPrice]]-Table1[[#This Row],[Quantity]]*Table1[[#This Row],[UnitPrice]]) &lt;0.01, "ok",)</f>
        <v>ok</v>
      </c>
      <c r="P267" t="str">
        <f>PROPER(TRIM(Table1[[#This Row],[ShippingAddress]]))</f>
        <v>992 Main St</v>
      </c>
      <c r="Q267" t="str">
        <f>PROPER(TRIM((Table1[[#This Row],[PaymentMethod]])))</f>
        <v>Debit Card</v>
      </c>
      <c r="R267" t="str">
        <f>PROPER(TRIM(Table1[[#This Row],[ReferralSource]]))</f>
        <v>Instagram</v>
      </c>
      <c r="S267" s="5">
        <f>Table1[[#This Row],[TotalPrice]]/Table1[[#This Row],[ItemsInCart]]</f>
        <v>173.35249999999999</v>
      </c>
    </row>
    <row r="268" spans="1:19" x14ac:dyDescent="0.3">
      <c r="A268" t="s">
        <v>254</v>
      </c>
      <c r="B268" s="1">
        <v>45119</v>
      </c>
      <c r="C268" t="s">
        <v>1454</v>
      </c>
      <c r="D268" t="s">
        <v>2405</v>
      </c>
      <c r="E268">
        <v>1</v>
      </c>
      <c r="F268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>
        <v>2</v>
      </c>
      <c r="L268" t="s">
        <v>4276</v>
      </c>
      <c r="M268" t="s">
        <v>4278</v>
      </c>
      <c r="N268" s="5">
        <v>17.239999999999998</v>
      </c>
      <c r="O268" t="str">
        <f>IF(ABS(Table1[[#This Row],[TotalPrice]]-Table1[[#This Row],[Quantity]]*Table1[[#This Row],[UnitPrice]]) &lt;0.01, "ok",)</f>
        <v>ok</v>
      </c>
      <c r="P268" t="str">
        <f>PROPER(TRIM(Table1[[#This Row],[ShippingAddress]]))</f>
        <v>255 Main St</v>
      </c>
      <c r="Q268" t="str">
        <f>PROPER(TRIM((Table1[[#This Row],[PaymentMethod]])))</f>
        <v>Online</v>
      </c>
      <c r="R268" t="str">
        <f>PROPER(TRIM(Table1[[#This Row],[ReferralSource]]))</f>
        <v>Instagram</v>
      </c>
      <c r="S268" s="5">
        <f>Table1[[#This Row],[TotalPrice]]/Table1[[#This Row],[ItemsInCart]]</f>
        <v>8.6199999999999992</v>
      </c>
    </row>
    <row r="269" spans="1:19" x14ac:dyDescent="0.3">
      <c r="A269" t="s">
        <v>512</v>
      </c>
      <c r="B269" s="1">
        <v>45119</v>
      </c>
      <c r="C269" t="s">
        <v>1712</v>
      </c>
      <c r="D269" t="s">
        <v>2405</v>
      </c>
      <c r="E269">
        <v>4</v>
      </c>
      <c r="F269">
        <v>132.56</v>
      </c>
      <c r="G269" t="s">
        <v>2622</v>
      </c>
      <c r="H269" t="s">
        <v>3069</v>
      </c>
      <c r="I269" t="s">
        <v>3072</v>
      </c>
      <c r="J269" t="s">
        <v>3573</v>
      </c>
      <c r="K269">
        <v>8</v>
      </c>
      <c r="L269" t="s">
        <v>4277</v>
      </c>
      <c r="M269" t="s">
        <v>4278</v>
      </c>
      <c r="N269" s="5">
        <v>530.24</v>
      </c>
      <c r="O269" t="str">
        <f>IF(ABS(Table1[[#This Row],[TotalPrice]]-Table1[[#This Row],[Quantity]]*Table1[[#This Row],[UnitPrice]]) &lt;0.01, "ok",)</f>
        <v>ok</v>
      </c>
      <c r="P269" t="str">
        <f>PROPER(TRIM(Table1[[#This Row],[ShippingAddress]]))</f>
        <v>306 Main St</v>
      </c>
      <c r="Q269" t="str">
        <f>PROPER(TRIM((Table1[[#This Row],[PaymentMethod]])))</f>
        <v>Cash</v>
      </c>
      <c r="R269" t="str">
        <f>PROPER(TRIM(Table1[[#This Row],[ReferralSource]]))</f>
        <v>Instagram</v>
      </c>
      <c r="S269" s="5">
        <f>Table1[[#This Row],[TotalPrice]]/Table1[[#This Row],[ItemsInCart]]</f>
        <v>66.28</v>
      </c>
    </row>
    <row r="270" spans="1:19" x14ac:dyDescent="0.3">
      <c r="A270" t="s">
        <v>952</v>
      </c>
      <c r="B270" s="1">
        <v>45119</v>
      </c>
      <c r="C270" t="s">
        <v>2148</v>
      </c>
      <c r="D270" t="s">
        <v>2406</v>
      </c>
      <c r="E270">
        <v>3</v>
      </c>
      <c r="F270">
        <v>331.46</v>
      </c>
      <c r="G270" t="s">
        <v>2796</v>
      </c>
      <c r="H270" t="s">
        <v>3067</v>
      </c>
      <c r="I270" t="s">
        <v>3071</v>
      </c>
      <c r="J270" t="s">
        <v>4013</v>
      </c>
      <c r="K270">
        <v>6</v>
      </c>
      <c r="L270" t="s">
        <v>4277</v>
      </c>
      <c r="M270" t="s">
        <v>4279</v>
      </c>
      <c r="N270" s="5">
        <v>994.37999999999988</v>
      </c>
      <c r="O270" t="str">
        <f>IF(ABS(Table1[[#This Row],[TotalPrice]]-Table1[[#This Row],[Quantity]]*Table1[[#This Row],[UnitPrice]]) &lt;0.01, "ok",)</f>
        <v>ok</v>
      </c>
      <c r="P270" t="str">
        <f>PROPER(TRIM(Table1[[#This Row],[ShippingAddress]]))</f>
        <v>696 Main St</v>
      </c>
      <c r="Q270" t="str">
        <f>PROPER(TRIM((Table1[[#This Row],[PaymentMethod]])))</f>
        <v>Credit Card</v>
      </c>
      <c r="R270" t="str">
        <f>PROPER(TRIM(Table1[[#This Row],[ReferralSource]]))</f>
        <v>Referral</v>
      </c>
      <c r="S270" s="5">
        <f>Table1[[#This Row],[TotalPrice]]/Table1[[#This Row],[ItemsInCart]]</f>
        <v>165.73</v>
      </c>
    </row>
    <row r="271" spans="1:19" x14ac:dyDescent="0.3">
      <c r="A271" t="s">
        <v>1211</v>
      </c>
      <c r="B271" s="1">
        <v>45120</v>
      </c>
      <c r="C271" t="s">
        <v>2400</v>
      </c>
      <c r="D271" t="s">
        <v>2405</v>
      </c>
      <c r="E271">
        <v>2</v>
      </c>
      <c r="F271">
        <v>436.84</v>
      </c>
      <c r="G271" t="s">
        <v>2413</v>
      </c>
      <c r="H271" t="s">
        <v>3066</v>
      </c>
      <c r="I271" t="s">
        <v>3073</v>
      </c>
      <c r="J271" t="s">
        <v>4272</v>
      </c>
      <c r="K271">
        <v>2</v>
      </c>
      <c r="L271" t="s">
        <v>4276</v>
      </c>
      <c r="M271" t="s">
        <v>4278</v>
      </c>
      <c r="N271" s="5">
        <v>873.68</v>
      </c>
      <c r="O271" t="str">
        <f>IF(ABS(Table1[[#This Row],[TotalPrice]]-Table1[[#This Row],[Quantity]]*Table1[[#This Row],[UnitPrice]]) &lt;0.01, "ok",)</f>
        <v>ok</v>
      </c>
      <c r="P271" t="str">
        <f>PROPER(TRIM(Table1[[#This Row],[ShippingAddress]]))</f>
        <v>275 Main St</v>
      </c>
      <c r="Q271" t="str">
        <f>PROPER(TRIM((Table1[[#This Row],[PaymentMethod]])))</f>
        <v>Online</v>
      </c>
      <c r="R271" t="str">
        <f>PROPER(TRIM(Table1[[#This Row],[ReferralSource]]))</f>
        <v>Instagram</v>
      </c>
      <c r="S271" s="5">
        <f>Table1[[#This Row],[TotalPrice]]/Table1[[#This Row],[ItemsInCart]]</f>
        <v>436.84</v>
      </c>
    </row>
    <row r="272" spans="1:19" x14ac:dyDescent="0.3">
      <c r="A272" t="s">
        <v>404</v>
      </c>
      <c r="B272" s="1">
        <v>45121</v>
      </c>
      <c r="C272" t="s">
        <v>1604</v>
      </c>
      <c r="D272" t="s">
        <v>2407</v>
      </c>
      <c r="E272">
        <v>5</v>
      </c>
      <c r="F272">
        <v>508.69</v>
      </c>
      <c r="G272" t="s">
        <v>2701</v>
      </c>
      <c r="H272" t="s">
        <v>3069</v>
      </c>
      <c r="I272" t="s">
        <v>3073</v>
      </c>
      <c r="J272" t="s">
        <v>3465</v>
      </c>
      <c r="K272">
        <v>10</v>
      </c>
      <c r="L272" t="s">
        <v>4276</v>
      </c>
      <c r="M272" t="s">
        <v>4282</v>
      </c>
      <c r="N272" s="5">
        <v>2543.4499999999998</v>
      </c>
      <c r="O272" t="str">
        <f>IF(ABS(Table1[[#This Row],[TotalPrice]]-Table1[[#This Row],[Quantity]]*Table1[[#This Row],[UnitPrice]]) &lt;0.01, "ok",)</f>
        <v>ok</v>
      </c>
      <c r="P272" t="str">
        <f>PROPER(TRIM(Table1[[#This Row],[ShippingAddress]]))</f>
        <v>885 Main St</v>
      </c>
      <c r="Q272" t="str">
        <f>PROPER(TRIM((Table1[[#This Row],[PaymentMethod]])))</f>
        <v>Cash</v>
      </c>
      <c r="R272" t="str">
        <f>PROPER(TRIM(Table1[[#This Row],[ReferralSource]]))</f>
        <v>Google</v>
      </c>
      <c r="S272" s="5">
        <f>Table1[[#This Row],[TotalPrice]]/Table1[[#This Row],[ItemsInCart]]</f>
        <v>254.34499999999997</v>
      </c>
    </row>
    <row r="273" spans="1:19" x14ac:dyDescent="0.3">
      <c r="A273" t="s">
        <v>1179</v>
      </c>
      <c r="B273" s="1">
        <v>45121</v>
      </c>
      <c r="C273" t="s">
        <v>2368</v>
      </c>
      <c r="D273" t="s">
        <v>2406</v>
      </c>
      <c r="E273">
        <v>3</v>
      </c>
      <c r="F273">
        <v>223.79</v>
      </c>
      <c r="G273" t="s">
        <v>3051</v>
      </c>
      <c r="H273" t="s">
        <v>3065</v>
      </c>
      <c r="I273" t="s">
        <v>3074</v>
      </c>
      <c r="J273" t="s">
        <v>4240</v>
      </c>
      <c r="K273">
        <v>3</v>
      </c>
      <c r="L273" t="s">
        <v>4283</v>
      </c>
      <c r="M273" t="s">
        <v>4282</v>
      </c>
      <c r="N273" s="5">
        <v>671.37</v>
      </c>
      <c r="O273" t="str">
        <f>IF(ABS(Table1[[#This Row],[TotalPrice]]-Table1[[#This Row],[Quantity]]*Table1[[#This Row],[UnitPrice]]) &lt;0.01, "ok",)</f>
        <v>ok</v>
      </c>
      <c r="P273" t="str">
        <f>PROPER(TRIM(Table1[[#This Row],[ShippingAddress]]))</f>
        <v>617 Main St</v>
      </c>
      <c r="Q273" t="str">
        <f>PROPER(TRIM((Table1[[#This Row],[PaymentMethod]])))</f>
        <v>Debit Card</v>
      </c>
      <c r="R273" t="str">
        <f>PROPER(TRIM(Table1[[#This Row],[ReferralSource]]))</f>
        <v>Google</v>
      </c>
      <c r="S273" s="5">
        <f>Table1[[#This Row],[TotalPrice]]/Table1[[#This Row],[ItemsInCart]]</f>
        <v>223.79</v>
      </c>
    </row>
    <row r="274" spans="1:19" x14ac:dyDescent="0.3">
      <c r="A274" t="s">
        <v>29</v>
      </c>
      <c r="B274" s="1">
        <v>45124</v>
      </c>
      <c r="C274" t="s">
        <v>1229</v>
      </c>
      <c r="D274" t="s">
        <v>2407</v>
      </c>
      <c r="E274">
        <v>1</v>
      </c>
      <c r="F274">
        <v>473.96</v>
      </c>
      <c r="G274" t="s">
        <v>2425</v>
      </c>
      <c r="H274" t="s">
        <v>3069</v>
      </c>
      <c r="I274" t="s">
        <v>3073</v>
      </c>
      <c r="J274" t="s">
        <v>3090</v>
      </c>
      <c r="K274">
        <v>3</v>
      </c>
      <c r="L274" t="s">
        <v>4283</v>
      </c>
      <c r="M274" t="s">
        <v>4282</v>
      </c>
      <c r="N274" s="5">
        <v>473.96</v>
      </c>
      <c r="O274" t="str">
        <f>IF(ABS(Table1[[#This Row],[TotalPrice]]-Table1[[#This Row],[Quantity]]*Table1[[#This Row],[UnitPrice]]) &lt;0.01, "ok",)</f>
        <v>ok</v>
      </c>
      <c r="P274" t="str">
        <f>PROPER(TRIM(Table1[[#This Row],[ShippingAddress]]))</f>
        <v>942 Main St</v>
      </c>
      <c r="Q274" t="str">
        <f>PROPER(TRIM((Table1[[#This Row],[PaymentMethod]])))</f>
        <v>Cash</v>
      </c>
      <c r="R274" t="str">
        <f>PROPER(TRIM(Table1[[#This Row],[ReferralSource]]))</f>
        <v>Google</v>
      </c>
      <c r="S274" s="5">
        <f>Table1[[#This Row],[TotalPrice]]/Table1[[#This Row],[ItemsInCart]]</f>
        <v>157.98666666666665</v>
      </c>
    </row>
    <row r="275" spans="1:19" x14ac:dyDescent="0.3">
      <c r="A275" t="s">
        <v>955</v>
      </c>
      <c r="B275" s="1">
        <v>45124</v>
      </c>
      <c r="C275" t="s">
        <v>1653</v>
      </c>
      <c r="D275" t="s">
        <v>2407</v>
      </c>
      <c r="E275">
        <v>5</v>
      </c>
      <c r="F275">
        <v>111.7</v>
      </c>
      <c r="G275" t="s">
        <v>2690</v>
      </c>
      <c r="H275" t="s">
        <v>3067</v>
      </c>
      <c r="I275" t="s">
        <v>3071</v>
      </c>
      <c r="J275" t="s">
        <v>4016</v>
      </c>
      <c r="K275">
        <v>9</v>
      </c>
      <c r="L275" t="s">
        <v>4276</v>
      </c>
      <c r="M275" t="s">
        <v>4280</v>
      </c>
      <c r="N275" s="5">
        <v>558.5</v>
      </c>
      <c r="O275" t="str">
        <f>IF(ABS(Table1[[#This Row],[TotalPrice]]-Table1[[#This Row],[Quantity]]*Table1[[#This Row],[UnitPrice]]) &lt;0.01, "ok",)</f>
        <v>ok</v>
      </c>
      <c r="P275" t="str">
        <f>PROPER(TRIM(Table1[[#This Row],[ShippingAddress]]))</f>
        <v>599 Main St</v>
      </c>
      <c r="Q275" t="str">
        <f>PROPER(TRIM((Table1[[#This Row],[PaymentMethod]])))</f>
        <v>Credit Card</v>
      </c>
      <c r="R275" t="str">
        <f>PROPER(TRIM(Table1[[#This Row],[ReferralSource]]))</f>
        <v>Email</v>
      </c>
      <c r="S275" s="5">
        <f>Table1[[#This Row],[TotalPrice]]/Table1[[#This Row],[ItemsInCart]]</f>
        <v>62.055555555555557</v>
      </c>
    </row>
    <row r="276" spans="1:19" x14ac:dyDescent="0.3">
      <c r="A276" t="s">
        <v>234</v>
      </c>
      <c r="B276" s="1">
        <v>45125</v>
      </c>
      <c r="C276" t="s">
        <v>1434</v>
      </c>
      <c r="D276" t="s">
        <v>2408</v>
      </c>
      <c r="E276">
        <v>2</v>
      </c>
      <c r="F276">
        <v>373.17</v>
      </c>
      <c r="G276" t="s">
        <v>2601</v>
      </c>
      <c r="H276" t="s">
        <v>3067</v>
      </c>
      <c r="I276" t="s">
        <v>3074</v>
      </c>
      <c r="J276" t="s">
        <v>3295</v>
      </c>
      <c r="K276">
        <v>6</v>
      </c>
      <c r="L276" t="s">
        <v>4275</v>
      </c>
      <c r="M276" t="s">
        <v>4279</v>
      </c>
      <c r="N276" s="5">
        <v>746.34</v>
      </c>
      <c r="O276" t="str">
        <f>IF(ABS(Table1[[#This Row],[TotalPrice]]-Table1[[#This Row],[Quantity]]*Table1[[#This Row],[UnitPrice]]) &lt;0.01, "ok",)</f>
        <v>ok</v>
      </c>
      <c r="P276" t="str">
        <f>PROPER(TRIM(Table1[[#This Row],[ShippingAddress]]))</f>
        <v>497 Main St</v>
      </c>
      <c r="Q276" t="str">
        <f>PROPER(TRIM((Table1[[#This Row],[PaymentMethod]])))</f>
        <v>Credit Card</v>
      </c>
      <c r="R276" t="str">
        <f>PROPER(TRIM(Table1[[#This Row],[ReferralSource]]))</f>
        <v>Referral</v>
      </c>
      <c r="S276" s="5">
        <f>Table1[[#This Row],[TotalPrice]]/Table1[[#This Row],[ItemsInCart]]</f>
        <v>124.39</v>
      </c>
    </row>
    <row r="277" spans="1:19" x14ac:dyDescent="0.3">
      <c r="A277" t="s">
        <v>430</v>
      </c>
      <c r="B277" s="1">
        <v>45125</v>
      </c>
      <c r="C277" t="s">
        <v>1630</v>
      </c>
      <c r="D277" t="s">
        <v>2408</v>
      </c>
      <c r="E277">
        <v>2</v>
      </c>
      <c r="F27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>
        <v>5</v>
      </c>
      <c r="L277" t="s">
        <v>4277</v>
      </c>
      <c r="M277" t="s">
        <v>4279</v>
      </c>
      <c r="N277" s="5">
        <v>1288.0999999999999</v>
      </c>
      <c r="O277" t="str">
        <f>IF(ABS(Table1[[#This Row],[TotalPrice]]-Table1[[#This Row],[Quantity]]*Table1[[#This Row],[UnitPrice]]) &lt;0.01, "ok",)</f>
        <v>ok</v>
      </c>
      <c r="P277" t="str">
        <f>PROPER(TRIM(Table1[[#This Row],[ShippingAddress]]))</f>
        <v>652 Main St</v>
      </c>
      <c r="Q277" t="str">
        <f>PROPER(TRIM((Table1[[#This Row],[PaymentMethod]])))</f>
        <v>Gift Card</v>
      </c>
      <c r="R277" t="str">
        <f>PROPER(TRIM(Table1[[#This Row],[ReferralSource]]))</f>
        <v>Referral</v>
      </c>
      <c r="S277" s="5">
        <f>Table1[[#This Row],[TotalPrice]]/Table1[[#This Row],[ItemsInCart]]</f>
        <v>257.62</v>
      </c>
    </row>
    <row r="278" spans="1:19" x14ac:dyDescent="0.3">
      <c r="A278" t="s">
        <v>480</v>
      </c>
      <c r="B278" s="1">
        <v>45125</v>
      </c>
      <c r="C278" t="s">
        <v>1680</v>
      </c>
      <c r="D278" t="s">
        <v>2404</v>
      </c>
      <c r="E278">
        <v>1</v>
      </c>
      <c r="F278">
        <v>432.47</v>
      </c>
      <c r="G278" t="s">
        <v>2440</v>
      </c>
      <c r="H278" t="s">
        <v>3069</v>
      </c>
      <c r="I278" t="s">
        <v>3073</v>
      </c>
      <c r="J278" t="s">
        <v>3541</v>
      </c>
      <c r="K278">
        <v>4</v>
      </c>
      <c r="L278" t="s">
        <v>4276</v>
      </c>
      <c r="M278" t="s">
        <v>4279</v>
      </c>
      <c r="N278" s="5">
        <v>432.47</v>
      </c>
      <c r="O278" t="str">
        <f>IF(ABS(Table1[[#This Row],[TotalPrice]]-Table1[[#This Row],[Quantity]]*Table1[[#This Row],[UnitPrice]]) &lt;0.01, "ok",)</f>
        <v>ok</v>
      </c>
      <c r="P278" t="str">
        <f>PROPER(TRIM(Table1[[#This Row],[ShippingAddress]]))</f>
        <v>895 Main St</v>
      </c>
      <c r="Q278" t="str">
        <f>PROPER(TRIM((Table1[[#This Row],[PaymentMethod]])))</f>
        <v>Cash</v>
      </c>
      <c r="R278" t="str">
        <f>PROPER(TRIM(Table1[[#This Row],[ReferralSource]]))</f>
        <v>Referral</v>
      </c>
      <c r="S278" s="5">
        <f>Table1[[#This Row],[TotalPrice]]/Table1[[#This Row],[ItemsInCart]]</f>
        <v>108.11750000000001</v>
      </c>
    </row>
    <row r="279" spans="1:19" x14ac:dyDescent="0.3">
      <c r="A279" t="s">
        <v>61</v>
      </c>
      <c r="B279" s="1">
        <v>45126</v>
      </c>
      <c r="C279" t="s">
        <v>1261</v>
      </c>
      <c r="D279" t="s">
        <v>2409</v>
      </c>
      <c r="E279">
        <v>2</v>
      </c>
      <c r="F279">
        <v>209.94</v>
      </c>
      <c r="G279" t="s">
        <v>2455</v>
      </c>
      <c r="H279" t="s">
        <v>3067</v>
      </c>
      <c r="I279" t="s">
        <v>3072</v>
      </c>
      <c r="J279" t="s">
        <v>3122</v>
      </c>
      <c r="K279">
        <v>3</v>
      </c>
      <c r="L279" t="s">
        <v>4276</v>
      </c>
      <c r="M279" t="s">
        <v>4280</v>
      </c>
      <c r="N279" s="5">
        <v>419.88</v>
      </c>
      <c r="O279" t="str">
        <f>IF(ABS(Table1[[#This Row],[TotalPrice]]-Table1[[#This Row],[Quantity]]*Table1[[#This Row],[UnitPrice]]) &lt;0.01, "ok",)</f>
        <v>ok</v>
      </c>
      <c r="P279" t="str">
        <f>PROPER(TRIM(Table1[[#This Row],[ShippingAddress]]))</f>
        <v>323 Main St</v>
      </c>
      <c r="Q279" t="str">
        <f>PROPER(TRIM((Table1[[#This Row],[PaymentMethod]])))</f>
        <v>Credit Card</v>
      </c>
      <c r="R279" t="str">
        <f>PROPER(TRIM(Table1[[#This Row],[ReferralSource]]))</f>
        <v>Email</v>
      </c>
      <c r="S279" s="5">
        <f>Table1[[#This Row],[TotalPrice]]/Table1[[#This Row],[ItemsInCart]]</f>
        <v>139.96</v>
      </c>
    </row>
    <row r="280" spans="1:19" x14ac:dyDescent="0.3">
      <c r="A280" t="s">
        <v>508</v>
      </c>
      <c r="B280" s="1">
        <v>45126</v>
      </c>
      <c r="C280" t="s">
        <v>1708</v>
      </c>
      <c r="D280" t="s">
        <v>2408</v>
      </c>
      <c r="E280">
        <v>3</v>
      </c>
      <c r="F280">
        <v>505.79</v>
      </c>
      <c r="G280" t="s">
        <v>2788</v>
      </c>
      <c r="H280" t="s">
        <v>3065</v>
      </c>
      <c r="I280" t="s">
        <v>3074</v>
      </c>
      <c r="J280" t="s">
        <v>3569</v>
      </c>
      <c r="K280">
        <v>3</v>
      </c>
      <c r="L280" t="s">
        <v>4276</v>
      </c>
      <c r="M280" t="s">
        <v>4279</v>
      </c>
      <c r="N280" s="5">
        <v>1517.37</v>
      </c>
      <c r="O280" t="str">
        <f>IF(ABS(Table1[[#This Row],[TotalPrice]]-Table1[[#This Row],[Quantity]]*Table1[[#This Row],[UnitPrice]]) &lt;0.01, "ok",)</f>
        <v>ok</v>
      </c>
      <c r="P280" t="str">
        <f>PROPER(TRIM(Table1[[#This Row],[ShippingAddress]]))</f>
        <v>459 Main St</v>
      </c>
      <c r="Q280" t="str">
        <f>PROPER(TRIM((Table1[[#This Row],[PaymentMethod]])))</f>
        <v>Debit Card</v>
      </c>
      <c r="R280" t="str">
        <f>PROPER(TRIM(Table1[[#This Row],[ReferralSource]]))</f>
        <v>Referral</v>
      </c>
      <c r="S280" s="5">
        <f>Table1[[#This Row],[TotalPrice]]/Table1[[#This Row],[ItemsInCart]]</f>
        <v>505.78999999999996</v>
      </c>
    </row>
    <row r="281" spans="1:19" x14ac:dyDescent="0.3">
      <c r="A281" t="s">
        <v>1170</v>
      </c>
      <c r="B281" s="1">
        <v>45126</v>
      </c>
      <c r="C281" t="s">
        <v>2359</v>
      </c>
      <c r="D281" t="s">
        <v>2408</v>
      </c>
      <c r="E281">
        <v>4</v>
      </c>
      <c r="F281">
        <v>690.78</v>
      </c>
      <c r="G281" t="s">
        <v>2424</v>
      </c>
      <c r="H281" t="s">
        <v>3067</v>
      </c>
      <c r="I281" t="s">
        <v>3070</v>
      </c>
      <c r="J281" t="s">
        <v>4231</v>
      </c>
      <c r="K281">
        <v>9</v>
      </c>
      <c r="L281" t="s">
        <v>4283</v>
      </c>
      <c r="M281" t="s">
        <v>4279</v>
      </c>
      <c r="N281" s="5">
        <v>2763.12</v>
      </c>
      <c r="O281" t="str">
        <f>IF(ABS(Table1[[#This Row],[TotalPrice]]-Table1[[#This Row],[Quantity]]*Table1[[#This Row],[UnitPrice]]) &lt;0.01, "ok",)</f>
        <v>ok</v>
      </c>
      <c r="P281" t="str">
        <f>PROPER(TRIM(Table1[[#This Row],[ShippingAddress]]))</f>
        <v>980 Main St</v>
      </c>
      <c r="Q281" t="str">
        <f>PROPER(TRIM((Table1[[#This Row],[PaymentMethod]])))</f>
        <v>Credit Card</v>
      </c>
      <c r="R281" t="str">
        <f>PROPER(TRIM(Table1[[#This Row],[ReferralSource]]))</f>
        <v>Referral</v>
      </c>
      <c r="S281" s="5">
        <f>Table1[[#This Row],[TotalPrice]]/Table1[[#This Row],[ItemsInCart]]</f>
        <v>307.01333333333332</v>
      </c>
    </row>
    <row r="282" spans="1:19" x14ac:dyDescent="0.3">
      <c r="A282" t="s">
        <v>168</v>
      </c>
      <c r="B282" s="1">
        <v>45127</v>
      </c>
      <c r="C282" t="s">
        <v>1368</v>
      </c>
      <c r="D282" t="s">
        <v>2404</v>
      </c>
      <c r="E282">
        <v>4</v>
      </c>
      <c r="F282">
        <v>408.21</v>
      </c>
      <c r="G282" t="s">
        <v>2525</v>
      </c>
      <c r="H282" t="s">
        <v>3067</v>
      </c>
      <c r="I282" t="s">
        <v>3074</v>
      </c>
      <c r="J282" t="s">
        <v>3229</v>
      </c>
      <c r="K282">
        <v>9</v>
      </c>
      <c r="L282" t="s">
        <v>4283</v>
      </c>
      <c r="M282" t="s">
        <v>4278</v>
      </c>
      <c r="N282" s="5">
        <v>1632.84</v>
      </c>
      <c r="O282" t="str">
        <f>IF(ABS(Table1[[#This Row],[TotalPrice]]-Table1[[#This Row],[Quantity]]*Table1[[#This Row],[UnitPrice]]) &lt;0.01, "ok",)</f>
        <v>ok</v>
      </c>
      <c r="P282" t="str">
        <f>PROPER(TRIM(Table1[[#This Row],[ShippingAddress]]))</f>
        <v>727 Main St</v>
      </c>
      <c r="Q282" t="str">
        <f>PROPER(TRIM((Table1[[#This Row],[PaymentMethod]])))</f>
        <v>Credit Card</v>
      </c>
      <c r="R282" t="str">
        <f>PROPER(TRIM(Table1[[#This Row],[ReferralSource]]))</f>
        <v>Instagram</v>
      </c>
      <c r="S282" s="5">
        <f>Table1[[#This Row],[TotalPrice]]/Table1[[#This Row],[ItemsInCart]]</f>
        <v>181.42666666666665</v>
      </c>
    </row>
    <row r="283" spans="1:19" x14ac:dyDescent="0.3">
      <c r="A283" t="s">
        <v>261</v>
      </c>
      <c r="B283" s="1">
        <v>45127</v>
      </c>
      <c r="C283" t="s">
        <v>1461</v>
      </c>
      <c r="D283" t="s">
        <v>2407</v>
      </c>
      <c r="E283">
        <v>2</v>
      </c>
      <c r="F283">
        <v>220.9</v>
      </c>
      <c r="G283" t="s">
        <v>2624</v>
      </c>
      <c r="H283" t="s">
        <v>3068</v>
      </c>
      <c r="I283" t="s">
        <v>3070</v>
      </c>
      <c r="J283" t="s">
        <v>3322</v>
      </c>
      <c r="K283">
        <v>4</v>
      </c>
      <c r="L283" t="s">
        <v>4283</v>
      </c>
      <c r="M283" t="s">
        <v>4280</v>
      </c>
      <c r="N283" s="5">
        <v>441.8</v>
      </c>
      <c r="O283" t="str">
        <f>IF(ABS(Table1[[#This Row],[TotalPrice]]-Table1[[#This Row],[Quantity]]*Table1[[#This Row],[UnitPrice]]) &lt;0.01, "ok",)</f>
        <v>ok</v>
      </c>
      <c r="P283" t="str">
        <f>PROPER(TRIM(Table1[[#This Row],[ShippingAddress]]))</f>
        <v>785 Main St</v>
      </c>
      <c r="Q283" t="str">
        <f>PROPER(TRIM((Table1[[#This Row],[PaymentMethod]])))</f>
        <v>Gift Card</v>
      </c>
      <c r="R283" t="str">
        <f>PROPER(TRIM(Table1[[#This Row],[ReferralSource]]))</f>
        <v>Email</v>
      </c>
      <c r="S283" s="5">
        <f>Table1[[#This Row],[TotalPrice]]/Table1[[#This Row],[ItemsInCart]]</f>
        <v>110.45</v>
      </c>
    </row>
    <row r="284" spans="1:19" x14ac:dyDescent="0.3">
      <c r="A284" t="s">
        <v>207</v>
      </c>
      <c r="B284" s="1">
        <v>45128</v>
      </c>
      <c r="C284" t="s">
        <v>1407</v>
      </c>
      <c r="D284" t="s">
        <v>2407</v>
      </c>
      <c r="E284">
        <v>1</v>
      </c>
      <c r="F284">
        <v>46.66</v>
      </c>
      <c r="G284" t="s">
        <v>2584</v>
      </c>
      <c r="H284" t="s">
        <v>3069</v>
      </c>
      <c r="I284" t="s">
        <v>3071</v>
      </c>
      <c r="J284" t="s">
        <v>3268</v>
      </c>
      <c r="K284">
        <v>6</v>
      </c>
      <c r="L284" t="s">
        <v>4283</v>
      </c>
      <c r="M284" t="s">
        <v>4282</v>
      </c>
      <c r="N284" s="5">
        <v>46.66</v>
      </c>
      <c r="O284" t="str">
        <f>IF(ABS(Table1[[#This Row],[TotalPrice]]-Table1[[#This Row],[Quantity]]*Table1[[#This Row],[UnitPrice]]) &lt;0.01, "ok",)</f>
        <v>ok</v>
      </c>
      <c r="P284" t="str">
        <f>PROPER(TRIM(Table1[[#This Row],[ShippingAddress]]))</f>
        <v>429 Main St</v>
      </c>
      <c r="Q284" t="str">
        <f>PROPER(TRIM((Table1[[#This Row],[PaymentMethod]])))</f>
        <v>Cash</v>
      </c>
      <c r="R284" t="str">
        <f>PROPER(TRIM(Table1[[#This Row],[ReferralSource]]))</f>
        <v>Google</v>
      </c>
      <c r="S284" s="5">
        <f>Table1[[#This Row],[TotalPrice]]/Table1[[#This Row],[ItemsInCart]]</f>
        <v>7.7766666666666664</v>
      </c>
    </row>
    <row r="285" spans="1:19" x14ac:dyDescent="0.3">
      <c r="A285" t="s">
        <v>466</v>
      </c>
      <c r="B285" s="1">
        <v>45130</v>
      </c>
      <c r="C285" t="s">
        <v>1666</v>
      </c>
      <c r="D285" t="s">
        <v>2407</v>
      </c>
      <c r="E285">
        <v>1</v>
      </c>
      <c r="F285">
        <v>75.78</v>
      </c>
      <c r="G285" t="s">
        <v>2763</v>
      </c>
      <c r="H285" t="s">
        <v>3069</v>
      </c>
      <c r="I285" t="s">
        <v>3074</v>
      </c>
      <c r="J285" t="s">
        <v>3527</v>
      </c>
      <c r="K285">
        <v>5</v>
      </c>
      <c r="L285" t="s">
        <v>4275</v>
      </c>
      <c r="M285" t="s">
        <v>4282</v>
      </c>
      <c r="N285" s="5">
        <v>75.78</v>
      </c>
      <c r="O285" t="str">
        <f>IF(ABS(Table1[[#This Row],[TotalPrice]]-Table1[[#This Row],[Quantity]]*Table1[[#This Row],[UnitPrice]]) &lt;0.01, "ok",)</f>
        <v>ok</v>
      </c>
      <c r="P285" t="str">
        <f>PROPER(TRIM(Table1[[#This Row],[ShippingAddress]]))</f>
        <v>581 Main St</v>
      </c>
      <c r="Q285" t="str">
        <f>PROPER(TRIM((Table1[[#This Row],[PaymentMethod]])))</f>
        <v>Cash</v>
      </c>
      <c r="R285" t="str">
        <f>PROPER(TRIM(Table1[[#This Row],[ReferralSource]]))</f>
        <v>Google</v>
      </c>
      <c r="S285" s="5">
        <f>Table1[[#This Row],[TotalPrice]]/Table1[[#This Row],[ItemsInCart]]</f>
        <v>15.156000000000001</v>
      </c>
    </row>
    <row r="286" spans="1:19" x14ac:dyDescent="0.3">
      <c r="A286" t="s">
        <v>696</v>
      </c>
      <c r="B286" s="1">
        <v>45130</v>
      </c>
      <c r="C286" t="s">
        <v>1894</v>
      </c>
      <c r="D286" t="s">
        <v>2403</v>
      </c>
      <c r="E286">
        <v>3</v>
      </c>
      <c r="F286">
        <v>509.42</v>
      </c>
      <c r="G286" t="s">
        <v>2777</v>
      </c>
      <c r="H286" t="s">
        <v>3067</v>
      </c>
      <c r="I286" t="s">
        <v>3071</v>
      </c>
      <c r="J286" t="s">
        <v>3757</v>
      </c>
      <c r="K286">
        <v>5</v>
      </c>
      <c r="L286" t="s">
        <v>4276</v>
      </c>
      <c r="M286" t="s">
        <v>4282</v>
      </c>
      <c r="N286" s="5">
        <v>1528.26</v>
      </c>
      <c r="O286" t="str">
        <f>IF(ABS(Table1[[#This Row],[TotalPrice]]-Table1[[#This Row],[Quantity]]*Table1[[#This Row],[UnitPrice]]) &lt;0.01, "ok",)</f>
        <v>ok</v>
      </c>
      <c r="P286" t="str">
        <f>PROPER(TRIM(Table1[[#This Row],[ShippingAddress]]))</f>
        <v>449 Main St</v>
      </c>
      <c r="Q286" t="str">
        <f>PROPER(TRIM((Table1[[#This Row],[PaymentMethod]])))</f>
        <v>Credit Card</v>
      </c>
      <c r="R286" t="str">
        <f>PROPER(TRIM(Table1[[#This Row],[ReferralSource]]))</f>
        <v>Google</v>
      </c>
      <c r="S286" s="5">
        <f>Table1[[#This Row],[TotalPrice]]/Table1[[#This Row],[ItemsInCart]]</f>
        <v>305.65199999999999</v>
      </c>
    </row>
    <row r="287" spans="1:19" x14ac:dyDescent="0.3">
      <c r="A287" t="s">
        <v>773</v>
      </c>
      <c r="B287" s="1">
        <v>45131</v>
      </c>
      <c r="C287" t="s">
        <v>1970</v>
      </c>
      <c r="D287" t="s">
        <v>2409</v>
      </c>
      <c r="E287">
        <v>3</v>
      </c>
      <c r="F287">
        <v>308.01</v>
      </c>
      <c r="G287" t="s">
        <v>2910</v>
      </c>
      <c r="H287" t="s">
        <v>3069</v>
      </c>
      <c r="I287" t="s">
        <v>3074</v>
      </c>
      <c r="J287" t="s">
        <v>3834</v>
      </c>
      <c r="K287">
        <v>3</v>
      </c>
      <c r="L287" t="s">
        <v>4276</v>
      </c>
      <c r="M287" t="s">
        <v>4281</v>
      </c>
      <c r="N287" s="5">
        <v>924.03</v>
      </c>
      <c r="O287" t="str">
        <f>IF(ABS(Table1[[#This Row],[TotalPrice]]-Table1[[#This Row],[Quantity]]*Table1[[#This Row],[UnitPrice]]) &lt;0.01, "ok",)</f>
        <v>ok</v>
      </c>
      <c r="P287" t="str">
        <f>PROPER(TRIM(Table1[[#This Row],[ShippingAddress]]))</f>
        <v>366 Main St</v>
      </c>
      <c r="Q287" t="str">
        <f>PROPER(TRIM((Table1[[#This Row],[PaymentMethod]])))</f>
        <v>Cash</v>
      </c>
      <c r="R287" t="str">
        <f>PROPER(TRIM(Table1[[#This Row],[ReferralSource]]))</f>
        <v>Facebook</v>
      </c>
      <c r="S287" s="5">
        <f>Table1[[#This Row],[TotalPrice]]/Table1[[#This Row],[ItemsInCart]]</f>
        <v>308.01</v>
      </c>
    </row>
    <row r="288" spans="1:19" x14ac:dyDescent="0.3">
      <c r="A288" t="s">
        <v>935</v>
      </c>
      <c r="B288" s="1">
        <v>45131</v>
      </c>
      <c r="C288" t="s">
        <v>2131</v>
      </c>
      <c r="D288" t="s">
        <v>2405</v>
      </c>
      <c r="E288">
        <v>1</v>
      </c>
      <c r="F288">
        <v>438.93</v>
      </c>
      <c r="G288" t="s">
        <v>2980</v>
      </c>
      <c r="H288" t="s">
        <v>3068</v>
      </c>
      <c r="I288" t="s">
        <v>3071</v>
      </c>
      <c r="J288" t="s">
        <v>3996</v>
      </c>
      <c r="K288">
        <v>3</v>
      </c>
      <c r="L288" t="s">
        <v>4275</v>
      </c>
      <c r="M288" t="s">
        <v>4279</v>
      </c>
      <c r="N288" s="5">
        <v>438.93</v>
      </c>
      <c r="O288" t="str">
        <f>IF(ABS(Table1[[#This Row],[TotalPrice]]-Table1[[#This Row],[Quantity]]*Table1[[#This Row],[UnitPrice]]) &lt;0.01, "ok",)</f>
        <v>ok</v>
      </c>
      <c r="P288" t="str">
        <f>PROPER(TRIM(Table1[[#This Row],[ShippingAddress]]))</f>
        <v>144 Main St</v>
      </c>
      <c r="Q288" t="str">
        <f>PROPER(TRIM((Table1[[#This Row],[PaymentMethod]])))</f>
        <v>Gift Card</v>
      </c>
      <c r="R288" t="str">
        <f>PROPER(TRIM(Table1[[#This Row],[ReferralSource]]))</f>
        <v>Referral</v>
      </c>
      <c r="S288" s="5">
        <f>Table1[[#This Row],[TotalPrice]]/Table1[[#This Row],[ItemsInCart]]</f>
        <v>146.31</v>
      </c>
    </row>
    <row r="289" spans="1:19" x14ac:dyDescent="0.3">
      <c r="A289" t="s">
        <v>341</v>
      </c>
      <c r="B289" s="1">
        <v>45132</v>
      </c>
      <c r="C289" t="s">
        <v>1541</v>
      </c>
      <c r="D289" t="s">
        <v>2404</v>
      </c>
      <c r="E289">
        <v>1</v>
      </c>
      <c r="F289">
        <v>359.99</v>
      </c>
      <c r="G289" t="s">
        <v>2471</v>
      </c>
      <c r="H289" t="s">
        <v>3068</v>
      </c>
      <c r="I289" t="s">
        <v>3071</v>
      </c>
      <c r="J289" t="s">
        <v>3402</v>
      </c>
      <c r="K289">
        <v>5</v>
      </c>
      <c r="L289" t="s">
        <v>4275</v>
      </c>
      <c r="M289" t="s">
        <v>4280</v>
      </c>
      <c r="N289" s="5">
        <v>359.99</v>
      </c>
      <c r="O289" t="str">
        <f>IF(ABS(Table1[[#This Row],[TotalPrice]]-Table1[[#This Row],[Quantity]]*Table1[[#This Row],[UnitPrice]]) &lt;0.01, "ok",)</f>
        <v>ok</v>
      </c>
      <c r="P289" t="str">
        <f>PROPER(TRIM(Table1[[#This Row],[ShippingAddress]]))</f>
        <v>385 Main St</v>
      </c>
      <c r="Q289" t="str">
        <f>PROPER(TRIM((Table1[[#This Row],[PaymentMethod]])))</f>
        <v>Gift Card</v>
      </c>
      <c r="R289" t="str">
        <f>PROPER(TRIM(Table1[[#This Row],[ReferralSource]]))</f>
        <v>Email</v>
      </c>
      <c r="S289" s="5">
        <f>Table1[[#This Row],[TotalPrice]]/Table1[[#This Row],[ItemsInCart]]</f>
        <v>71.998000000000005</v>
      </c>
    </row>
    <row r="290" spans="1:19" x14ac:dyDescent="0.3">
      <c r="A290" t="s">
        <v>520</v>
      </c>
      <c r="B290" s="1">
        <v>45132</v>
      </c>
      <c r="C290" t="s">
        <v>1720</v>
      </c>
      <c r="D290" t="s">
        <v>2403</v>
      </c>
      <c r="E290">
        <v>2</v>
      </c>
      <c r="F290">
        <v>43.67</v>
      </c>
      <c r="G290" t="s">
        <v>2796</v>
      </c>
      <c r="H290" t="s">
        <v>3069</v>
      </c>
      <c r="I290" t="s">
        <v>3072</v>
      </c>
      <c r="J290" t="s">
        <v>3581</v>
      </c>
      <c r="K290">
        <v>4</v>
      </c>
      <c r="L290" t="s">
        <v>4277</v>
      </c>
      <c r="M290" t="s">
        <v>4278</v>
      </c>
      <c r="N290" s="5">
        <v>87.34</v>
      </c>
      <c r="O290" t="str">
        <f>IF(ABS(Table1[[#This Row],[TotalPrice]]-Table1[[#This Row],[Quantity]]*Table1[[#This Row],[UnitPrice]]) &lt;0.01, "ok",)</f>
        <v>ok</v>
      </c>
      <c r="P290" t="str">
        <f>PROPER(TRIM(Table1[[#This Row],[ShippingAddress]]))</f>
        <v>696 Main St</v>
      </c>
      <c r="Q290" t="str">
        <f>PROPER(TRIM((Table1[[#This Row],[PaymentMethod]])))</f>
        <v>Cash</v>
      </c>
      <c r="R290" t="str">
        <f>PROPER(TRIM(Table1[[#This Row],[ReferralSource]]))</f>
        <v>Instagram</v>
      </c>
      <c r="S290" s="5">
        <f>Table1[[#This Row],[TotalPrice]]/Table1[[#This Row],[ItemsInCart]]</f>
        <v>21.835000000000001</v>
      </c>
    </row>
    <row r="291" spans="1:19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  <c r="O291" t="str">
        <f>IF(ABS(Table1[[#This Row],[TotalPrice]]-Table1[[#This Row],[Quantity]]*Table1[[#This Row],[UnitPrice]]) &lt;0.01, "ok",)</f>
        <v>ok</v>
      </c>
      <c r="P291" t="str">
        <f>PROPER(TRIM(Table1[[#This Row],[ShippingAddress]]))</f>
        <v>333 Main St</v>
      </c>
      <c r="Q291" t="str">
        <f>PROPER(TRIM((Table1[[#This Row],[PaymentMethod]])))</f>
        <v>Credit Card</v>
      </c>
      <c r="R291" t="str">
        <f>PROPER(TRIM(Table1[[#This Row],[ReferralSource]]))</f>
        <v>Referral</v>
      </c>
      <c r="S291" s="5">
        <f>Table1[[#This Row],[TotalPrice]]/Table1[[#This Row],[ItemsInCart]]</f>
        <v>80.245000000000005</v>
      </c>
    </row>
    <row r="292" spans="1:19" x14ac:dyDescent="0.3">
      <c r="A292" t="s">
        <v>176</v>
      </c>
      <c r="B292" s="1">
        <v>45134</v>
      </c>
      <c r="C292" t="s">
        <v>1376</v>
      </c>
      <c r="D292" t="s">
        <v>2406</v>
      </c>
      <c r="E292">
        <v>3</v>
      </c>
      <c r="F292">
        <v>65.86</v>
      </c>
      <c r="G292" t="s">
        <v>2479</v>
      </c>
      <c r="H292" t="s">
        <v>3066</v>
      </c>
      <c r="I292" t="s">
        <v>3074</v>
      </c>
      <c r="J292" t="s">
        <v>3237</v>
      </c>
      <c r="K292">
        <v>8</v>
      </c>
      <c r="L292" t="s">
        <v>4277</v>
      </c>
      <c r="M292" t="s">
        <v>4282</v>
      </c>
      <c r="N292" s="5">
        <v>197.58</v>
      </c>
      <c r="O292" t="str">
        <f>IF(ABS(Table1[[#This Row],[TotalPrice]]-Table1[[#This Row],[Quantity]]*Table1[[#This Row],[UnitPrice]]) &lt;0.01, "ok",)</f>
        <v>ok</v>
      </c>
      <c r="P292" t="str">
        <f>PROPER(TRIM(Table1[[#This Row],[ShippingAddress]]))</f>
        <v>917 Main St</v>
      </c>
      <c r="Q292" t="str">
        <f>PROPER(TRIM((Table1[[#This Row],[PaymentMethod]])))</f>
        <v>Online</v>
      </c>
      <c r="R292" t="str">
        <f>PROPER(TRIM(Table1[[#This Row],[ReferralSource]]))</f>
        <v>Google</v>
      </c>
      <c r="S292" s="5">
        <f>Table1[[#This Row],[TotalPrice]]/Table1[[#This Row],[ItemsInCart]]</f>
        <v>24.697500000000002</v>
      </c>
    </row>
    <row r="293" spans="1:19" x14ac:dyDescent="0.3">
      <c r="A293" t="s">
        <v>295</v>
      </c>
      <c r="B293" s="1">
        <v>45134</v>
      </c>
      <c r="C293" t="s">
        <v>1495</v>
      </c>
      <c r="D293" t="s">
        <v>2409</v>
      </c>
      <c r="E293">
        <v>4</v>
      </c>
      <c r="F293">
        <v>654.79</v>
      </c>
      <c r="G293" t="s">
        <v>2651</v>
      </c>
      <c r="H293" t="s">
        <v>3069</v>
      </c>
      <c r="I293" t="s">
        <v>3074</v>
      </c>
      <c r="J293" t="s">
        <v>3356</v>
      </c>
      <c r="K293">
        <v>9</v>
      </c>
      <c r="L293" t="s">
        <v>4283</v>
      </c>
      <c r="M293" t="s">
        <v>4279</v>
      </c>
      <c r="N293" s="5">
        <v>2619.16</v>
      </c>
      <c r="O293" t="str">
        <f>IF(ABS(Table1[[#This Row],[TotalPrice]]-Table1[[#This Row],[Quantity]]*Table1[[#This Row],[UnitPrice]]) &lt;0.01, "ok",)</f>
        <v>ok</v>
      </c>
      <c r="P293" t="str">
        <f>PROPER(TRIM(Table1[[#This Row],[ShippingAddress]]))</f>
        <v>195 Main St</v>
      </c>
      <c r="Q293" t="str">
        <f>PROPER(TRIM((Table1[[#This Row],[PaymentMethod]])))</f>
        <v>Cash</v>
      </c>
      <c r="R293" t="str">
        <f>PROPER(TRIM(Table1[[#This Row],[ReferralSource]]))</f>
        <v>Referral</v>
      </c>
      <c r="S293" s="5">
        <f>Table1[[#This Row],[TotalPrice]]/Table1[[#This Row],[ItemsInCart]]</f>
        <v>291.01777777777778</v>
      </c>
    </row>
    <row r="294" spans="1:19" x14ac:dyDescent="0.3">
      <c r="A294" t="s">
        <v>1195</v>
      </c>
      <c r="B294" s="1">
        <v>45134</v>
      </c>
      <c r="C294" t="s">
        <v>2384</v>
      </c>
      <c r="D294" t="s">
        <v>2409</v>
      </c>
      <c r="E294">
        <v>3</v>
      </c>
      <c r="F294">
        <v>158.74</v>
      </c>
      <c r="G294" t="s">
        <v>2694</v>
      </c>
      <c r="H294" t="s">
        <v>3066</v>
      </c>
      <c r="I294" t="s">
        <v>3074</v>
      </c>
      <c r="J294" t="s">
        <v>4256</v>
      </c>
      <c r="K294">
        <v>7</v>
      </c>
      <c r="L294" t="s">
        <v>4276</v>
      </c>
      <c r="M294" t="s">
        <v>4278</v>
      </c>
      <c r="N294" s="5">
        <v>476.22</v>
      </c>
      <c r="O294" t="str">
        <f>IF(ABS(Table1[[#This Row],[TotalPrice]]-Table1[[#This Row],[Quantity]]*Table1[[#This Row],[UnitPrice]]) &lt;0.01, "ok",)</f>
        <v>ok</v>
      </c>
      <c r="P294" t="str">
        <f>PROPER(TRIM(Table1[[#This Row],[ShippingAddress]]))</f>
        <v>293 Main St</v>
      </c>
      <c r="Q294" t="str">
        <f>PROPER(TRIM((Table1[[#This Row],[PaymentMethod]])))</f>
        <v>Online</v>
      </c>
      <c r="R294" t="str">
        <f>PROPER(TRIM(Table1[[#This Row],[ReferralSource]]))</f>
        <v>Instagram</v>
      </c>
      <c r="S294" s="5">
        <f>Table1[[#This Row],[TotalPrice]]/Table1[[#This Row],[ItemsInCart]]</f>
        <v>68.031428571428577</v>
      </c>
    </row>
    <row r="295" spans="1:19" x14ac:dyDescent="0.3">
      <c r="A295" t="s">
        <v>799</v>
      </c>
      <c r="B295" s="1">
        <v>45136</v>
      </c>
      <c r="C295" t="s">
        <v>1996</v>
      </c>
      <c r="D295" t="s">
        <v>2406</v>
      </c>
      <c r="E295">
        <v>1</v>
      </c>
      <c r="F295">
        <v>176.1</v>
      </c>
      <c r="G295" t="s">
        <v>2920</v>
      </c>
      <c r="H295" t="s">
        <v>3067</v>
      </c>
      <c r="I295" t="s">
        <v>3074</v>
      </c>
      <c r="J295" t="s">
        <v>3860</v>
      </c>
      <c r="K295">
        <v>1</v>
      </c>
      <c r="L295" t="s">
        <v>4275</v>
      </c>
      <c r="M295" t="s">
        <v>4278</v>
      </c>
      <c r="N295" s="5">
        <v>176.1</v>
      </c>
      <c r="O295" t="str">
        <f>IF(ABS(Table1[[#This Row],[TotalPrice]]-Table1[[#This Row],[Quantity]]*Table1[[#This Row],[UnitPrice]]) &lt;0.01, "ok",)</f>
        <v>ok</v>
      </c>
      <c r="P295" t="str">
        <f>PROPER(TRIM(Table1[[#This Row],[ShippingAddress]]))</f>
        <v>342 Main St</v>
      </c>
      <c r="Q295" t="str">
        <f>PROPER(TRIM((Table1[[#This Row],[PaymentMethod]])))</f>
        <v>Credit Card</v>
      </c>
      <c r="R295" t="str">
        <f>PROPER(TRIM(Table1[[#This Row],[ReferralSource]]))</f>
        <v>Instagram</v>
      </c>
      <c r="S295" s="5">
        <f>Table1[[#This Row],[TotalPrice]]/Table1[[#This Row],[ItemsInCart]]</f>
        <v>176.1</v>
      </c>
    </row>
    <row r="296" spans="1:19" x14ac:dyDescent="0.3">
      <c r="A296" t="s">
        <v>64</v>
      </c>
      <c r="B296" s="1">
        <v>45138</v>
      </c>
      <c r="C296" t="s">
        <v>1264</v>
      </c>
      <c r="D296" t="s">
        <v>2405</v>
      </c>
      <c r="E296">
        <v>1</v>
      </c>
      <c r="F296">
        <v>179.22</v>
      </c>
      <c r="G296" t="s">
        <v>2457</v>
      </c>
      <c r="H296" t="s">
        <v>3066</v>
      </c>
      <c r="I296" t="s">
        <v>3071</v>
      </c>
      <c r="J296" t="s">
        <v>3125</v>
      </c>
      <c r="K296">
        <v>6</v>
      </c>
      <c r="L296" t="s">
        <v>4276</v>
      </c>
      <c r="M296" t="s">
        <v>4278</v>
      </c>
      <c r="N296" s="5">
        <v>179.22</v>
      </c>
      <c r="O296" t="str">
        <f>IF(ABS(Table1[[#This Row],[TotalPrice]]-Table1[[#This Row],[Quantity]]*Table1[[#This Row],[UnitPrice]]) &lt;0.01, "ok",)</f>
        <v>ok</v>
      </c>
      <c r="P296" t="str">
        <f>PROPER(TRIM(Table1[[#This Row],[ShippingAddress]]))</f>
        <v>446 Main St</v>
      </c>
      <c r="Q296" t="str">
        <f>PROPER(TRIM((Table1[[#This Row],[PaymentMethod]])))</f>
        <v>Online</v>
      </c>
      <c r="R296" t="str">
        <f>PROPER(TRIM(Table1[[#This Row],[ReferralSource]]))</f>
        <v>Instagram</v>
      </c>
      <c r="S296" s="5">
        <f>Table1[[#This Row],[TotalPrice]]/Table1[[#This Row],[ItemsInCart]]</f>
        <v>29.87</v>
      </c>
    </row>
    <row r="297" spans="1:19" x14ac:dyDescent="0.3">
      <c r="A297" t="s">
        <v>1180</v>
      </c>
      <c r="B297" s="1">
        <v>45138</v>
      </c>
      <c r="C297" t="s">
        <v>2369</v>
      </c>
      <c r="D297" t="s">
        <v>2406</v>
      </c>
      <c r="E297">
        <v>3</v>
      </c>
      <c r="F29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>
        <v>4</v>
      </c>
      <c r="L297" t="s">
        <v>4277</v>
      </c>
      <c r="M297" t="s">
        <v>4280</v>
      </c>
      <c r="N297" s="5">
        <v>973.41000000000008</v>
      </c>
      <c r="O297" t="str">
        <f>IF(ABS(Table1[[#This Row],[TotalPrice]]-Table1[[#This Row],[Quantity]]*Table1[[#This Row],[UnitPrice]]) &lt;0.01, "ok",)</f>
        <v>ok</v>
      </c>
      <c r="P297" t="str">
        <f>PROPER(TRIM(Table1[[#This Row],[ShippingAddress]]))</f>
        <v>971 Main St</v>
      </c>
      <c r="Q297" t="str">
        <f>PROPER(TRIM((Table1[[#This Row],[PaymentMethod]])))</f>
        <v>Cash</v>
      </c>
      <c r="R297" t="str">
        <f>PROPER(TRIM(Table1[[#This Row],[ReferralSource]]))</f>
        <v>Email</v>
      </c>
      <c r="S297" s="5">
        <f>Table1[[#This Row],[TotalPrice]]/Table1[[#This Row],[ItemsInCart]]</f>
        <v>243.35250000000002</v>
      </c>
    </row>
    <row r="298" spans="1:19" x14ac:dyDescent="0.3">
      <c r="A298" t="s">
        <v>499</v>
      </c>
      <c r="B298" s="1">
        <v>45139</v>
      </c>
      <c r="C298" t="s">
        <v>1699</v>
      </c>
      <c r="D298" t="s">
        <v>2406</v>
      </c>
      <c r="E298">
        <v>3</v>
      </c>
      <c r="F298">
        <v>404.79</v>
      </c>
      <c r="G298" t="s">
        <v>2783</v>
      </c>
      <c r="H298" t="s">
        <v>3069</v>
      </c>
      <c r="I298" t="s">
        <v>3070</v>
      </c>
      <c r="J298" t="s">
        <v>3560</v>
      </c>
      <c r="K298">
        <v>6</v>
      </c>
      <c r="L298" t="s">
        <v>4275</v>
      </c>
      <c r="M298" t="s">
        <v>4278</v>
      </c>
      <c r="N298" s="5">
        <v>1214.3699999999999</v>
      </c>
      <c r="O298" t="str">
        <f>IF(ABS(Table1[[#This Row],[TotalPrice]]-Table1[[#This Row],[Quantity]]*Table1[[#This Row],[UnitPrice]]) &lt;0.01, "ok",)</f>
        <v>ok</v>
      </c>
      <c r="P298" t="str">
        <f>PROPER(TRIM(Table1[[#This Row],[ShippingAddress]]))</f>
        <v>764 Main St</v>
      </c>
      <c r="Q298" t="str">
        <f>PROPER(TRIM((Table1[[#This Row],[PaymentMethod]])))</f>
        <v>Cash</v>
      </c>
      <c r="R298" t="str">
        <f>PROPER(TRIM(Table1[[#This Row],[ReferralSource]]))</f>
        <v>Instagram</v>
      </c>
      <c r="S298" s="5">
        <f>Table1[[#This Row],[TotalPrice]]/Table1[[#This Row],[ItemsInCart]]</f>
        <v>202.39499999999998</v>
      </c>
    </row>
    <row r="299" spans="1:19" x14ac:dyDescent="0.3">
      <c r="A299" t="s">
        <v>607</v>
      </c>
      <c r="B299" s="1">
        <v>45140</v>
      </c>
      <c r="C299" t="s">
        <v>1807</v>
      </c>
      <c r="D299" t="s">
        <v>2403</v>
      </c>
      <c r="E299">
        <v>1</v>
      </c>
      <c r="F299">
        <v>489.8</v>
      </c>
      <c r="G299" t="s">
        <v>2535</v>
      </c>
      <c r="H299" t="s">
        <v>3068</v>
      </c>
      <c r="I299" t="s">
        <v>3070</v>
      </c>
      <c r="J299" t="s">
        <v>3668</v>
      </c>
      <c r="K299">
        <v>4</v>
      </c>
      <c r="L299" t="s">
        <v>4276</v>
      </c>
      <c r="M299" t="s">
        <v>4281</v>
      </c>
      <c r="N299" s="5">
        <v>489.8</v>
      </c>
      <c r="O299" t="str">
        <f>IF(ABS(Table1[[#This Row],[TotalPrice]]-Table1[[#This Row],[Quantity]]*Table1[[#This Row],[UnitPrice]]) &lt;0.01, "ok",)</f>
        <v>ok</v>
      </c>
      <c r="P299" t="str">
        <f>PROPER(TRIM(Table1[[#This Row],[ShippingAddress]]))</f>
        <v>636 Main St</v>
      </c>
      <c r="Q299" t="str">
        <f>PROPER(TRIM((Table1[[#This Row],[PaymentMethod]])))</f>
        <v>Gift Card</v>
      </c>
      <c r="R299" t="str">
        <f>PROPER(TRIM(Table1[[#This Row],[ReferralSource]]))</f>
        <v>Facebook</v>
      </c>
      <c r="S299" s="5">
        <f>Table1[[#This Row],[TotalPrice]]/Table1[[#This Row],[ItemsInCart]]</f>
        <v>122.45</v>
      </c>
    </row>
    <row r="300" spans="1:19" x14ac:dyDescent="0.3">
      <c r="A300" t="s">
        <v>889</v>
      </c>
      <c r="B300" s="1">
        <v>45141</v>
      </c>
      <c r="C300" t="s">
        <v>2085</v>
      </c>
      <c r="D300" t="s">
        <v>2408</v>
      </c>
      <c r="E300">
        <v>5</v>
      </c>
      <c r="F300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>
        <v>6</v>
      </c>
      <c r="L300" t="s">
        <v>4276</v>
      </c>
      <c r="M300" t="s">
        <v>4279</v>
      </c>
      <c r="N300" s="5">
        <v>666.94999999999993</v>
      </c>
      <c r="O300" t="str">
        <f>IF(ABS(Table1[[#This Row],[TotalPrice]]-Table1[[#This Row],[Quantity]]*Table1[[#This Row],[UnitPrice]]) &lt;0.01, "ok",)</f>
        <v>ok</v>
      </c>
      <c r="P300" t="str">
        <f>PROPER(TRIM(Table1[[#This Row],[ShippingAddress]]))</f>
        <v>203 Main St</v>
      </c>
      <c r="Q300" t="str">
        <f>PROPER(TRIM((Table1[[#This Row],[PaymentMethod]])))</f>
        <v>Credit Card</v>
      </c>
      <c r="R300" t="str">
        <f>PROPER(TRIM(Table1[[#This Row],[ReferralSource]]))</f>
        <v>Referral</v>
      </c>
      <c r="S300" s="5">
        <f>Table1[[#This Row],[TotalPrice]]/Table1[[#This Row],[ItemsInCart]]</f>
        <v>111.15833333333332</v>
      </c>
    </row>
    <row r="301" spans="1:19" x14ac:dyDescent="0.3">
      <c r="A301" t="s">
        <v>1184</v>
      </c>
      <c r="B301" s="1">
        <v>45141</v>
      </c>
      <c r="C301" t="s">
        <v>2373</v>
      </c>
      <c r="D301" t="s">
        <v>2407</v>
      </c>
      <c r="E301">
        <v>2</v>
      </c>
      <c r="F301">
        <v>697.19</v>
      </c>
      <c r="G301" t="s">
        <v>2607</v>
      </c>
      <c r="H301" t="s">
        <v>3069</v>
      </c>
      <c r="I301" t="s">
        <v>3072</v>
      </c>
      <c r="J301" t="s">
        <v>4245</v>
      </c>
      <c r="K301">
        <v>7</v>
      </c>
      <c r="L301" t="s">
        <v>4276</v>
      </c>
      <c r="M301" t="s">
        <v>4280</v>
      </c>
      <c r="N301" s="5">
        <v>1394.38</v>
      </c>
      <c r="O301" t="str">
        <f>IF(ABS(Table1[[#This Row],[TotalPrice]]-Table1[[#This Row],[Quantity]]*Table1[[#This Row],[UnitPrice]]) &lt;0.01, "ok",)</f>
        <v>ok</v>
      </c>
      <c r="P301" t="str">
        <f>PROPER(TRIM(Table1[[#This Row],[ShippingAddress]]))</f>
        <v>762 Main St</v>
      </c>
      <c r="Q301" t="str">
        <f>PROPER(TRIM((Table1[[#This Row],[PaymentMethod]])))</f>
        <v>Cash</v>
      </c>
      <c r="R301" t="str">
        <f>PROPER(TRIM(Table1[[#This Row],[ReferralSource]]))</f>
        <v>Email</v>
      </c>
      <c r="S301" s="5">
        <f>Table1[[#This Row],[TotalPrice]]/Table1[[#This Row],[ItemsInCart]]</f>
        <v>199.19714285714286</v>
      </c>
    </row>
    <row r="302" spans="1:19" x14ac:dyDescent="0.3">
      <c r="A302" t="s">
        <v>149</v>
      </c>
      <c r="B302" s="1">
        <v>45142</v>
      </c>
      <c r="C302" t="s">
        <v>1349</v>
      </c>
      <c r="D302" t="s">
        <v>2407</v>
      </c>
      <c r="E302">
        <v>2</v>
      </c>
      <c r="F302">
        <v>68.81</v>
      </c>
      <c r="G302" t="s">
        <v>2536</v>
      </c>
      <c r="H302" t="s">
        <v>3068</v>
      </c>
      <c r="I302" t="s">
        <v>3070</v>
      </c>
      <c r="J302" t="s">
        <v>3210</v>
      </c>
      <c r="K302">
        <v>5</v>
      </c>
      <c r="L302" t="s">
        <v>4275</v>
      </c>
      <c r="M302" t="s">
        <v>4279</v>
      </c>
      <c r="N302" s="5">
        <v>137.62</v>
      </c>
      <c r="O302" t="str">
        <f>IF(ABS(Table1[[#This Row],[TotalPrice]]-Table1[[#This Row],[Quantity]]*Table1[[#This Row],[UnitPrice]]) &lt;0.01, "ok",)</f>
        <v>ok</v>
      </c>
      <c r="P302" t="str">
        <f>PROPER(TRIM(Table1[[#This Row],[ShippingAddress]]))</f>
        <v>642 Main St</v>
      </c>
      <c r="Q302" t="str">
        <f>PROPER(TRIM((Table1[[#This Row],[PaymentMethod]])))</f>
        <v>Gift Card</v>
      </c>
      <c r="R302" t="str">
        <f>PROPER(TRIM(Table1[[#This Row],[ReferralSource]]))</f>
        <v>Referral</v>
      </c>
      <c r="S302" s="5">
        <f>Table1[[#This Row],[TotalPrice]]/Table1[[#This Row],[ItemsInCart]]</f>
        <v>27.524000000000001</v>
      </c>
    </row>
    <row r="303" spans="1:19" x14ac:dyDescent="0.3">
      <c r="A303" t="s">
        <v>158</v>
      </c>
      <c r="B303" s="1">
        <v>45142</v>
      </c>
      <c r="C303" t="s">
        <v>1358</v>
      </c>
      <c r="D303" t="s">
        <v>2409</v>
      </c>
      <c r="E303">
        <v>5</v>
      </c>
      <c r="F303">
        <v>219.78</v>
      </c>
      <c r="G303" t="s">
        <v>2440</v>
      </c>
      <c r="H303" t="s">
        <v>3067</v>
      </c>
      <c r="I303" t="s">
        <v>3074</v>
      </c>
      <c r="J303" t="s">
        <v>3219</v>
      </c>
      <c r="K303">
        <v>8</v>
      </c>
      <c r="L303" t="s">
        <v>4283</v>
      </c>
      <c r="M303" t="s">
        <v>4281</v>
      </c>
      <c r="N303" s="5">
        <v>1098.9000000000001</v>
      </c>
      <c r="O303" t="str">
        <f>IF(ABS(Table1[[#This Row],[TotalPrice]]-Table1[[#This Row],[Quantity]]*Table1[[#This Row],[UnitPrice]]) &lt;0.01, "ok",)</f>
        <v>ok</v>
      </c>
      <c r="P303" t="str">
        <f>PROPER(TRIM(Table1[[#This Row],[ShippingAddress]]))</f>
        <v>895 Main St</v>
      </c>
      <c r="Q303" t="str">
        <f>PROPER(TRIM((Table1[[#This Row],[PaymentMethod]])))</f>
        <v>Credit Card</v>
      </c>
      <c r="R303" t="str">
        <f>PROPER(TRIM(Table1[[#This Row],[ReferralSource]]))</f>
        <v>Facebook</v>
      </c>
      <c r="S303" s="5">
        <f>Table1[[#This Row],[TotalPrice]]/Table1[[#This Row],[ItemsInCart]]</f>
        <v>137.36250000000001</v>
      </c>
    </row>
    <row r="304" spans="1:19" x14ac:dyDescent="0.3">
      <c r="A304" t="s">
        <v>191</v>
      </c>
      <c r="B304" s="1">
        <v>45143</v>
      </c>
      <c r="C304" t="s">
        <v>1391</v>
      </c>
      <c r="D304" t="s">
        <v>2406</v>
      </c>
      <c r="E304">
        <v>5</v>
      </c>
      <c r="F304">
        <v>431.69</v>
      </c>
      <c r="G304" t="s">
        <v>2569</v>
      </c>
      <c r="H304" t="s">
        <v>3067</v>
      </c>
      <c r="I304" t="s">
        <v>3074</v>
      </c>
      <c r="J304" t="s">
        <v>3252</v>
      </c>
      <c r="K304">
        <v>10</v>
      </c>
      <c r="L304" t="s">
        <v>4283</v>
      </c>
      <c r="M304" t="s">
        <v>4281</v>
      </c>
      <c r="N304" s="5">
        <v>2158.4499999999998</v>
      </c>
      <c r="O304" t="str">
        <f>IF(ABS(Table1[[#This Row],[TotalPrice]]-Table1[[#This Row],[Quantity]]*Table1[[#This Row],[UnitPrice]]) &lt;0.01, "ok",)</f>
        <v>ok</v>
      </c>
      <c r="P304" t="str">
        <f>PROPER(TRIM(Table1[[#This Row],[ShippingAddress]]))</f>
        <v>354 Main St</v>
      </c>
      <c r="Q304" t="str">
        <f>PROPER(TRIM((Table1[[#This Row],[PaymentMethod]])))</f>
        <v>Credit Card</v>
      </c>
      <c r="R304" t="str">
        <f>PROPER(TRIM(Table1[[#This Row],[ReferralSource]]))</f>
        <v>Facebook</v>
      </c>
      <c r="S304" s="5">
        <f>Table1[[#This Row],[TotalPrice]]/Table1[[#This Row],[ItemsInCart]]</f>
        <v>215.84499999999997</v>
      </c>
    </row>
    <row r="305" spans="1:19" x14ac:dyDescent="0.3">
      <c r="A305" t="s">
        <v>641</v>
      </c>
      <c r="B305" s="1">
        <v>45144</v>
      </c>
      <c r="C305" t="s">
        <v>1840</v>
      </c>
      <c r="D305" t="s">
        <v>2406</v>
      </c>
      <c r="E305">
        <v>3</v>
      </c>
      <c r="F305">
        <v>498.68</v>
      </c>
      <c r="G305" t="s">
        <v>2812</v>
      </c>
      <c r="H305" t="s">
        <v>3066</v>
      </c>
      <c r="I305" t="s">
        <v>3072</v>
      </c>
      <c r="J305" t="s">
        <v>3702</v>
      </c>
      <c r="K305">
        <v>4</v>
      </c>
      <c r="L305" t="s">
        <v>4276</v>
      </c>
      <c r="M305" t="s">
        <v>4280</v>
      </c>
      <c r="N305" s="5">
        <v>1496.04</v>
      </c>
      <c r="O305" t="str">
        <f>IF(ABS(Table1[[#This Row],[TotalPrice]]-Table1[[#This Row],[Quantity]]*Table1[[#This Row],[UnitPrice]]) &lt;0.01, "ok",)</f>
        <v>ok</v>
      </c>
      <c r="P305" t="str">
        <f>PROPER(TRIM(Table1[[#This Row],[ShippingAddress]]))</f>
        <v>879 Main St</v>
      </c>
      <c r="Q305" t="str">
        <f>PROPER(TRIM((Table1[[#This Row],[PaymentMethod]])))</f>
        <v>Online</v>
      </c>
      <c r="R305" t="str">
        <f>PROPER(TRIM(Table1[[#This Row],[ReferralSource]]))</f>
        <v>Email</v>
      </c>
      <c r="S305" s="5">
        <f>Table1[[#This Row],[TotalPrice]]/Table1[[#This Row],[ItemsInCart]]</f>
        <v>374.01</v>
      </c>
    </row>
    <row r="306" spans="1:19" x14ac:dyDescent="0.3">
      <c r="A306" t="s">
        <v>555</v>
      </c>
      <c r="B306" s="1">
        <v>45145</v>
      </c>
      <c r="C306" t="s">
        <v>1755</v>
      </c>
      <c r="D306" t="s">
        <v>2407</v>
      </c>
      <c r="E306">
        <v>5</v>
      </c>
      <c r="F306">
        <v>456.06</v>
      </c>
      <c r="G306" t="s">
        <v>2812</v>
      </c>
      <c r="H306" t="s">
        <v>3069</v>
      </c>
      <c r="I306" t="s">
        <v>3074</v>
      </c>
      <c r="J306" t="s">
        <v>3616</v>
      </c>
      <c r="K306">
        <v>10</v>
      </c>
      <c r="L306" t="s">
        <v>4283</v>
      </c>
      <c r="M306" t="s">
        <v>4278</v>
      </c>
      <c r="N306" s="5">
        <v>2280.3000000000002</v>
      </c>
      <c r="O306" t="str">
        <f>IF(ABS(Table1[[#This Row],[TotalPrice]]-Table1[[#This Row],[Quantity]]*Table1[[#This Row],[UnitPrice]]) &lt;0.01, "ok",)</f>
        <v>ok</v>
      </c>
      <c r="P306" t="str">
        <f>PROPER(TRIM(Table1[[#This Row],[ShippingAddress]]))</f>
        <v>879 Main St</v>
      </c>
      <c r="Q306" t="str">
        <f>PROPER(TRIM((Table1[[#This Row],[PaymentMethod]])))</f>
        <v>Cash</v>
      </c>
      <c r="R306" t="str">
        <f>PROPER(TRIM(Table1[[#This Row],[ReferralSource]]))</f>
        <v>Instagram</v>
      </c>
      <c r="S306" s="5">
        <f>Table1[[#This Row],[TotalPrice]]/Table1[[#This Row],[ItemsInCart]]</f>
        <v>228.03000000000003</v>
      </c>
    </row>
    <row r="307" spans="1:19" x14ac:dyDescent="0.3">
      <c r="A307" t="s">
        <v>335</v>
      </c>
      <c r="B307" s="1">
        <v>45147</v>
      </c>
      <c r="C307" t="s">
        <v>1535</v>
      </c>
      <c r="D307" t="s">
        <v>2404</v>
      </c>
      <c r="E307">
        <v>4</v>
      </c>
      <c r="F307">
        <v>152.29</v>
      </c>
      <c r="G307" t="s">
        <v>2670</v>
      </c>
      <c r="H307" t="s">
        <v>3065</v>
      </c>
      <c r="I307" t="s">
        <v>3071</v>
      </c>
      <c r="J307" t="s">
        <v>3396</v>
      </c>
      <c r="K307">
        <v>6</v>
      </c>
      <c r="L307" t="s">
        <v>4277</v>
      </c>
      <c r="M307" t="s">
        <v>4282</v>
      </c>
      <c r="N307" s="5">
        <v>609.16</v>
      </c>
      <c r="O307" t="str">
        <f>IF(ABS(Table1[[#This Row],[TotalPrice]]-Table1[[#This Row],[Quantity]]*Table1[[#This Row],[UnitPrice]]) &lt;0.01, "ok",)</f>
        <v>ok</v>
      </c>
      <c r="P307" t="str">
        <f>PROPER(TRIM(Table1[[#This Row],[ShippingAddress]]))</f>
        <v>135 Main St</v>
      </c>
      <c r="Q307" t="str">
        <f>PROPER(TRIM((Table1[[#This Row],[PaymentMethod]])))</f>
        <v>Debit Card</v>
      </c>
      <c r="R307" t="str">
        <f>PROPER(TRIM(Table1[[#This Row],[ReferralSource]]))</f>
        <v>Google</v>
      </c>
      <c r="S307" s="5">
        <f>Table1[[#This Row],[TotalPrice]]/Table1[[#This Row],[ItemsInCart]]</f>
        <v>101.52666666666666</v>
      </c>
    </row>
    <row r="308" spans="1:19" x14ac:dyDescent="0.3">
      <c r="A308" t="s">
        <v>141</v>
      </c>
      <c r="B308" s="1">
        <v>45148</v>
      </c>
      <c r="C308" t="s">
        <v>1341</v>
      </c>
      <c r="D308" t="s">
        <v>2409</v>
      </c>
      <c r="E308">
        <v>3</v>
      </c>
      <c r="F308">
        <v>469.32</v>
      </c>
      <c r="G308" t="s">
        <v>2529</v>
      </c>
      <c r="H308" t="s">
        <v>3065</v>
      </c>
      <c r="I308" t="s">
        <v>3070</v>
      </c>
      <c r="J308" t="s">
        <v>3202</v>
      </c>
      <c r="K308">
        <v>3</v>
      </c>
      <c r="L308" t="s">
        <v>4283</v>
      </c>
      <c r="M308" t="s">
        <v>4282</v>
      </c>
      <c r="N308" s="5">
        <v>1407.96</v>
      </c>
      <c r="O308" t="str">
        <f>IF(ABS(Table1[[#This Row],[TotalPrice]]-Table1[[#This Row],[Quantity]]*Table1[[#This Row],[UnitPrice]]) &lt;0.01, "ok",)</f>
        <v>ok</v>
      </c>
      <c r="P308" t="str">
        <f>PROPER(TRIM(Table1[[#This Row],[ShippingAddress]]))</f>
        <v>365 Main St</v>
      </c>
      <c r="Q308" t="str">
        <f>PROPER(TRIM((Table1[[#This Row],[PaymentMethod]])))</f>
        <v>Debit Card</v>
      </c>
      <c r="R308" t="str">
        <f>PROPER(TRIM(Table1[[#This Row],[ReferralSource]]))</f>
        <v>Google</v>
      </c>
      <c r="S308" s="5">
        <f>Table1[[#This Row],[TotalPrice]]/Table1[[#This Row],[ItemsInCart]]</f>
        <v>469.32</v>
      </c>
    </row>
    <row r="309" spans="1:19" x14ac:dyDescent="0.3">
      <c r="A309" t="s">
        <v>229</v>
      </c>
      <c r="B309" s="1">
        <v>45148</v>
      </c>
      <c r="C309" t="s">
        <v>1429</v>
      </c>
      <c r="D309" t="s">
        <v>2407</v>
      </c>
      <c r="E309">
        <v>1</v>
      </c>
      <c r="F309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>
        <v>5</v>
      </c>
      <c r="L309" t="s">
        <v>4276</v>
      </c>
      <c r="M309" t="s">
        <v>4281</v>
      </c>
      <c r="N309" s="5">
        <v>303.60000000000002</v>
      </c>
      <c r="O309" t="str">
        <f>IF(ABS(Table1[[#This Row],[TotalPrice]]-Table1[[#This Row],[Quantity]]*Table1[[#This Row],[UnitPrice]]) &lt;0.01, "ok",)</f>
        <v>ok</v>
      </c>
      <c r="P309" t="str">
        <f>PROPER(TRIM(Table1[[#This Row],[ShippingAddress]]))</f>
        <v>432 Main St</v>
      </c>
      <c r="Q309" t="str">
        <f>PROPER(TRIM((Table1[[#This Row],[PaymentMethod]])))</f>
        <v>Cash</v>
      </c>
      <c r="R309" t="str">
        <f>PROPER(TRIM(Table1[[#This Row],[ReferralSource]]))</f>
        <v>Facebook</v>
      </c>
      <c r="S309" s="5">
        <f>Table1[[#This Row],[TotalPrice]]/Table1[[#This Row],[ItemsInCart]]</f>
        <v>60.720000000000006</v>
      </c>
    </row>
    <row r="310" spans="1:19" x14ac:dyDescent="0.3">
      <c r="A310" t="s">
        <v>206</v>
      </c>
      <c r="B310" s="1">
        <v>45149</v>
      </c>
      <c r="C310" t="s">
        <v>1406</v>
      </c>
      <c r="D310" t="s">
        <v>2409</v>
      </c>
      <c r="E310">
        <v>1</v>
      </c>
      <c r="F310">
        <v>645.46</v>
      </c>
      <c r="G310" t="s">
        <v>2541</v>
      </c>
      <c r="H310" t="s">
        <v>3068</v>
      </c>
      <c r="I310" t="s">
        <v>3071</v>
      </c>
      <c r="J310" t="s">
        <v>3267</v>
      </c>
      <c r="K310">
        <v>5</v>
      </c>
      <c r="L310" t="s">
        <v>4275</v>
      </c>
      <c r="M310" t="s">
        <v>4282</v>
      </c>
      <c r="N310" s="5">
        <v>645.46</v>
      </c>
      <c r="O310" t="str">
        <f>IF(ABS(Table1[[#This Row],[TotalPrice]]-Table1[[#This Row],[Quantity]]*Table1[[#This Row],[UnitPrice]]) &lt;0.01, "ok",)</f>
        <v>ok</v>
      </c>
      <c r="P310" t="str">
        <f>PROPER(TRIM(Table1[[#This Row],[ShippingAddress]]))</f>
        <v>151 Main St</v>
      </c>
      <c r="Q310" t="str">
        <f>PROPER(TRIM((Table1[[#This Row],[PaymentMethod]])))</f>
        <v>Gift Card</v>
      </c>
      <c r="R310" t="str">
        <f>PROPER(TRIM(Table1[[#This Row],[ReferralSource]]))</f>
        <v>Google</v>
      </c>
      <c r="S310" s="5">
        <f>Table1[[#This Row],[TotalPrice]]/Table1[[#This Row],[ItemsInCart]]</f>
        <v>129.09200000000001</v>
      </c>
    </row>
    <row r="311" spans="1:19" x14ac:dyDescent="0.3">
      <c r="A311" t="s">
        <v>282</v>
      </c>
      <c r="B311" s="1">
        <v>45149</v>
      </c>
      <c r="C311" t="s">
        <v>1482</v>
      </c>
      <c r="D311" t="s">
        <v>2404</v>
      </c>
      <c r="E311">
        <v>2</v>
      </c>
      <c r="F311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 s="5">
        <v>847.76</v>
      </c>
      <c r="O311" t="str">
        <f>IF(ABS(Table1[[#This Row],[TotalPrice]]-Table1[[#This Row],[Quantity]]*Table1[[#This Row],[UnitPrice]]) &lt;0.01, "ok",)</f>
        <v>ok</v>
      </c>
      <c r="P311" t="str">
        <f>PROPER(TRIM(Table1[[#This Row],[ShippingAddress]]))</f>
        <v>655 Main St</v>
      </c>
      <c r="Q311" t="str">
        <f>PROPER(TRIM((Table1[[#This Row],[PaymentMethod]])))</f>
        <v>Debit Card</v>
      </c>
      <c r="R311" t="str">
        <f>PROPER(TRIM(Table1[[#This Row],[ReferralSource]]))</f>
        <v>Referral</v>
      </c>
      <c r="S311" s="5">
        <f>Table1[[#This Row],[TotalPrice]]/Table1[[#This Row],[ItemsInCart]]</f>
        <v>121.10857142857142</v>
      </c>
    </row>
    <row r="312" spans="1:19" x14ac:dyDescent="0.3">
      <c r="A312" t="s">
        <v>904</v>
      </c>
      <c r="B312" s="1">
        <v>45149</v>
      </c>
      <c r="C312" t="s">
        <v>2100</v>
      </c>
      <c r="D312" t="s">
        <v>2408</v>
      </c>
      <c r="E312">
        <v>3</v>
      </c>
      <c r="F312">
        <v>439.53</v>
      </c>
      <c r="G312" t="s">
        <v>2781</v>
      </c>
      <c r="H312" t="s">
        <v>3065</v>
      </c>
      <c r="I312" t="s">
        <v>3074</v>
      </c>
      <c r="J312" t="s">
        <v>3965</v>
      </c>
      <c r="K312">
        <v>5</v>
      </c>
      <c r="L312" t="s">
        <v>4283</v>
      </c>
      <c r="M312" t="s">
        <v>4282</v>
      </c>
      <c r="N312" s="5">
        <v>1318.59</v>
      </c>
      <c r="O312" t="str">
        <f>IF(ABS(Table1[[#This Row],[TotalPrice]]-Table1[[#This Row],[Quantity]]*Table1[[#This Row],[UnitPrice]]) &lt;0.01, "ok",)</f>
        <v>ok</v>
      </c>
      <c r="P312" t="str">
        <f>PROPER(TRIM(Table1[[#This Row],[ShippingAddress]]))</f>
        <v>943 Main St</v>
      </c>
      <c r="Q312" t="str">
        <f>PROPER(TRIM((Table1[[#This Row],[PaymentMethod]])))</f>
        <v>Debit Card</v>
      </c>
      <c r="R312" t="str">
        <f>PROPER(TRIM(Table1[[#This Row],[ReferralSource]]))</f>
        <v>Google</v>
      </c>
      <c r="S312" s="5">
        <f>Table1[[#This Row],[TotalPrice]]/Table1[[#This Row],[ItemsInCart]]</f>
        <v>263.71799999999996</v>
      </c>
    </row>
    <row r="313" spans="1:19" x14ac:dyDescent="0.3">
      <c r="A313" t="s">
        <v>421</v>
      </c>
      <c r="B313" s="1">
        <v>45151</v>
      </c>
      <c r="C313" t="s">
        <v>1621</v>
      </c>
      <c r="D313" t="s">
        <v>2405</v>
      </c>
      <c r="E313">
        <v>4</v>
      </c>
      <c r="F313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>
        <v>8</v>
      </c>
      <c r="L313" t="s">
        <v>4276</v>
      </c>
      <c r="M313" t="s">
        <v>4278</v>
      </c>
      <c r="N313" s="5">
        <v>2189.2800000000002</v>
      </c>
      <c r="O313" t="str">
        <f>IF(ABS(Table1[[#This Row],[TotalPrice]]-Table1[[#This Row],[Quantity]]*Table1[[#This Row],[UnitPrice]]) &lt;0.01, "ok",)</f>
        <v>ok</v>
      </c>
      <c r="P313" t="str">
        <f>PROPER(TRIM(Table1[[#This Row],[ShippingAddress]]))</f>
        <v>250 Main St</v>
      </c>
      <c r="Q313" t="str">
        <f>PROPER(TRIM((Table1[[#This Row],[PaymentMethod]])))</f>
        <v>Cash</v>
      </c>
      <c r="R313" t="str">
        <f>PROPER(TRIM(Table1[[#This Row],[ReferralSource]]))</f>
        <v>Instagram</v>
      </c>
      <c r="S313" s="5">
        <f>Table1[[#This Row],[TotalPrice]]/Table1[[#This Row],[ItemsInCart]]</f>
        <v>273.66000000000003</v>
      </c>
    </row>
    <row r="314" spans="1:19" x14ac:dyDescent="0.3">
      <c r="A314" t="s">
        <v>1169</v>
      </c>
      <c r="B314" s="1">
        <v>45151</v>
      </c>
      <c r="C314" t="s">
        <v>2358</v>
      </c>
      <c r="D314" t="s">
        <v>2407</v>
      </c>
      <c r="E314">
        <v>4</v>
      </c>
      <c r="F314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>
        <v>6</v>
      </c>
      <c r="L314" t="s">
        <v>4276</v>
      </c>
      <c r="M314" t="s">
        <v>4281</v>
      </c>
      <c r="N314" s="5">
        <v>2138.2800000000002</v>
      </c>
      <c r="O314" t="str">
        <f>IF(ABS(Table1[[#This Row],[TotalPrice]]-Table1[[#This Row],[Quantity]]*Table1[[#This Row],[UnitPrice]]) &lt;0.01, "ok",)</f>
        <v>ok</v>
      </c>
      <c r="P314" t="str">
        <f>PROPER(TRIM(Table1[[#This Row],[ShippingAddress]]))</f>
        <v>667 Main St</v>
      </c>
      <c r="Q314" t="str">
        <f>PROPER(TRIM((Table1[[#This Row],[PaymentMethod]])))</f>
        <v>Credit Card</v>
      </c>
      <c r="R314" t="str">
        <f>PROPER(TRIM(Table1[[#This Row],[ReferralSource]]))</f>
        <v>Facebook</v>
      </c>
      <c r="S314" s="5">
        <f>Table1[[#This Row],[TotalPrice]]/Table1[[#This Row],[ItemsInCart]]</f>
        <v>356.38000000000005</v>
      </c>
    </row>
    <row r="315" spans="1:19" x14ac:dyDescent="0.3">
      <c r="A315" t="s">
        <v>1190</v>
      </c>
      <c r="B315" s="1">
        <v>45151</v>
      </c>
      <c r="C315" t="s">
        <v>2379</v>
      </c>
      <c r="D315" t="s">
        <v>2405</v>
      </c>
      <c r="E315">
        <v>2</v>
      </c>
      <c r="F315">
        <v>213.83</v>
      </c>
      <c r="G315" t="s">
        <v>3056</v>
      </c>
      <c r="H315" t="s">
        <v>3065</v>
      </c>
      <c r="I315" t="s">
        <v>3071</v>
      </c>
      <c r="J315" t="s">
        <v>4251</v>
      </c>
      <c r="K315">
        <v>2</v>
      </c>
      <c r="L315" t="s">
        <v>4277</v>
      </c>
      <c r="M315" t="s">
        <v>4280</v>
      </c>
      <c r="N315" s="5">
        <v>427.66</v>
      </c>
      <c r="O315" t="str">
        <f>IF(ABS(Table1[[#This Row],[TotalPrice]]-Table1[[#This Row],[Quantity]]*Table1[[#This Row],[UnitPrice]]) &lt;0.01, "ok",)</f>
        <v>ok</v>
      </c>
      <c r="P315" t="str">
        <f>PROPER(TRIM(Table1[[#This Row],[ShippingAddress]]))</f>
        <v>374 Main St</v>
      </c>
      <c r="Q315" t="str">
        <f>PROPER(TRIM((Table1[[#This Row],[PaymentMethod]])))</f>
        <v>Debit Card</v>
      </c>
      <c r="R315" t="str">
        <f>PROPER(TRIM(Table1[[#This Row],[ReferralSource]]))</f>
        <v>Email</v>
      </c>
      <c r="S315" s="5">
        <f>Table1[[#This Row],[TotalPrice]]/Table1[[#This Row],[ItemsInCart]]</f>
        <v>213.83</v>
      </c>
    </row>
    <row r="316" spans="1:19" x14ac:dyDescent="0.3">
      <c r="A316" t="s">
        <v>185</v>
      </c>
      <c r="B316" s="1">
        <v>45153</v>
      </c>
      <c r="C316" t="s">
        <v>1385</v>
      </c>
      <c r="D316" t="s">
        <v>2405</v>
      </c>
      <c r="E316">
        <v>2</v>
      </c>
      <c r="F316">
        <v>148.22</v>
      </c>
      <c r="G316" t="s">
        <v>2564</v>
      </c>
      <c r="H316" t="s">
        <v>3067</v>
      </c>
      <c r="I316" t="s">
        <v>3073</v>
      </c>
      <c r="J316" t="s">
        <v>3246</v>
      </c>
      <c r="K316">
        <v>7</v>
      </c>
      <c r="L316" t="s">
        <v>4277</v>
      </c>
      <c r="M316" t="s">
        <v>4278</v>
      </c>
      <c r="N316" s="5">
        <v>296.44</v>
      </c>
      <c r="O316" t="str">
        <f>IF(ABS(Table1[[#This Row],[TotalPrice]]-Table1[[#This Row],[Quantity]]*Table1[[#This Row],[UnitPrice]]) &lt;0.01, "ok",)</f>
        <v>ok</v>
      </c>
      <c r="P316" t="str">
        <f>PROPER(TRIM(Table1[[#This Row],[ShippingAddress]]))</f>
        <v>336 Main St</v>
      </c>
      <c r="Q316" t="str">
        <f>PROPER(TRIM((Table1[[#This Row],[PaymentMethod]])))</f>
        <v>Credit Card</v>
      </c>
      <c r="R316" t="str">
        <f>PROPER(TRIM(Table1[[#This Row],[ReferralSource]]))</f>
        <v>Instagram</v>
      </c>
      <c r="S316" s="5">
        <f>Table1[[#This Row],[TotalPrice]]/Table1[[#This Row],[ItemsInCart]]</f>
        <v>42.348571428571425</v>
      </c>
    </row>
    <row r="317" spans="1:19" x14ac:dyDescent="0.3">
      <c r="A317" t="s">
        <v>803</v>
      </c>
      <c r="B317" s="1">
        <v>45155</v>
      </c>
      <c r="C317" t="s">
        <v>2000</v>
      </c>
      <c r="D317" t="s">
        <v>2405</v>
      </c>
      <c r="E317">
        <v>5</v>
      </c>
      <c r="F317">
        <v>691.28</v>
      </c>
      <c r="G317" t="s">
        <v>2924</v>
      </c>
      <c r="H317" t="s">
        <v>3066</v>
      </c>
      <c r="I317" t="s">
        <v>3073</v>
      </c>
      <c r="J317" t="s">
        <v>3864</v>
      </c>
      <c r="K317">
        <v>10</v>
      </c>
      <c r="L317" t="s">
        <v>4275</v>
      </c>
      <c r="M317" t="s">
        <v>4280</v>
      </c>
      <c r="N317" s="5">
        <v>3456.4</v>
      </c>
      <c r="O317" t="str">
        <f>IF(ABS(Table1[[#This Row],[TotalPrice]]-Table1[[#This Row],[Quantity]]*Table1[[#This Row],[UnitPrice]]) &lt;0.01, "ok",)</f>
        <v>ok</v>
      </c>
      <c r="P317" t="str">
        <f>PROPER(TRIM(Table1[[#This Row],[ShippingAddress]]))</f>
        <v>183 Main St</v>
      </c>
      <c r="Q317" t="str">
        <f>PROPER(TRIM((Table1[[#This Row],[PaymentMethod]])))</f>
        <v>Online</v>
      </c>
      <c r="R317" t="str">
        <f>PROPER(TRIM(Table1[[#This Row],[ReferralSource]]))</f>
        <v>Email</v>
      </c>
      <c r="S317" s="5">
        <f>Table1[[#This Row],[TotalPrice]]/Table1[[#This Row],[ItemsInCart]]</f>
        <v>345.64</v>
      </c>
    </row>
    <row r="318" spans="1:19" x14ac:dyDescent="0.3">
      <c r="A318" t="s">
        <v>1114</v>
      </c>
      <c r="B318" s="1">
        <v>45155</v>
      </c>
      <c r="C318" t="s">
        <v>2306</v>
      </c>
      <c r="D318" t="s">
        <v>2408</v>
      </c>
      <c r="E318">
        <v>5</v>
      </c>
      <c r="F318">
        <v>38.11</v>
      </c>
      <c r="G318" t="s">
        <v>3032</v>
      </c>
      <c r="H318" t="s">
        <v>3065</v>
      </c>
      <c r="I318" t="s">
        <v>3071</v>
      </c>
      <c r="J318" t="s">
        <v>4175</v>
      </c>
      <c r="K318">
        <v>6</v>
      </c>
      <c r="L318" t="s">
        <v>4277</v>
      </c>
      <c r="M318" t="s">
        <v>4278</v>
      </c>
      <c r="N318" s="5">
        <v>190.55</v>
      </c>
      <c r="O318" t="str">
        <f>IF(ABS(Table1[[#This Row],[TotalPrice]]-Table1[[#This Row],[Quantity]]*Table1[[#This Row],[UnitPrice]]) &lt;0.01, "ok",)</f>
        <v>ok</v>
      </c>
      <c r="P318" t="str">
        <f>PROPER(TRIM(Table1[[#This Row],[ShippingAddress]]))</f>
        <v>428 Main St</v>
      </c>
      <c r="Q318" t="str">
        <f>PROPER(TRIM((Table1[[#This Row],[PaymentMethod]])))</f>
        <v>Debit Card</v>
      </c>
      <c r="R318" t="str">
        <f>PROPER(TRIM(Table1[[#This Row],[ReferralSource]]))</f>
        <v>Instagram</v>
      </c>
      <c r="S318" s="5">
        <f>Table1[[#This Row],[TotalPrice]]/Table1[[#This Row],[ItemsInCart]]</f>
        <v>31.758333333333336</v>
      </c>
    </row>
    <row r="319" spans="1:19" x14ac:dyDescent="0.3">
      <c r="A319" t="s">
        <v>1142</v>
      </c>
      <c r="B319" s="1">
        <v>45155</v>
      </c>
      <c r="C319" t="s">
        <v>2332</v>
      </c>
      <c r="D319" t="s">
        <v>2403</v>
      </c>
      <c r="E319">
        <v>3</v>
      </c>
      <c r="F319">
        <v>646.79</v>
      </c>
      <c r="G319" t="s">
        <v>2490</v>
      </c>
      <c r="H319" t="s">
        <v>3069</v>
      </c>
      <c r="I319" t="s">
        <v>3071</v>
      </c>
      <c r="J319" t="s">
        <v>4203</v>
      </c>
      <c r="K319">
        <v>5</v>
      </c>
      <c r="L319" t="s">
        <v>4277</v>
      </c>
      <c r="M319" t="s">
        <v>4282</v>
      </c>
      <c r="N319" s="5">
        <v>1940.37</v>
      </c>
      <c r="O319" t="str">
        <f>IF(ABS(Table1[[#This Row],[TotalPrice]]-Table1[[#This Row],[Quantity]]*Table1[[#This Row],[UnitPrice]]) &lt;0.01, "ok",)</f>
        <v>ok</v>
      </c>
      <c r="P319" t="str">
        <f>PROPER(TRIM(Table1[[#This Row],[ShippingAddress]]))</f>
        <v>447 Main St</v>
      </c>
      <c r="Q319" t="str">
        <f>PROPER(TRIM((Table1[[#This Row],[PaymentMethod]])))</f>
        <v>Cash</v>
      </c>
      <c r="R319" t="str">
        <f>PROPER(TRIM(Table1[[#This Row],[ReferralSource]]))</f>
        <v>Google</v>
      </c>
      <c r="S319" s="5">
        <f>Table1[[#This Row],[TotalPrice]]/Table1[[#This Row],[ItemsInCart]]</f>
        <v>388.07399999999996</v>
      </c>
    </row>
    <row r="320" spans="1:19" x14ac:dyDescent="0.3">
      <c r="A320" t="s">
        <v>54</v>
      </c>
      <c r="B320" s="1">
        <v>45158</v>
      </c>
      <c r="C320" t="s">
        <v>1254</v>
      </c>
      <c r="D320" t="s">
        <v>2409</v>
      </c>
      <c r="E320">
        <v>2</v>
      </c>
      <c r="F320">
        <v>344.02</v>
      </c>
      <c r="G320" t="s">
        <v>2450</v>
      </c>
      <c r="H320" t="s">
        <v>3066</v>
      </c>
      <c r="I320" t="s">
        <v>3073</v>
      </c>
      <c r="J320" t="s">
        <v>3115</v>
      </c>
      <c r="K320">
        <v>4</v>
      </c>
      <c r="L320" t="s">
        <v>4276</v>
      </c>
      <c r="M320" t="s">
        <v>4278</v>
      </c>
      <c r="N320" s="5">
        <v>688.04</v>
      </c>
      <c r="O320" t="str">
        <f>IF(ABS(Table1[[#This Row],[TotalPrice]]-Table1[[#This Row],[Quantity]]*Table1[[#This Row],[UnitPrice]]) &lt;0.01, "ok",)</f>
        <v>ok</v>
      </c>
      <c r="P320" t="str">
        <f>PROPER(TRIM(Table1[[#This Row],[ShippingAddress]]))</f>
        <v>267 Main St</v>
      </c>
      <c r="Q320" t="str">
        <f>PROPER(TRIM((Table1[[#This Row],[PaymentMethod]])))</f>
        <v>Online</v>
      </c>
      <c r="R320" t="str">
        <f>PROPER(TRIM(Table1[[#This Row],[ReferralSource]]))</f>
        <v>Instagram</v>
      </c>
      <c r="S320" s="5">
        <f>Table1[[#This Row],[TotalPrice]]/Table1[[#This Row],[ItemsInCart]]</f>
        <v>172.01</v>
      </c>
    </row>
    <row r="321" spans="1:19" x14ac:dyDescent="0.3">
      <c r="A321" t="s">
        <v>561</v>
      </c>
      <c r="B321" s="1">
        <v>45158</v>
      </c>
      <c r="C321" t="s">
        <v>1761</v>
      </c>
      <c r="D321" t="s">
        <v>2404</v>
      </c>
      <c r="E321">
        <v>1</v>
      </c>
      <c r="F321">
        <v>613.98</v>
      </c>
      <c r="G321" t="s">
        <v>2814</v>
      </c>
      <c r="H321" t="s">
        <v>3066</v>
      </c>
      <c r="I321" t="s">
        <v>3073</v>
      </c>
      <c r="J321" t="s">
        <v>3622</v>
      </c>
      <c r="K321">
        <v>4</v>
      </c>
      <c r="L321" t="s">
        <v>4276</v>
      </c>
      <c r="M321" t="s">
        <v>4281</v>
      </c>
      <c r="N321" s="5">
        <v>613.98</v>
      </c>
      <c r="O321" t="str">
        <f>IF(ABS(Table1[[#This Row],[TotalPrice]]-Table1[[#This Row],[Quantity]]*Table1[[#This Row],[UnitPrice]]) &lt;0.01, "ok",)</f>
        <v>ok</v>
      </c>
      <c r="P321" t="str">
        <f>PROPER(TRIM(Table1[[#This Row],[ShippingAddress]]))</f>
        <v>411 Main St</v>
      </c>
      <c r="Q321" t="str">
        <f>PROPER(TRIM((Table1[[#This Row],[PaymentMethod]])))</f>
        <v>Online</v>
      </c>
      <c r="R321" t="str">
        <f>PROPER(TRIM(Table1[[#This Row],[ReferralSource]]))</f>
        <v>Facebook</v>
      </c>
      <c r="S321" s="5">
        <f>Table1[[#This Row],[TotalPrice]]/Table1[[#This Row],[ItemsInCart]]</f>
        <v>153.495</v>
      </c>
    </row>
    <row r="322" spans="1:19" x14ac:dyDescent="0.3">
      <c r="A322" t="s">
        <v>599</v>
      </c>
      <c r="B322" s="1">
        <v>45158</v>
      </c>
      <c r="C322" t="s">
        <v>1799</v>
      </c>
      <c r="D322" t="s">
        <v>2405</v>
      </c>
      <c r="E322">
        <v>4</v>
      </c>
      <c r="F322">
        <v>67.08</v>
      </c>
      <c r="G322" t="s">
        <v>2709</v>
      </c>
      <c r="H322" t="s">
        <v>3069</v>
      </c>
      <c r="I322" t="s">
        <v>3072</v>
      </c>
      <c r="J322" t="s">
        <v>3660</v>
      </c>
      <c r="K322">
        <v>8</v>
      </c>
      <c r="L322" t="s">
        <v>4277</v>
      </c>
      <c r="M322" t="s">
        <v>4282</v>
      </c>
      <c r="N322" s="5">
        <v>268.32</v>
      </c>
      <c r="O322" t="str">
        <f>IF(ABS(Table1[[#This Row],[TotalPrice]]-Table1[[#This Row],[Quantity]]*Table1[[#This Row],[UnitPrice]]) &lt;0.01, "ok",)</f>
        <v>ok</v>
      </c>
      <c r="P322" t="str">
        <f>PROPER(TRIM(Table1[[#This Row],[ShippingAddress]]))</f>
        <v>907 Main St</v>
      </c>
      <c r="Q322" t="str">
        <f>PROPER(TRIM((Table1[[#This Row],[PaymentMethod]])))</f>
        <v>Cash</v>
      </c>
      <c r="R322" t="str">
        <f>PROPER(TRIM(Table1[[#This Row],[ReferralSource]]))</f>
        <v>Google</v>
      </c>
      <c r="S322" s="5">
        <f>Table1[[#This Row],[TotalPrice]]/Table1[[#This Row],[ItemsInCart]]</f>
        <v>33.54</v>
      </c>
    </row>
    <row r="323" spans="1:19" x14ac:dyDescent="0.3">
      <c r="A323" t="s">
        <v>817</v>
      </c>
      <c r="B323" s="1">
        <v>45158</v>
      </c>
      <c r="C323" t="s">
        <v>2013</v>
      </c>
      <c r="D323" t="s">
        <v>2403</v>
      </c>
      <c r="E323">
        <v>5</v>
      </c>
      <c r="F323">
        <v>397.81</v>
      </c>
      <c r="G323" t="s">
        <v>2454</v>
      </c>
      <c r="H323" t="s">
        <v>3065</v>
      </c>
      <c r="I323" t="s">
        <v>3072</v>
      </c>
      <c r="J323" t="s">
        <v>3878</v>
      </c>
      <c r="K323">
        <v>5</v>
      </c>
      <c r="L323" t="s">
        <v>4275</v>
      </c>
      <c r="M323" t="s">
        <v>4279</v>
      </c>
      <c r="N323" s="5">
        <v>1989.05</v>
      </c>
      <c r="O323" t="str">
        <f>IF(ABS(Table1[[#This Row],[TotalPrice]]-Table1[[#This Row],[Quantity]]*Table1[[#This Row],[UnitPrice]]) &lt;0.01, "ok",)</f>
        <v>ok</v>
      </c>
      <c r="P323" t="str">
        <f>PROPER(TRIM(Table1[[#This Row],[ShippingAddress]]))</f>
        <v>223 Main St</v>
      </c>
      <c r="Q323" t="str">
        <f>PROPER(TRIM((Table1[[#This Row],[PaymentMethod]])))</f>
        <v>Debit Card</v>
      </c>
      <c r="R323" t="str">
        <f>PROPER(TRIM(Table1[[#This Row],[ReferralSource]]))</f>
        <v>Referral</v>
      </c>
      <c r="S323" s="5">
        <f>Table1[[#This Row],[TotalPrice]]/Table1[[#This Row],[ItemsInCart]]</f>
        <v>397.81</v>
      </c>
    </row>
    <row r="324" spans="1:19" x14ac:dyDescent="0.3">
      <c r="A324" t="s">
        <v>872</v>
      </c>
      <c r="B324" s="1">
        <v>45158</v>
      </c>
      <c r="C324" t="s">
        <v>2068</v>
      </c>
      <c r="D324" t="s">
        <v>2405</v>
      </c>
      <c r="E324">
        <v>5</v>
      </c>
      <c r="F324">
        <v>435.66</v>
      </c>
      <c r="G324" t="s">
        <v>2428</v>
      </c>
      <c r="H324" t="s">
        <v>3066</v>
      </c>
      <c r="I324" t="s">
        <v>3074</v>
      </c>
      <c r="J324" t="s">
        <v>3933</v>
      </c>
      <c r="K324">
        <v>9</v>
      </c>
      <c r="L324" t="s">
        <v>4283</v>
      </c>
      <c r="M324" t="s">
        <v>4281</v>
      </c>
      <c r="N324" s="5">
        <v>2178.3000000000002</v>
      </c>
      <c r="O324" t="str">
        <f>IF(ABS(Table1[[#This Row],[TotalPrice]]-Table1[[#This Row],[Quantity]]*Table1[[#This Row],[UnitPrice]]) &lt;0.01, "ok",)</f>
        <v>ok</v>
      </c>
      <c r="P324" t="str">
        <f>PROPER(TRIM(Table1[[#This Row],[ShippingAddress]]))</f>
        <v>891 Main St</v>
      </c>
      <c r="Q324" t="str">
        <f>PROPER(TRIM((Table1[[#This Row],[PaymentMethod]])))</f>
        <v>Online</v>
      </c>
      <c r="R324" t="str">
        <f>PROPER(TRIM(Table1[[#This Row],[ReferralSource]]))</f>
        <v>Facebook</v>
      </c>
      <c r="S324" s="5">
        <f>Table1[[#This Row],[TotalPrice]]/Table1[[#This Row],[ItemsInCart]]</f>
        <v>242.03333333333336</v>
      </c>
    </row>
    <row r="325" spans="1:19" x14ac:dyDescent="0.3">
      <c r="A325" t="s">
        <v>959</v>
      </c>
      <c r="B325" s="1">
        <v>45158</v>
      </c>
      <c r="C325" t="s">
        <v>2154</v>
      </c>
      <c r="D325" t="s">
        <v>2405</v>
      </c>
      <c r="E325">
        <v>5</v>
      </c>
      <c r="F325">
        <v>276.44</v>
      </c>
      <c r="G325" t="s">
        <v>2695</v>
      </c>
      <c r="H325" t="s">
        <v>3068</v>
      </c>
      <c r="I325" t="s">
        <v>3070</v>
      </c>
      <c r="J325" t="s">
        <v>4020</v>
      </c>
      <c r="K325">
        <v>10</v>
      </c>
      <c r="L325" t="s">
        <v>4276</v>
      </c>
      <c r="M325" t="s">
        <v>4279</v>
      </c>
      <c r="N325" s="5">
        <v>1382.2</v>
      </c>
      <c r="O325" t="str">
        <f>IF(ABS(Table1[[#This Row],[TotalPrice]]-Table1[[#This Row],[Quantity]]*Table1[[#This Row],[UnitPrice]]) &lt;0.01, "ok",)</f>
        <v>ok</v>
      </c>
      <c r="P325" t="str">
        <f>PROPER(TRIM(Table1[[#This Row],[ShippingAddress]]))</f>
        <v>619 Main St</v>
      </c>
      <c r="Q325" t="str">
        <f>PROPER(TRIM((Table1[[#This Row],[PaymentMethod]])))</f>
        <v>Gift Card</v>
      </c>
      <c r="R325" t="str">
        <f>PROPER(TRIM(Table1[[#This Row],[ReferralSource]]))</f>
        <v>Referral</v>
      </c>
      <c r="S325" s="5">
        <f>Table1[[#This Row],[TotalPrice]]/Table1[[#This Row],[ItemsInCart]]</f>
        <v>138.22</v>
      </c>
    </row>
    <row r="326" spans="1:19" x14ac:dyDescent="0.3">
      <c r="A326" t="s">
        <v>978</v>
      </c>
      <c r="B326" s="1">
        <v>45158</v>
      </c>
      <c r="C326" t="s">
        <v>2171</v>
      </c>
      <c r="D326" t="s">
        <v>2404</v>
      </c>
      <c r="E326">
        <v>5</v>
      </c>
      <c r="F326">
        <v>364.42</v>
      </c>
      <c r="G326" t="s">
        <v>2730</v>
      </c>
      <c r="H326" t="s">
        <v>3067</v>
      </c>
      <c r="I326" t="s">
        <v>3071</v>
      </c>
      <c r="J326" t="s">
        <v>4039</v>
      </c>
      <c r="K326">
        <v>10</v>
      </c>
      <c r="L326" t="s">
        <v>4275</v>
      </c>
      <c r="M326" t="s">
        <v>4279</v>
      </c>
      <c r="N326" s="5">
        <v>1822.1</v>
      </c>
      <c r="O326" t="str">
        <f>IF(ABS(Table1[[#This Row],[TotalPrice]]-Table1[[#This Row],[Quantity]]*Table1[[#This Row],[UnitPrice]]) &lt;0.01, "ok",)</f>
        <v>ok</v>
      </c>
      <c r="P326" t="str">
        <f>PROPER(TRIM(Table1[[#This Row],[ShippingAddress]]))</f>
        <v>778 Main St</v>
      </c>
      <c r="Q326" t="str">
        <f>PROPER(TRIM((Table1[[#This Row],[PaymentMethod]])))</f>
        <v>Credit Card</v>
      </c>
      <c r="R326" t="str">
        <f>PROPER(TRIM(Table1[[#This Row],[ReferralSource]]))</f>
        <v>Referral</v>
      </c>
      <c r="S326" s="5">
        <f>Table1[[#This Row],[TotalPrice]]/Table1[[#This Row],[ItemsInCart]]</f>
        <v>182.20999999999998</v>
      </c>
    </row>
    <row r="327" spans="1:19" x14ac:dyDescent="0.3">
      <c r="A327" t="s">
        <v>1064</v>
      </c>
      <c r="B327" s="1">
        <v>45158</v>
      </c>
      <c r="C327" t="s">
        <v>2256</v>
      </c>
      <c r="D327" t="s">
        <v>2408</v>
      </c>
      <c r="E327">
        <v>5</v>
      </c>
      <c r="F327">
        <v>69.7</v>
      </c>
      <c r="G327" t="s">
        <v>2805</v>
      </c>
      <c r="H327" t="s">
        <v>3066</v>
      </c>
      <c r="I327" t="s">
        <v>3072</v>
      </c>
      <c r="J327" t="s">
        <v>4125</v>
      </c>
      <c r="K327">
        <v>9</v>
      </c>
      <c r="L327" t="s">
        <v>4283</v>
      </c>
      <c r="M327" t="s">
        <v>4278</v>
      </c>
      <c r="N327" s="5">
        <v>348.5</v>
      </c>
      <c r="O327" t="str">
        <f>IF(ABS(Table1[[#This Row],[TotalPrice]]-Table1[[#This Row],[Quantity]]*Table1[[#This Row],[UnitPrice]]) &lt;0.01, "ok",)</f>
        <v>ok</v>
      </c>
      <c r="P327" t="str">
        <f>PROPER(TRIM(Table1[[#This Row],[ShippingAddress]]))</f>
        <v>722 Main St</v>
      </c>
      <c r="Q327" t="str">
        <f>PROPER(TRIM((Table1[[#This Row],[PaymentMethod]])))</f>
        <v>Online</v>
      </c>
      <c r="R327" t="str">
        <f>PROPER(TRIM(Table1[[#This Row],[ReferralSource]]))</f>
        <v>Instagram</v>
      </c>
      <c r="S327" s="5">
        <f>Table1[[#This Row],[TotalPrice]]/Table1[[#This Row],[ItemsInCart]]</f>
        <v>38.722222222222221</v>
      </c>
    </row>
    <row r="328" spans="1:19" x14ac:dyDescent="0.3">
      <c r="A328" t="s">
        <v>790</v>
      </c>
      <c r="B328" s="1">
        <v>45159</v>
      </c>
      <c r="C328" t="s">
        <v>1987</v>
      </c>
      <c r="D328" t="s">
        <v>2405</v>
      </c>
      <c r="E328">
        <v>1</v>
      </c>
      <c r="F328">
        <v>21.19</v>
      </c>
      <c r="G328" t="s">
        <v>2917</v>
      </c>
      <c r="H328" t="s">
        <v>3069</v>
      </c>
      <c r="I328" t="s">
        <v>3072</v>
      </c>
      <c r="J328" t="s">
        <v>3851</v>
      </c>
      <c r="K328">
        <v>5</v>
      </c>
      <c r="L328" t="s">
        <v>4277</v>
      </c>
      <c r="M328" t="s">
        <v>4282</v>
      </c>
      <c r="N328" s="5">
        <v>21.19</v>
      </c>
      <c r="O328" t="str">
        <f>IF(ABS(Table1[[#This Row],[TotalPrice]]-Table1[[#This Row],[Quantity]]*Table1[[#This Row],[UnitPrice]]) &lt;0.01, "ok",)</f>
        <v>ok</v>
      </c>
      <c r="P328" t="str">
        <f>PROPER(TRIM(Table1[[#This Row],[ShippingAddress]]))</f>
        <v>482 Main St</v>
      </c>
      <c r="Q328" t="str">
        <f>PROPER(TRIM((Table1[[#This Row],[PaymentMethod]])))</f>
        <v>Cash</v>
      </c>
      <c r="R328" t="str">
        <f>PROPER(TRIM(Table1[[#This Row],[ReferralSource]]))</f>
        <v>Google</v>
      </c>
      <c r="S328" s="5">
        <f>Table1[[#This Row],[TotalPrice]]/Table1[[#This Row],[ItemsInCart]]</f>
        <v>4.2380000000000004</v>
      </c>
    </row>
    <row r="329" spans="1:19" x14ac:dyDescent="0.3">
      <c r="A329" t="s">
        <v>1106</v>
      </c>
      <c r="B329" s="1">
        <v>45159</v>
      </c>
      <c r="C329" t="s">
        <v>2298</v>
      </c>
      <c r="D329" t="s">
        <v>2408</v>
      </c>
      <c r="E329">
        <v>5</v>
      </c>
      <c r="F329">
        <v>209.2</v>
      </c>
      <c r="G329" t="s">
        <v>2439</v>
      </c>
      <c r="H329" t="s">
        <v>3065</v>
      </c>
      <c r="I329" t="s">
        <v>3073</v>
      </c>
      <c r="J329" t="s">
        <v>4167</v>
      </c>
      <c r="K329">
        <v>6</v>
      </c>
      <c r="L329" t="s">
        <v>4277</v>
      </c>
      <c r="M329" t="s">
        <v>4280</v>
      </c>
      <c r="N329" s="5">
        <v>1046</v>
      </c>
      <c r="O329" t="str">
        <f>IF(ABS(Table1[[#This Row],[TotalPrice]]-Table1[[#This Row],[Quantity]]*Table1[[#This Row],[UnitPrice]]) &lt;0.01, "ok",)</f>
        <v>ok</v>
      </c>
      <c r="P329" t="str">
        <f>PROPER(TRIM(Table1[[#This Row],[ShippingAddress]]))</f>
        <v>930 Main St</v>
      </c>
      <c r="Q329" t="str">
        <f>PROPER(TRIM((Table1[[#This Row],[PaymentMethod]])))</f>
        <v>Debit Card</v>
      </c>
      <c r="R329" t="str">
        <f>PROPER(TRIM(Table1[[#This Row],[ReferralSource]]))</f>
        <v>Email</v>
      </c>
      <c r="S329" s="5">
        <f>Table1[[#This Row],[TotalPrice]]/Table1[[#This Row],[ItemsInCart]]</f>
        <v>174.33333333333334</v>
      </c>
    </row>
    <row r="330" spans="1:19" x14ac:dyDescent="0.3">
      <c r="A330" t="s">
        <v>76</v>
      </c>
      <c r="B330" s="1">
        <v>45160</v>
      </c>
      <c r="C330" t="s">
        <v>1276</v>
      </c>
      <c r="D330" t="s">
        <v>2409</v>
      </c>
      <c r="E330">
        <v>2</v>
      </c>
      <c r="F330">
        <v>43.15</v>
      </c>
      <c r="G330" t="s">
        <v>2468</v>
      </c>
      <c r="H330" t="s">
        <v>3065</v>
      </c>
      <c r="I330" t="s">
        <v>3074</v>
      </c>
      <c r="J330" t="s">
        <v>3137</v>
      </c>
      <c r="K330">
        <v>3</v>
      </c>
      <c r="L330" t="s">
        <v>4277</v>
      </c>
      <c r="M330" t="s">
        <v>4280</v>
      </c>
      <c r="N330" s="5">
        <v>86.3</v>
      </c>
      <c r="O330" t="str">
        <f>IF(ABS(Table1[[#This Row],[TotalPrice]]-Table1[[#This Row],[Quantity]]*Table1[[#This Row],[UnitPrice]]) &lt;0.01, "ok",)</f>
        <v>ok</v>
      </c>
      <c r="P330" t="str">
        <f>PROPER(TRIM(Table1[[#This Row],[ShippingAddress]]))</f>
        <v>691 Main St</v>
      </c>
      <c r="Q330" t="str">
        <f>PROPER(TRIM((Table1[[#This Row],[PaymentMethod]])))</f>
        <v>Debit Card</v>
      </c>
      <c r="R330" t="str">
        <f>PROPER(TRIM(Table1[[#This Row],[ReferralSource]]))</f>
        <v>Email</v>
      </c>
      <c r="S330" s="5">
        <f>Table1[[#This Row],[TotalPrice]]/Table1[[#This Row],[ItemsInCart]]</f>
        <v>28.766666666666666</v>
      </c>
    </row>
    <row r="331" spans="1:19" x14ac:dyDescent="0.3">
      <c r="A331" t="s">
        <v>97</v>
      </c>
      <c r="B331" s="1">
        <v>45160</v>
      </c>
      <c r="C331" t="s">
        <v>1297</v>
      </c>
      <c r="D331" t="s">
        <v>2408</v>
      </c>
      <c r="E331">
        <v>4</v>
      </c>
      <c r="F331">
        <v>540.41</v>
      </c>
      <c r="G331" t="s">
        <v>2487</v>
      </c>
      <c r="H331" t="s">
        <v>3067</v>
      </c>
      <c r="I331" t="s">
        <v>3071</v>
      </c>
      <c r="J331" t="s">
        <v>3158</v>
      </c>
      <c r="K331">
        <v>6</v>
      </c>
      <c r="L331" t="s">
        <v>4283</v>
      </c>
      <c r="M331" t="s">
        <v>4279</v>
      </c>
      <c r="N331" s="5">
        <v>2161.64</v>
      </c>
      <c r="O331" t="str">
        <f>IF(ABS(Table1[[#This Row],[TotalPrice]]-Table1[[#This Row],[Quantity]]*Table1[[#This Row],[UnitPrice]]) &lt;0.01, "ok",)</f>
        <v>ok</v>
      </c>
      <c r="P331" t="str">
        <f>PROPER(TRIM(Table1[[#This Row],[ShippingAddress]]))</f>
        <v>989 Main St</v>
      </c>
      <c r="Q331" t="str">
        <f>PROPER(TRIM((Table1[[#This Row],[PaymentMethod]])))</f>
        <v>Credit Card</v>
      </c>
      <c r="R331" t="str">
        <f>PROPER(TRIM(Table1[[#This Row],[ReferralSource]]))</f>
        <v>Referral</v>
      </c>
      <c r="S331" s="5">
        <f>Table1[[#This Row],[TotalPrice]]/Table1[[#This Row],[ItemsInCart]]</f>
        <v>360.27333333333331</v>
      </c>
    </row>
    <row r="332" spans="1:19" x14ac:dyDescent="0.3">
      <c r="A332" t="s">
        <v>567</v>
      </c>
      <c r="B332" s="1">
        <v>45161</v>
      </c>
      <c r="C332" t="s">
        <v>1767</v>
      </c>
      <c r="D332" t="s">
        <v>2404</v>
      </c>
      <c r="E332">
        <v>2</v>
      </c>
      <c r="F332">
        <v>333.83</v>
      </c>
      <c r="G332" t="s">
        <v>2816</v>
      </c>
      <c r="H332" t="s">
        <v>3068</v>
      </c>
      <c r="I332" t="s">
        <v>3071</v>
      </c>
      <c r="J332" t="s">
        <v>3628</v>
      </c>
      <c r="K332">
        <v>4</v>
      </c>
      <c r="L332" t="s">
        <v>4276</v>
      </c>
      <c r="M332" t="s">
        <v>4279</v>
      </c>
      <c r="N332" s="5">
        <v>667.66</v>
      </c>
      <c r="O332" t="str">
        <f>IF(ABS(Table1[[#This Row],[TotalPrice]]-Table1[[#This Row],[Quantity]]*Table1[[#This Row],[UnitPrice]]) &lt;0.01, "ok",)</f>
        <v>ok</v>
      </c>
      <c r="P332" t="str">
        <f>PROPER(TRIM(Table1[[#This Row],[ShippingAddress]]))</f>
        <v>828 Main St</v>
      </c>
      <c r="Q332" t="str">
        <f>PROPER(TRIM((Table1[[#This Row],[PaymentMethod]])))</f>
        <v>Gift Card</v>
      </c>
      <c r="R332" t="str">
        <f>PROPER(TRIM(Table1[[#This Row],[ReferralSource]]))</f>
        <v>Referral</v>
      </c>
      <c r="S332" s="5">
        <f>Table1[[#This Row],[TotalPrice]]/Table1[[#This Row],[ItemsInCart]]</f>
        <v>166.91499999999999</v>
      </c>
    </row>
    <row r="333" spans="1:19" x14ac:dyDescent="0.3">
      <c r="A333" t="s">
        <v>800</v>
      </c>
      <c r="B333" s="1">
        <v>45161</v>
      </c>
      <c r="C333" t="s">
        <v>1997</v>
      </c>
      <c r="D333" t="s">
        <v>2406</v>
      </c>
      <c r="E333">
        <v>5</v>
      </c>
      <c r="F333">
        <v>45.31</v>
      </c>
      <c r="G333" t="s">
        <v>2921</v>
      </c>
      <c r="H333" t="s">
        <v>3066</v>
      </c>
      <c r="I333" t="s">
        <v>3071</v>
      </c>
      <c r="J333" t="s">
        <v>3861</v>
      </c>
      <c r="K333">
        <v>8</v>
      </c>
      <c r="L333" t="s">
        <v>4283</v>
      </c>
      <c r="M333" t="s">
        <v>4279</v>
      </c>
      <c r="N333" s="5">
        <v>226.55</v>
      </c>
      <c r="O333" t="str">
        <f>IF(ABS(Table1[[#This Row],[TotalPrice]]-Table1[[#This Row],[Quantity]]*Table1[[#This Row],[UnitPrice]]) &lt;0.01, "ok",)</f>
        <v>ok</v>
      </c>
      <c r="P333" t="str">
        <f>PROPER(TRIM(Table1[[#This Row],[ShippingAddress]]))</f>
        <v>774 Main St</v>
      </c>
      <c r="Q333" t="str">
        <f>PROPER(TRIM((Table1[[#This Row],[PaymentMethod]])))</f>
        <v>Online</v>
      </c>
      <c r="R333" t="str">
        <f>PROPER(TRIM(Table1[[#This Row],[ReferralSource]]))</f>
        <v>Referral</v>
      </c>
      <c r="S333" s="5">
        <f>Table1[[#This Row],[TotalPrice]]/Table1[[#This Row],[ItemsInCart]]</f>
        <v>28.318750000000001</v>
      </c>
    </row>
    <row r="334" spans="1:19" x14ac:dyDescent="0.3">
      <c r="A334" t="s">
        <v>1076</v>
      </c>
      <c r="B334" s="1">
        <v>45161</v>
      </c>
      <c r="C334" t="s">
        <v>2268</v>
      </c>
      <c r="D334" t="s">
        <v>2406</v>
      </c>
      <c r="E334">
        <v>5</v>
      </c>
      <c r="F334">
        <v>85.52</v>
      </c>
      <c r="G334" t="s">
        <v>2676</v>
      </c>
      <c r="H334" t="s">
        <v>3068</v>
      </c>
      <c r="I334" t="s">
        <v>3071</v>
      </c>
      <c r="J334" t="s">
        <v>4137</v>
      </c>
      <c r="K334">
        <v>5</v>
      </c>
      <c r="L334" t="s">
        <v>4283</v>
      </c>
      <c r="M334" t="s">
        <v>4281</v>
      </c>
      <c r="N334" s="5">
        <v>427.6</v>
      </c>
      <c r="O334" t="str">
        <f>IF(ABS(Table1[[#This Row],[TotalPrice]]-Table1[[#This Row],[Quantity]]*Table1[[#This Row],[UnitPrice]]) &lt;0.01, "ok",)</f>
        <v>ok</v>
      </c>
      <c r="P334" t="str">
        <f>PROPER(TRIM(Table1[[#This Row],[ShippingAddress]]))</f>
        <v>301 Main St</v>
      </c>
      <c r="Q334" t="str">
        <f>PROPER(TRIM((Table1[[#This Row],[PaymentMethod]])))</f>
        <v>Gift Card</v>
      </c>
      <c r="R334" t="str">
        <f>PROPER(TRIM(Table1[[#This Row],[ReferralSource]]))</f>
        <v>Facebook</v>
      </c>
      <c r="S334" s="5">
        <f>Table1[[#This Row],[TotalPrice]]/Table1[[#This Row],[ItemsInCart]]</f>
        <v>85.52000000000001</v>
      </c>
    </row>
    <row r="335" spans="1:19" x14ac:dyDescent="0.3">
      <c r="A335" t="s">
        <v>390</v>
      </c>
      <c r="B335" s="1">
        <v>45162</v>
      </c>
      <c r="C335" t="s">
        <v>1590</v>
      </c>
      <c r="D335" t="s">
        <v>2403</v>
      </c>
      <c r="E335">
        <v>5</v>
      </c>
      <c r="F335">
        <v>201.22</v>
      </c>
      <c r="G335" t="s">
        <v>2722</v>
      </c>
      <c r="H335" t="s">
        <v>3065</v>
      </c>
      <c r="I335" t="s">
        <v>3074</v>
      </c>
      <c r="J335" t="s">
        <v>3451</v>
      </c>
      <c r="K335">
        <v>6</v>
      </c>
      <c r="L335" t="s">
        <v>4276</v>
      </c>
      <c r="M335" t="s">
        <v>4281</v>
      </c>
      <c r="N335" s="5">
        <v>1006.1</v>
      </c>
      <c r="O335" t="str">
        <f>IF(ABS(Table1[[#This Row],[TotalPrice]]-Table1[[#This Row],[Quantity]]*Table1[[#This Row],[UnitPrice]]) &lt;0.01, "ok",)</f>
        <v>ok</v>
      </c>
      <c r="P335" t="str">
        <f>PROPER(TRIM(Table1[[#This Row],[ShippingAddress]]))</f>
        <v>341 Main St</v>
      </c>
      <c r="Q335" t="str">
        <f>PROPER(TRIM((Table1[[#This Row],[PaymentMethod]])))</f>
        <v>Debit Card</v>
      </c>
      <c r="R335" t="str">
        <f>PROPER(TRIM(Table1[[#This Row],[ReferralSource]]))</f>
        <v>Facebook</v>
      </c>
      <c r="S335" s="5">
        <f>Table1[[#This Row],[TotalPrice]]/Table1[[#This Row],[ItemsInCart]]</f>
        <v>167.68333333333334</v>
      </c>
    </row>
    <row r="336" spans="1:19" x14ac:dyDescent="0.3">
      <c r="A336" t="s">
        <v>853</v>
      </c>
      <c r="B336" s="1">
        <v>45162</v>
      </c>
      <c r="C336" t="s">
        <v>2049</v>
      </c>
      <c r="D336" t="s">
        <v>2406</v>
      </c>
      <c r="E336">
        <v>3</v>
      </c>
      <c r="F336">
        <v>197.97</v>
      </c>
      <c r="G336" t="s">
        <v>2902</v>
      </c>
      <c r="H336" t="s">
        <v>3066</v>
      </c>
      <c r="I336" t="s">
        <v>3071</v>
      </c>
      <c r="J336" t="s">
        <v>3914</v>
      </c>
      <c r="K336">
        <v>5</v>
      </c>
      <c r="L336" t="s">
        <v>4283</v>
      </c>
      <c r="M336" t="s">
        <v>4282</v>
      </c>
      <c r="N336" s="5">
        <v>593.91</v>
      </c>
      <c r="O336" t="str">
        <f>IF(ABS(Table1[[#This Row],[TotalPrice]]-Table1[[#This Row],[Quantity]]*Table1[[#This Row],[UnitPrice]]) &lt;0.01, "ok",)</f>
        <v>ok</v>
      </c>
      <c r="P336" t="str">
        <f>PROPER(TRIM(Table1[[#This Row],[ShippingAddress]]))</f>
        <v>551 Main St</v>
      </c>
      <c r="Q336" t="str">
        <f>PROPER(TRIM((Table1[[#This Row],[PaymentMethod]])))</f>
        <v>Online</v>
      </c>
      <c r="R336" t="str">
        <f>PROPER(TRIM(Table1[[#This Row],[ReferralSource]]))</f>
        <v>Google</v>
      </c>
      <c r="S336" s="5">
        <f>Table1[[#This Row],[TotalPrice]]/Table1[[#This Row],[ItemsInCart]]</f>
        <v>118.782</v>
      </c>
    </row>
    <row r="337" spans="1:19" x14ac:dyDescent="0.3">
      <c r="A337" t="s">
        <v>62</v>
      </c>
      <c r="B337" s="1">
        <v>45164</v>
      </c>
      <c r="C337" t="s">
        <v>1262</v>
      </c>
      <c r="D337" t="s">
        <v>2403</v>
      </c>
      <c r="E337">
        <v>2</v>
      </c>
      <c r="F337">
        <v>80.77</v>
      </c>
      <c r="G337" t="s">
        <v>2456</v>
      </c>
      <c r="H337" t="s">
        <v>3065</v>
      </c>
      <c r="I337" t="s">
        <v>3070</v>
      </c>
      <c r="J337" t="s">
        <v>3123</v>
      </c>
      <c r="K337">
        <v>4</v>
      </c>
      <c r="L337" t="s">
        <v>4283</v>
      </c>
      <c r="M337" t="s">
        <v>4282</v>
      </c>
      <c r="N337" s="5">
        <v>161.54</v>
      </c>
      <c r="O337" t="str">
        <f>IF(ABS(Table1[[#This Row],[TotalPrice]]-Table1[[#This Row],[Quantity]]*Table1[[#This Row],[UnitPrice]]) &lt;0.01, "ok",)</f>
        <v>ok</v>
      </c>
      <c r="P337" t="str">
        <f>PROPER(TRIM(Table1[[#This Row],[ShippingAddress]]))</f>
        <v>464 Main St</v>
      </c>
      <c r="Q337" t="str">
        <f>PROPER(TRIM((Table1[[#This Row],[PaymentMethod]])))</f>
        <v>Debit Card</v>
      </c>
      <c r="R337" t="str">
        <f>PROPER(TRIM(Table1[[#This Row],[ReferralSource]]))</f>
        <v>Google</v>
      </c>
      <c r="S337" s="5">
        <f>Table1[[#This Row],[TotalPrice]]/Table1[[#This Row],[ItemsInCart]]</f>
        <v>40.384999999999998</v>
      </c>
    </row>
    <row r="338" spans="1:19" x14ac:dyDescent="0.3">
      <c r="A338" t="s">
        <v>447</v>
      </c>
      <c r="B338" s="1">
        <v>45164</v>
      </c>
      <c r="C338" t="s">
        <v>1647</v>
      </c>
      <c r="D338" t="s">
        <v>2403</v>
      </c>
      <c r="E338">
        <v>3</v>
      </c>
      <c r="F338">
        <v>631.64</v>
      </c>
      <c r="G338" t="s">
        <v>2624</v>
      </c>
      <c r="H338" t="s">
        <v>3067</v>
      </c>
      <c r="I338" t="s">
        <v>3072</v>
      </c>
      <c r="J338" t="s">
        <v>3508</v>
      </c>
      <c r="K338">
        <v>3</v>
      </c>
      <c r="L338" t="s">
        <v>4276</v>
      </c>
      <c r="M338" t="s">
        <v>4281</v>
      </c>
      <c r="N338" s="5">
        <v>1894.92</v>
      </c>
      <c r="O338" t="str">
        <f>IF(ABS(Table1[[#This Row],[TotalPrice]]-Table1[[#This Row],[Quantity]]*Table1[[#This Row],[UnitPrice]]) &lt;0.01, "ok",)</f>
        <v>ok</v>
      </c>
      <c r="P338" t="str">
        <f>PROPER(TRIM(Table1[[#This Row],[ShippingAddress]]))</f>
        <v>785 Main St</v>
      </c>
      <c r="Q338" t="str">
        <f>PROPER(TRIM((Table1[[#This Row],[PaymentMethod]])))</f>
        <v>Credit Card</v>
      </c>
      <c r="R338" t="str">
        <f>PROPER(TRIM(Table1[[#This Row],[ReferralSource]]))</f>
        <v>Facebook</v>
      </c>
      <c r="S338" s="5">
        <f>Table1[[#This Row],[TotalPrice]]/Table1[[#This Row],[ItemsInCart]]</f>
        <v>631.64</v>
      </c>
    </row>
    <row r="339" spans="1:19" x14ac:dyDescent="0.3">
      <c r="A339" t="s">
        <v>211</v>
      </c>
      <c r="B339" s="1">
        <v>45165</v>
      </c>
      <c r="C339" t="s">
        <v>1411</v>
      </c>
      <c r="D339" t="s">
        <v>2408</v>
      </c>
      <c r="E339">
        <v>5</v>
      </c>
      <c r="F339">
        <v>221.51</v>
      </c>
      <c r="G339" t="s">
        <v>2588</v>
      </c>
      <c r="H339" t="s">
        <v>3069</v>
      </c>
      <c r="I339" t="s">
        <v>3072</v>
      </c>
      <c r="J339" t="s">
        <v>3272</v>
      </c>
      <c r="K339">
        <v>5</v>
      </c>
      <c r="L339" t="s">
        <v>4277</v>
      </c>
      <c r="M339" t="s">
        <v>4279</v>
      </c>
      <c r="N339" s="5">
        <v>1107.55</v>
      </c>
      <c r="O339" t="str">
        <f>IF(ABS(Table1[[#This Row],[TotalPrice]]-Table1[[#This Row],[Quantity]]*Table1[[#This Row],[UnitPrice]]) &lt;0.01, "ok",)</f>
        <v>ok</v>
      </c>
      <c r="P339" t="str">
        <f>PROPER(TRIM(Table1[[#This Row],[ShippingAddress]]))</f>
        <v>723 Main St</v>
      </c>
      <c r="Q339" t="str">
        <f>PROPER(TRIM((Table1[[#This Row],[PaymentMethod]])))</f>
        <v>Cash</v>
      </c>
      <c r="R339" t="str">
        <f>PROPER(TRIM(Table1[[#This Row],[ReferralSource]]))</f>
        <v>Referral</v>
      </c>
      <c r="S339" s="5">
        <f>Table1[[#This Row],[TotalPrice]]/Table1[[#This Row],[ItemsInCart]]</f>
        <v>221.51</v>
      </c>
    </row>
    <row r="340" spans="1:19" x14ac:dyDescent="0.3">
      <c r="A340" t="s">
        <v>694</v>
      </c>
      <c r="B340" s="1">
        <v>45165</v>
      </c>
      <c r="C340" t="s">
        <v>1892</v>
      </c>
      <c r="D340" t="s">
        <v>2403</v>
      </c>
      <c r="E340">
        <v>3</v>
      </c>
      <c r="F340">
        <v>463.39</v>
      </c>
      <c r="G340" t="s">
        <v>2869</v>
      </c>
      <c r="H340" t="s">
        <v>3067</v>
      </c>
      <c r="I340" t="s">
        <v>3072</v>
      </c>
      <c r="J340" t="s">
        <v>3755</v>
      </c>
      <c r="K340">
        <v>3</v>
      </c>
      <c r="L340" t="s">
        <v>4283</v>
      </c>
      <c r="M340" t="s">
        <v>4281</v>
      </c>
      <c r="N340" s="5">
        <v>1390.17</v>
      </c>
      <c r="O340" t="str">
        <f>IF(ABS(Table1[[#This Row],[TotalPrice]]-Table1[[#This Row],[Quantity]]*Table1[[#This Row],[UnitPrice]]) &lt;0.01, "ok",)</f>
        <v>ok</v>
      </c>
      <c r="P340" t="str">
        <f>PROPER(TRIM(Table1[[#This Row],[ShippingAddress]]))</f>
        <v>694 Main St</v>
      </c>
      <c r="Q340" t="str">
        <f>PROPER(TRIM((Table1[[#This Row],[PaymentMethod]])))</f>
        <v>Credit Card</v>
      </c>
      <c r="R340" t="str">
        <f>PROPER(TRIM(Table1[[#This Row],[ReferralSource]]))</f>
        <v>Facebook</v>
      </c>
      <c r="S340" s="5">
        <f>Table1[[#This Row],[TotalPrice]]/Table1[[#This Row],[ItemsInCart]]</f>
        <v>463.39000000000004</v>
      </c>
    </row>
    <row r="341" spans="1:19" x14ac:dyDescent="0.3">
      <c r="A341" t="s">
        <v>98</v>
      </c>
      <c r="B341" s="1">
        <v>45166</v>
      </c>
      <c r="C341" t="s">
        <v>1298</v>
      </c>
      <c r="D341" t="s">
        <v>2403</v>
      </c>
      <c r="E341">
        <v>2</v>
      </c>
      <c r="F341">
        <v>165.49</v>
      </c>
      <c r="G341" t="s">
        <v>2488</v>
      </c>
      <c r="H341" t="s">
        <v>3066</v>
      </c>
      <c r="I341" t="s">
        <v>3070</v>
      </c>
      <c r="J341" t="s">
        <v>3159</v>
      </c>
      <c r="K341">
        <v>4</v>
      </c>
      <c r="L341" t="s">
        <v>4277</v>
      </c>
      <c r="M341" t="s">
        <v>4278</v>
      </c>
      <c r="N341" s="5">
        <v>330.98</v>
      </c>
      <c r="O341" t="str">
        <f>IF(ABS(Table1[[#This Row],[TotalPrice]]-Table1[[#This Row],[Quantity]]*Table1[[#This Row],[UnitPrice]]) &lt;0.01, "ok",)</f>
        <v>ok</v>
      </c>
      <c r="P341" t="str">
        <f>PROPER(TRIM(Table1[[#This Row],[ShippingAddress]]))</f>
        <v>967 Main St</v>
      </c>
      <c r="Q341" t="str">
        <f>PROPER(TRIM((Table1[[#This Row],[PaymentMethod]])))</f>
        <v>Online</v>
      </c>
      <c r="R341" t="str">
        <f>PROPER(TRIM(Table1[[#This Row],[ReferralSource]]))</f>
        <v>Instagram</v>
      </c>
      <c r="S341" s="5">
        <f>Table1[[#This Row],[TotalPrice]]/Table1[[#This Row],[ItemsInCart]]</f>
        <v>82.745000000000005</v>
      </c>
    </row>
    <row r="342" spans="1:19" x14ac:dyDescent="0.3">
      <c r="A342" t="s">
        <v>1185</v>
      </c>
      <c r="B342" s="1">
        <v>45166</v>
      </c>
      <c r="C342" t="s">
        <v>2374</v>
      </c>
      <c r="D342" t="s">
        <v>2404</v>
      </c>
      <c r="E342">
        <v>4</v>
      </c>
      <c r="F342">
        <v>518.4</v>
      </c>
      <c r="G342" t="s">
        <v>3054</v>
      </c>
      <c r="H342" t="s">
        <v>3067</v>
      </c>
      <c r="I342" t="s">
        <v>3073</v>
      </c>
      <c r="J342" t="s">
        <v>4246</v>
      </c>
      <c r="K342">
        <v>7</v>
      </c>
      <c r="L342" t="s">
        <v>4275</v>
      </c>
      <c r="M342" t="s">
        <v>4281</v>
      </c>
      <c r="N342" s="5">
        <v>2073.6</v>
      </c>
      <c r="O342" t="str">
        <f>IF(ABS(Table1[[#This Row],[TotalPrice]]-Table1[[#This Row],[Quantity]]*Table1[[#This Row],[UnitPrice]]) &lt;0.01, "ok",)</f>
        <v>ok</v>
      </c>
      <c r="P342" t="str">
        <f>PROPER(TRIM(Table1[[#This Row],[ShippingAddress]]))</f>
        <v>699 Main St</v>
      </c>
      <c r="Q342" t="str">
        <f>PROPER(TRIM((Table1[[#This Row],[PaymentMethod]])))</f>
        <v>Credit Card</v>
      </c>
      <c r="R342" t="str">
        <f>PROPER(TRIM(Table1[[#This Row],[ReferralSource]]))</f>
        <v>Facebook</v>
      </c>
      <c r="S342" s="5">
        <f>Table1[[#This Row],[TotalPrice]]/Table1[[#This Row],[ItemsInCart]]</f>
        <v>296.2285714285714</v>
      </c>
    </row>
    <row r="343" spans="1:19" x14ac:dyDescent="0.3">
      <c r="A343" t="s">
        <v>223</v>
      </c>
      <c r="B343" s="1">
        <v>45167</v>
      </c>
      <c r="C343" t="s">
        <v>1423</v>
      </c>
      <c r="D343" t="s">
        <v>2405</v>
      </c>
      <c r="E343">
        <v>5</v>
      </c>
      <c r="F343">
        <v>187.97</v>
      </c>
      <c r="G343" t="s">
        <v>2417</v>
      </c>
      <c r="H343" t="s">
        <v>3069</v>
      </c>
      <c r="I343" t="s">
        <v>3072</v>
      </c>
      <c r="J343" t="s">
        <v>3284</v>
      </c>
      <c r="K343">
        <v>9</v>
      </c>
      <c r="L343" t="s">
        <v>4275</v>
      </c>
      <c r="M343" t="s">
        <v>4282</v>
      </c>
      <c r="N343" s="5">
        <v>939.85</v>
      </c>
      <c r="O343" t="str">
        <f>IF(ABS(Table1[[#This Row],[TotalPrice]]-Table1[[#This Row],[Quantity]]*Table1[[#This Row],[UnitPrice]]) &lt;0.01, "ok",)</f>
        <v>ok</v>
      </c>
      <c r="P343" t="str">
        <f>PROPER(TRIM(Table1[[#This Row],[ShippingAddress]]))</f>
        <v>706 Main St</v>
      </c>
      <c r="Q343" t="str">
        <f>PROPER(TRIM((Table1[[#This Row],[PaymentMethod]])))</f>
        <v>Cash</v>
      </c>
      <c r="R343" t="str">
        <f>PROPER(TRIM(Table1[[#This Row],[ReferralSource]]))</f>
        <v>Google</v>
      </c>
      <c r="S343" s="5">
        <f>Table1[[#This Row],[TotalPrice]]/Table1[[#This Row],[ItemsInCart]]</f>
        <v>104.42777777777778</v>
      </c>
    </row>
    <row r="344" spans="1:19" x14ac:dyDescent="0.3">
      <c r="A344" t="s">
        <v>703</v>
      </c>
      <c r="B344" s="1">
        <v>45167</v>
      </c>
      <c r="C344" t="s">
        <v>1901</v>
      </c>
      <c r="D344" t="s">
        <v>2405</v>
      </c>
      <c r="E344">
        <v>2</v>
      </c>
      <c r="F344">
        <v>444.84</v>
      </c>
      <c r="G344" t="s">
        <v>2876</v>
      </c>
      <c r="H344" t="s">
        <v>3066</v>
      </c>
      <c r="I344" t="s">
        <v>3070</v>
      </c>
      <c r="J344" t="s">
        <v>3764</v>
      </c>
      <c r="K344">
        <v>7</v>
      </c>
      <c r="L344" t="s">
        <v>4283</v>
      </c>
      <c r="M344" t="s">
        <v>4281</v>
      </c>
      <c r="N344" s="5">
        <v>889.68</v>
      </c>
      <c r="O344" t="str">
        <f>IF(ABS(Table1[[#This Row],[TotalPrice]]-Table1[[#This Row],[Quantity]]*Table1[[#This Row],[UnitPrice]]) &lt;0.01, "ok",)</f>
        <v>ok</v>
      </c>
      <c r="P344" t="str">
        <f>PROPER(TRIM(Table1[[#This Row],[ShippingAddress]]))</f>
        <v>787 Main St</v>
      </c>
      <c r="Q344" t="str">
        <f>PROPER(TRIM((Table1[[#This Row],[PaymentMethod]])))</f>
        <v>Online</v>
      </c>
      <c r="R344" t="str">
        <f>PROPER(TRIM(Table1[[#This Row],[ReferralSource]]))</f>
        <v>Facebook</v>
      </c>
      <c r="S344" s="5">
        <f>Table1[[#This Row],[TotalPrice]]/Table1[[#This Row],[ItemsInCart]]</f>
        <v>127.09714285714286</v>
      </c>
    </row>
    <row r="345" spans="1:19" x14ac:dyDescent="0.3">
      <c r="A345" t="s">
        <v>838</v>
      </c>
      <c r="B345" s="1">
        <v>45167</v>
      </c>
      <c r="C345" t="s">
        <v>2034</v>
      </c>
      <c r="D345" t="s">
        <v>2403</v>
      </c>
      <c r="E345">
        <v>3</v>
      </c>
      <c r="F345">
        <v>481.1</v>
      </c>
      <c r="G345" t="s">
        <v>2943</v>
      </c>
      <c r="H345" t="s">
        <v>3067</v>
      </c>
      <c r="I345" t="s">
        <v>3072</v>
      </c>
      <c r="J345" t="s">
        <v>3899</v>
      </c>
      <c r="K345">
        <v>3</v>
      </c>
      <c r="L345" t="s">
        <v>4276</v>
      </c>
      <c r="M345" t="s">
        <v>4281</v>
      </c>
      <c r="N345" s="5">
        <v>1443.3</v>
      </c>
      <c r="O345" t="str">
        <f>IF(ABS(Table1[[#This Row],[TotalPrice]]-Table1[[#This Row],[Quantity]]*Table1[[#This Row],[UnitPrice]]) &lt;0.01, "ok",)</f>
        <v>ok</v>
      </c>
      <c r="P345" t="str">
        <f>PROPER(TRIM(Table1[[#This Row],[ShippingAddress]]))</f>
        <v>664 Main St</v>
      </c>
      <c r="Q345" t="str">
        <f>PROPER(TRIM((Table1[[#This Row],[PaymentMethod]])))</f>
        <v>Credit Card</v>
      </c>
      <c r="R345" t="str">
        <f>PROPER(TRIM(Table1[[#This Row],[ReferralSource]]))</f>
        <v>Facebook</v>
      </c>
      <c r="S345" s="5">
        <f>Table1[[#This Row],[TotalPrice]]/Table1[[#This Row],[ItemsInCart]]</f>
        <v>481.09999999999997</v>
      </c>
    </row>
    <row r="346" spans="1:19" x14ac:dyDescent="0.3">
      <c r="A346" t="s">
        <v>27</v>
      </c>
      <c r="B346" s="1">
        <v>45168</v>
      </c>
      <c r="C346" t="s">
        <v>1227</v>
      </c>
      <c r="D346" t="s">
        <v>2408</v>
      </c>
      <c r="E346">
        <v>3</v>
      </c>
      <c r="F346">
        <v>201.49</v>
      </c>
      <c r="G346" t="s">
        <v>2423</v>
      </c>
      <c r="H346" t="s">
        <v>3067</v>
      </c>
      <c r="I346" t="s">
        <v>3072</v>
      </c>
      <c r="J346" t="s">
        <v>3088</v>
      </c>
      <c r="K346">
        <v>4</v>
      </c>
      <c r="L346" t="s">
        <v>4276</v>
      </c>
      <c r="M346" t="s">
        <v>4281</v>
      </c>
      <c r="N346" s="5">
        <v>604.47</v>
      </c>
      <c r="O346" t="str">
        <f>IF(ABS(Table1[[#This Row],[TotalPrice]]-Table1[[#This Row],[Quantity]]*Table1[[#This Row],[UnitPrice]]) &lt;0.01, "ok",)</f>
        <v>ok</v>
      </c>
      <c r="P346" t="str">
        <f>PROPER(TRIM(Table1[[#This Row],[ShippingAddress]]))</f>
        <v>903 Main St</v>
      </c>
      <c r="Q346" t="str">
        <f>PROPER(TRIM((Table1[[#This Row],[PaymentMethod]])))</f>
        <v>Credit Card</v>
      </c>
      <c r="R346" t="str">
        <f>PROPER(TRIM(Table1[[#This Row],[ReferralSource]]))</f>
        <v>Facebook</v>
      </c>
      <c r="S346" s="5">
        <f>Table1[[#This Row],[TotalPrice]]/Table1[[#This Row],[ItemsInCart]]</f>
        <v>151.11750000000001</v>
      </c>
    </row>
    <row r="347" spans="1:19" x14ac:dyDescent="0.3">
      <c r="A347" t="s">
        <v>366</v>
      </c>
      <c r="B347" s="1">
        <v>45169</v>
      </c>
      <c r="C347" t="s">
        <v>1566</v>
      </c>
      <c r="D347" t="s">
        <v>2406</v>
      </c>
      <c r="E347">
        <v>5</v>
      </c>
      <c r="F347">
        <v>173.96</v>
      </c>
      <c r="G347" t="s">
        <v>2705</v>
      </c>
      <c r="H347" t="s">
        <v>3065</v>
      </c>
      <c r="I347" t="s">
        <v>3074</v>
      </c>
      <c r="J347" t="s">
        <v>3427</v>
      </c>
      <c r="K347">
        <v>8</v>
      </c>
      <c r="L347" t="s">
        <v>4277</v>
      </c>
      <c r="M347" t="s">
        <v>4278</v>
      </c>
      <c r="N347" s="5">
        <v>869.80000000000007</v>
      </c>
      <c r="O347" t="str">
        <f>IF(ABS(Table1[[#This Row],[TotalPrice]]-Table1[[#This Row],[Quantity]]*Table1[[#This Row],[UnitPrice]]) &lt;0.01, "ok",)</f>
        <v>ok</v>
      </c>
      <c r="P347" t="str">
        <f>PROPER(TRIM(Table1[[#This Row],[ShippingAddress]]))</f>
        <v>995 Main St</v>
      </c>
      <c r="Q347" t="str">
        <f>PROPER(TRIM((Table1[[#This Row],[PaymentMethod]])))</f>
        <v>Debit Card</v>
      </c>
      <c r="R347" t="str">
        <f>PROPER(TRIM(Table1[[#This Row],[ReferralSource]]))</f>
        <v>Instagram</v>
      </c>
      <c r="S347" s="5">
        <f>Table1[[#This Row],[TotalPrice]]/Table1[[#This Row],[ItemsInCart]]</f>
        <v>108.72500000000001</v>
      </c>
    </row>
    <row r="348" spans="1:19" x14ac:dyDescent="0.3">
      <c r="A348" t="s">
        <v>517</v>
      </c>
      <c r="B348" s="1">
        <v>45169</v>
      </c>
      <c r="C348" t="s">
        <v>1717</v>
      </c>
      <c r="D348" t="s">
        <v>2405</v>
      </c>
      <c r="E348">
        <v>3</v>
      </c>
      <c r="F348">
        <v>136.84</v>
      </c>
      <c r="G348" t="s">
        <v>2794</v>
      </c>
      <c r="H348" t="s">
        <v>3066</v>
      </c>
      <c r="I348" t="s">
        <v>3074</v>
      </c>
      <c r="J348" t="s">
        <v>3578</v>
      </c>
      <c r="K348">
        <v>4</v>
      </c>
      <c r="L348" t="s">
        <v>4276</v>
      </c>
      <c r="M348" t="s">
        <v>4281</v>
      </c>
      <c r="N348" s="5">
        <v>410.52</v>
      </c>
      <c r="O348" t="str">
        <f>IF(ABS(Table1[[#This Row],[TotalPrice]]-Table1[[#This Row],[Quantity]]*Table1[[#This Row],[UnitPrice]]) &lt;0.01, "ok",)</f>
        <v>ok</v>
      </c>
      <c r="P348" t="str">
        <f>PROPER(TRIM(Table1[[#This Row],[ShippingAddress]]))</f>
        <v>498 Main St</v>
      </c>
      <c r="Q348" t="str">
        <f>PROPER(TRIM((Table1[[#This Row],[PaymentMethod]])))</f>
        <v>Online</v>
      </c>
      <c r="R348" t="str">
        <f>PROPER(TRIM(Table1[[#This Row],[ReferralSource]]))</f>
        <v>Facebook</v>
      </c>
      <c r="S348" s="5">
        <f>Table1[[#This Row],[TotalPrice]]/Table1[[#This Row],[ItemsInCart]]</f>
        <v>102.63</v>
      </c>
    </row>
    <row r="349" spans="1:19" x14ac:dyDescent="0.3">
      <c r="A349" t="s">
        <v>820</v>
      </c>
      <c r="B349" s="1">
        <v>45170</v>
      </c>
      <c r="C349" t="s">
        <v>2016</v>
      </c>
      <c r="D349" t="s">
        <v>2406</v>
      </c>
      <c r="E349">
        <v>5</v>
      </c>
      <c r="F349">
        <v>253.75</v>
      </c>
      <c r="G349" t="s">
        <v>2650</v>
      </c>
      <c r="H349" t="s">
        <v>3066</v>
      </c>
      <c r="I349" t="s">
        <v>3074</v>
      </c>
      <c r="J349" t="s">
        <v>3881</v>
      </c>
      <c r="K349">
        <v>9</v>
      </c>
      <c r="L349" t="s">
        <v>4277</v>
      </c>
      <c r="M349" t="s">
        <v>4278</v>
      </c>
      <c r="N349" s="5">
        <v>1268.75</v>
      </c>
      <c r="O349" t="str">
        <f>IF(ABS(Table1[[#This Row],[TotalPrice]]-Table1[[#This Row],[Quantity]]*Table1[[#This Row],[UnitPrice]]) &lt;0.01, "ok",)</f>
        <v>ok</v>
      </c>
      <c r="P349" t="str">
        <f>PROPER(TRIM(Table1[[#This Row],[ShippingAddress]]))</f>
        <v>740 Main St</v>
      </c>
      <c r="Q349" t="str">
        <f>PROPER(TRIM((Table1[[#This Row],[PaymentMethod]])))</f>
        <v>Online</v>
      </c>
      <c r="R349" t="str">
        <f>PROPER(TRIM(Table1[[#This Row],[ReferralSource]]))</f>
        <v>Instagram</v>
      </c>
      <c r="S349" s="5">
        <f>Table1[[#This Row],[TotalPrice]]/Table1[[#This Row],[ItemsInCart]]</f>
        <v>140.97222222222223</v>
      </c>
    </row>
    <row r="350" spans="1:19" x14ac:dyDescent="0.3">
      <c r="A350" t="s">
        <v>1023</v>
      </c>
      <c r="B350" s="1">
        <v>45171</v>
      </c>
      <c r="C350" t="s">
        <v>2215</v>
      </c>
      <c r="D350" t="s">
        <v>2405</v>
      </c>
      <c r="E350">
        <v>2</v>
      </c>
      <c r="F350">
        <v>176.46</v>
      </c>
      <c r="G350" t="s">
        <v>2796</v>
      </c>
      <c r="H350" t="s">
        <v>3067</v>
      </c>
      <c r="I350" t="s">
        <v>3073</v>
      </c>
      <c r="J350" t="s">
        <v>4084</v>
      </c>
      <c r="K350">
        <v>2</v>
      </c>
      <c r="L350" t="s">
        <v>4276</v>
      </c>
      <c r="M350" t="s">
        <v>4280</v>
      </c>
      <c r="N350" s="5">
        <v>352.92</v>
      </c>
      <c r="O350" t="str">
        <f>IF(ABS(Table1[[#This Row],[TotalPrice]]-Table1[[#This Row],[Quantity]]*Table1[[#This Row],[UnitPrice]]) &lt;0.01, "ok",)</f>
        <v>ok</v>
      </c>
      <c r="P350" t="str">
        <f>PROPER(TRIM(Table1[[#This Row],[ShippingAddress]]))</f>
        <v>696 Main St</v>
      </c>
      <c r="Q350" t="str">
        <f>PROPER(TRIM((Table1[[#This Row],[PaymentMethod]])))</f>
        <v>Credit Card</v>
      </c>
      <c r="R350" t="str">
        <f>PROPER(TRIM(Table1[[#This Row],[ReferralSource]]))</f>
        <v>Email</v>
      </c>
      <c r="S350" s="5">
        <f>Table1[[#This Row],[TotalPrice]]/Table1[[#This Row],[ItemsInCart]]</f>
        <v>176.46</v>
      </c>
    </row>
    <row r="351" spans="1:19" x14ac:dyDescent="0.3">
      <c r="A351" t="s">
        <v>446</v>
      </c>
      <c r="B351" s="1">
        <v>45173</v>
      </c>
      <c r="C351" t="s">
        <v>1646</v>
      </c>
      <c r="D351" t="s">
        <v>2405</v>
      </c>
      <c r="E351">
        <v>2</v>
      </c>
      <c r="F351">
        <v>424.32</v>
      </c>
      <c r="G351" t="s">
        <v>2750</v>
      </c>
      <c r="H351" t="s">
        <v>3067</v>
      </c>
      <c r="I351" t="s">
        <v>3072</v>
      </c>
      <c r="J351" t="s">
        <v>3507</v>
      </c>
      <c r="K351">
        <v>6</v>
      </c>
      <c r="L351" t="s">
        <v>4283</v>
      </c>
      <c r="M351" t="s">
        <v>4279</v>
      </c>
      <c r="N351" s="5">
        <v>848.64</v>
      </c>
      <c r="O351" t="str">
        <f>IF(ABS(Table1[[#This Row],[TotalPrice]]-Table1[[#This Row],[Quantity]]*Table1[[#This Row],[UnitPrice]]) &lt;0.01, "ok",)</f>
        <v>ok</v>
      </c>
      <c r="P351" t="str">
        <f>PROPER(TRIM(Table1[[#This Row],[ShippingAddress]]))</f>
        <v>662 Main St</v>
      </c>
      <c r="Q351" t="str">
        <f>PROPER(TRIM((Table1[[#This Row],[PaymentMethod]])))</f>
        <v>Credit Card</v>
      </c>
      <c r="R351" t="str">
        <f>PROPER(TRIM(Table1[[#This Row],[ReferralSource]]))</f>
        <v>Referral</v>
      </c>
      <c r="S351" s="5">
        <f>Table1[[#This Row],[TotalPrice]]/Table1[[#This Row],[ItemsInCart]]</f>
        <v>141.44</v>
      </c>
    </row>
    <row r="352" spans="1:19" x14ac:dyDescent="0.3">
      <c r="A352" t="s">
        <v>462</v>
      </c>
      <c r="B352" s="1">
        <v>45173</v>
      </c>
      <c r="C352" t="s">
        <v>1662</v>
      </c>
      <c r="D352" t="s">
        <v>2408</v>
      </c>
      <c r="E352">
        <v>2</v>
      </c>
      <c r="F352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 s="5">
        <v>320</v>
      </c>
      <c r="O352" t="str">
        <f>IF(ABS(Table1[[#This Row],[TotalPrice]]-Table1[[#This Row],[Quantity]]*Table1[[#This Row],[UnitPrice]]) &lt;0.01, "ok",)</f>
        <v>ok</v>
      </c>
      <c r="P352" t="str">
        <f>PROPER(TRIM(Table1[[#This Row],[ShippingAddress]]))</f>
        <v>854 Main St</v>
      </c>
      <c r="Q352" t="str">
        <f>PROPER(TRIM((Table1[[#This Row],[PaymentMethod]])))</f>
        <v>Cash</v>
      </c>
      <c r="R352" t="str">
        <f>PROPER(TRIM(Table1[[#This Row],[ReferralSource]]))</f>
        <v>Instagram</v>
      </c>
      <c r="S352" s="5">
        <f>Table1[[#This Row],[TotalPrice]]/Table1[[#This Row],[ItemsInCart]]</f>
        <v>80</v>
      </c>
    </row>
    <row r="353" spans="1:19" x14ac:dyDescent="0.3">
      <c r="A353" t="s">
        <v>782</v>
      </c>
      <c r="B353" s="1">
        <v>45173</v>
      </c>
      <c r="C353" t="s">
        <v>1979</v>
      </c>
      <c r="D353" t="s">
        <v>2405</v>
      </c>
      <c r="E353">
        <v>5</v>
      </c>
      <c r="F353">
        <v>653.46</v>
      </c>
      <c r="G353" t="s">
        <v>2913</v>
      </c>
      <c r="H353" t="s">
        <v>3069</v>
      </c>
      <c r="I353" t="s">
        <v>3071</v>
      </c>
      <c r="J353" t="s">
        <v>3843</v>
      </c>
      <c r="K353">
        <v>9</v>
      </c>
      <c r="L353" t="s">
        <v>4277</v>
      </c>
      <c r="M353" t="s">
        <v>4280</v>
      </c>
      <c r="N353" s="5">
        <v>3267.3</v>
      </c>
      <c r="O353" t="str">
        <f>IF(ABS(Table1[[#This Row],[TotalPrice]]-Table1[[#This Row],[Quantity]]*Table1[[#This Row],[UnitPrice]]) &lt;0.01, "ok",)</f>
        <v>ok</v>
      </c>
      <c r="P353" t="str">
        <f>PROPER(TRIM(Table1[[#This Row],[ShippingAddress]]))</f>
        <v>165 Main St</v>
      </c>
      <c r="Q353" t="str">
        <f>PROPER(TRIM((Table1[[#This Row],[PaymentMethod]])))</f>
        <v>Cash</v>
      </c>
      <c r="R353" t="str">
        <f>PROPER(TRIM(Table1[[#This Row],[ReferralSource]]))</f>
        <v>Email</v>
      </c>
      <c r="S353" s="5">
        <f>Table1[[#This Row],[TotalPrice]]/Table1[[#This Row],[ItemsInCart]]</f>
        <v>363.03333333333336</v>
      </c>
    </row>
    <row r="354" spans="1:19" x14ac:dyDescent="0.3">
      <c r="A354" t="s">
        <v>218</v>
      </c>
      <c r="B354" s="1">
        <v>45174</v>
      </c>
      <c r="C354" t="s">
        <v>1418</v>
      </c>
      <c r="D354" t="s">
        <v>2408</v>
      </c>
      <c r="E354">
        <v>4</v>
      </c>
      <c r="F354">
        <v>413.71</v>
      </c>
      <c r="G354" t="s">
        <v>2539</v>
      </c>
      <c r="H354" t="s">
        <v>3068</v>
      </c>
      <c r="I354" t="s">
        <v>3071</v>
      </c>
      <c r="J354" t="s">
        <v>3279</v>
      </c>
      <c r="K354">
        <v>9</v>
      </c>
      <c r="L354" t="s">
        <v>4276</v>
      </c>
      <c r="M354" t="s">
        <v>4281</v>
      </c>
      <c r="N354" s="5">
        <v>1654.84</v>
      </c>
      <c r="O354" t="str">
        <f>IF(ABS(Table1[[#This Row],[TotalPrice]]-Table1[[#This Row],[Quantity]]*Table1[[#This Row],[UnitPrice]]) &lt;0.01, "ok",)</f>
        <v>ok</v>
      </c>
      <c r="P354" t="str">
        <f>PROPER(TRIM(Table1[[#This Row],[ShippingAddress]]))</f>
        <v>478 Main St</v>
      </c>
      <c r="Q354" t="str">
        <f>PROPER(TRIM((Table1[[#This Row],[PaymentMethod]])))</f>
        <v>Gift Card</v>
      </c>
      <c r="R354" t="str">
        <f>PROPER(TRIM(Table1[[#This Row],[ReferralSource]]))</f>
        <v>Facebook</v>
      </c>
      <c r="S354" s="5">
        <f>Table1[[#This Row],[TotalPrice]]/Table1[[#This Row],[ItemsInCart]]</f>
        <v>183.87111111111111</v>
      </c>
    </row>
    <row r="355" spans="1:19" x14ac:dyDescent="0.3">
      <c r="A355" t="s">
        <v>503</v>
      </c>
      <c r="B355" s="1">
        <v>45174</v>
      </c>
      <c r="C355" t="s">
        <v>1703</v>
      </c>
      <c r="D355" t="s">
        <v>2405</v>
      </c>
      <c r="E355">
        <v>3</v>
      </c>
      <c r="F355">
        <v>149.34</v>
      </c>
      <c r="G355" t="s">
        <v>2637</v>
      </c>
      <c r="H355" t="s">
        <v>3068</v>
      </c>
      <c r="I355" t="s">
        <v>3071</v>
      </c>
      <c r="J355" t="s">
        <v>3564</v>
      </c>
      <c r="K355">
        <v>7</v>
      </c>
      <c r="L355" t="s">
        <v>4277</v>
      </c>
      <c r="M355" t="s">
        <v>4280</v>
      </c>
      <c r="N355" s="5">
        <v>448.02</v>
      </c>
      <c r="O355" t="str">
        <f>IF(ABS(Table1[[#This Row],[TotalPrice]]-Table1[[#This Row],[Quantity]]*Table1[[#This Row],[UnitPrice]]) &lt;0.01, "ok",)</f>
        <v>ok</v>
      </c>
      <c r="P355" t="str">
        <f>PROPER(TRIM(Table1[[#This Row],[ShippingAddress]]))</f>
        <v>589 Main St</v>
      </c>
      <c r="Q355" t="str">
        <f>PROPER(TRIM((Table1[[#This Row],[PaymentMethod]])))</f>
        <v>Gift Card</v>
      </c>
      <c r="R355" t="str">
        <f>PROPER(TRIM(Table1[[#This Row],[ReferralSource]]))</f>
        <v>Email</v>
      </c>
      <c r="S355" s="5">
        <f>Table1[[#This Row],[TotalPrice]]/Table1[[#This Row],[ItemsInCart]]</f>
        <v>64.002857142857138</v>
      </c>
    </row>
    <row r="356" spans="1:19" x14ac:dyDescent="0.3">
      <c r="A356" t="s">
        <v>156</v>
      </c>
      <c r="B356" s="1">
        <v>45175</v>
      </c>
      <c r="C356" t="s">
        <v>1356</v>
      </c>
      <c r="D356" t="s">
        <v>2409</v>
      </c>
      <c r="E356">
        <v>5</v>
      </c>
      <c r="F356">
        <v>272.77</v>
      </c>
      <c r="G356" t="s">
        <v>2542</v>
      </c>
      <c r="H356" t="s">
        <v>3069</v>
      </c>
      <c r="I356" t="s">
        <v>3074</v>
      </c>
      <c r="J356" t="s">
        <v>3217</v>
      </c>
      <c r="K356">
        <v>7</v>
      </c>
      <c r="L356" t="s">
        <v>4277</v>
      </c>
      <c r="M356" t="s">
        <v>4280</v>
      </c>
      <c r="N356" s="5">
        <v>1363.85</v>
      </c>
      <c r="O356" t="str">
        <f>IF(ABS(Table1[[#This Row],[TotalPrice]]-Table1[[#This Row],[Quantity]]*Table1[[#This Row],[UnitPrice]]) &lt;0.01, "ok",)</f>
        <v>ok</v>
      </c>
      <c r="P356" t="str">
        <f>PROPER(TRIM(Table1[[#This Row],[ShippingAddress]]))</f>
        <v>573 Main St</v>
      </c>
      <c r="Q356" t="str">
        <f>PROPER(TRIM((Table1[[#This Row],[PaymentMethod]])))</f>
        <v>Cash</v>
      </c>
      <c r="R356" t="str">
        <f>PROPER(TRIM(Table1[[#This Row],[ReferralSource]]))</f>
        <v>Email</v>
      </c>
      <c r="S356" s="5">
        <f>Table1[[#This Row],[TotalPrice]]/Table1[[#This Row],[ItemsInCart]]</f>
        <v>194.83571428571426</v>
      </c>
    </row>
    <row r="357" spans="1:19" x14ac:dyDescent="0.3">
      <c r="A357" t="s">
        <v>961</v>
      </c>
      <c r="B357" s="1">
        <v>45176</v>
      </c>
      <c r="C357" t="s">
        <v>2156</v>
      </c>
      <c r="D357" t="s">
        <v>2404</v>
      </c>
      <c r="E357">
        <v>4</v>
      </c>
      <c r="F357">
        <v>465.66</v>
      </c>
      <c r="G357" t="s">
        <v>2642</v>
      </c>
      <c r="H357" t="s">
        <v>3066</v>
      </c>
      <c r="I357" t="s">
        <v>3072</v>
      </c>
      <c r="J357" t="s">
        <v>4022</v>
      </c>
      <c r="K357">
        <v>9</v>
      </c>
      <c r="L357" t="s">
        <v>4276</v>
      </c>
      <c r="M357" t="s">
        <v>4280</v>
      </c>
      <c r="N357" s="5">
        <v>1862.64</v>
      </c>
      <c r="O357" t="str">
        <f>IF(ABS(Table1[[#This Row],[TotalPrice]]-Table1[[#This Row],[Quantity]]*Table1[[#This Row],[UnitPrice]]) &lt;0.01, "ok",)</f>
        <v>ok</v>
      </c>
      <c r="P357" t="str">
        <f>PROPER(TRIM(Table1[[#This Row],[ShippingAddress]]))</f>
        <v>119 Main St</v>
      </c>
      <c r="Q357" t="str">
        <f>PROPER(TRIM((Table1[[#This Row],[PaymentMethod]])))</f>
        <v>Online</v>
      </c>
      <c r="R357" t="str">
        <f>PROPER(TRIM(Table1[[#This Row],[ReferralSource]]))</f>
        <v>Email</v>
      </c>
      <c r="S357" s="5">
        <f>Table1[[#This Row],[TotalPrice]]/Table1[[#This Row],[ItemsInCart]]</f>
        <v>206.96</v>
      </c>
    </row>
    <row r="358" spans="1:19" x14ac:dyDescent="0.3">
      <c r="A358" t="s">
        <v>120</v>
      </c>
      <c r="B358" s="1">
        <v>45177</v>
      </c>
      <c r="C358" t="s">
        <v>1320</v>
      </c>
      <c r="D358" t="s">
        <v>2409</v>
      </c>
      <c r="E358">
        <v>3</v>
      </c>
      <c r="F358">
        <v>465.05</v>
      </c>
      <c r="G358" t="s">
        <v>2509</v>
      </c>
      <c r="H358" t="s">
        <v>3067</v>
      </c>
      <c r="I358" t="s">
        <v>3071</v>
      </c>
      <c r="J358" t="s">
        <v>3181</v>
      </c>
      <c r="K358">
        <v>3</v>
      </c>
      <c r="L358" t="s">
        <v>4275</v>
      </c>
      <c r="M358" t="s">
        <v>4280</v>
      </c>
      <c r="N358" s="5">
        <v>1395.15</v>
      </c>
      <c r="O358" t="str">
        <f>IF(ABS(Table1[[#This Row],[TotalPrice]]-Table1[[#This Row],[Quantity]]*Table1[[#This Row],[UnitPrice]]) &lt;0.01, "ok",)</f>
        <v>ok</v>
      </c>
      <c r="P358" t="str">
        <f>PROPER(TRIM(Table1[[#This Row],[ShippingAddress]]))</f>
        <v>126 Main St</v>
      </c>
      <c r="Q358" t="str">
        <f>PROPER(TRIM((Table1[[#This Row],[PaymentMethod]])))</f>
        <v>Credit Card</v>
      </c>
      <c r="R358" t="str">
        <f>PROPER(TRIM(Table1[[#This Row],[ReferralSource]]))</f>
        <v>Email</v>
      </c>
      <c r="S358" s="5">
        <f>Table1[[#This Row],[TotalPrice]]/Table1[[#This Row],[ItemsInCart]]</f>
        <v>465.05</v>
      </c>
    </row>
    <row r="359" spans="1:19" x14ac:dyDescent="0.3">
      <c r="A359" t="s">
        <v>743</v>
      </c>
      <c r="B359" s="1">
        <v>45177</v>
      </c>
      <c r="C359" t="s">
        <v>1940</v>
      </c>
      <c r="D359" t="s">
        <v>2404</v>
      </c>
      <c r="E359">
        <v>4</v>
      </c>
      <c r="F359">
        <v>186.41</v>
      </c>
      <c r="G359" t="s">
        <v>2555</v>
      </c>
      <c r="H359" t="s">
        <v>3068</v>
      </c>
      <c r="I359" t="s">
        <v>3074</v>
      </c>
      <c r="J359" t="s">
        <v>3804</v>
      </c>
      <c r="K359">
        <v>6</v>
      </c>
      <c r="L359" t="s">
        <v>4275</v>
      </c>
      <c r="M359" t="s">
        <v>4282</v>
      </c>
      <c r="N359" s="5">
        <v>745.64</v>
      </c>
      <c r="O359" t="str">
        <f>IF(ABS(Table1[[#This Row],[TotalPrice]]-Table1[[#This Row],[Quantity]]*Table1[[#This Row],[UnitPrice]]) &lt;0.01, "ok",)</f>
        <v>ok</v>
      </c>
      <c r="P359" t="str">
        <f>PROPER(TRIM(Table1[[#This Row],[ShippingAddress]]))</f>
        <v>819 Main St</v>
      </c>
      <c r="Q359" t="str">
        <f>PROPER(TRIM((Table1[[#This Row],[PaymentMethod]])))</f>
        <v>Gift Card</v>
      </c>
      <c r="R359" t="str">
        <f>PROPER(TRIM(Table1[[#This Row],[ReferralSource]]))</f>
        <v>Google</v>
      </c>
      <c r="S359" s="5">
        <f>Table1[[#This Row],[TotalPrice]]/Table1[[#This Row],[ItemsInCart]]</f>
        <v>124.27333333333333</v>
      </c>
    </row>
    <row r="360" spans="1:19" x14ac:dyDescent="0.3">
      <c r="A360" t="s">
        <v>1072</v>
      </c>
      <c r="B360" s="1">
        <v>45177</v>
      </c>
      <c r="C360" t="s">
        <v>2264</v>
      </c>
      <c r="D360" t="s">
        <v>2409</v>
      </c>
      <c r="E360">
        <v>2</v>
      </c>
      <c r="F360">
        <v>412.14</v>
      </c>
      <c r="G360" t="s">
        <v>2640</v>
      </c>
      <c r="H360" t="s">
        <v>3067</v>
      </c>
      <c r="I360" t="s">
        <v>3072</v>
      </c>
      <c r="J360" t="s">
        <v>4133</v>
      </c>
      <c r="K360">
        <v>2</v>
      </c>
      <c r="L360" t="s">
        <v>4276</v>
      </c>
      <c r="M360" t="s">
        <v>4278</v>
      </c>
      <c r="N360" s="5">
        <v>824.28</v>
      </c>
      <c r="O360" t="str">
        <f>IF(ABS(Table1[[#This Row],[TotalPrice]]-Table1[[#This Row],[Quantity]]*Table1[[#This Row],[UnitPrice]]) &lt;0.01, "ok",)</f>
        <v>ok</v>
      </c>
      <c r="P360" t="str">
        <f>PROPER(TRIM(Table1[[#This Row],[ShippingAddress]]))</f>
        <v>127 Main St</v>
      </c>
      <c r="Q360" t="str">
        <f>PROPER(TRIM((Table1[[#This Row],[PaymentMethod]])))</f>
        <v>Credit Card</v>
      </c>
      <c r="R360" t="str">
        <f>PROPER(TRIM(Table1[[#This Row],[ReferralSource]]))</f>
        <v>Instagram</v>
      </c>
      <c r="S360" s="5">
        <f>Table1[[#This Row],[TotalPrice]]/Table1[[#This Row],[ItemsInCart]]</f>
        <v>412.14</v>
      </c>
    </row>
    <row r="361" spans="1:19" x14ac:dyDescent="0.3">
      <c r="A361" t="s">
        <v>604</v>
      </c>
      <c r="B361" s="1">
        <v>45179</v>
      </c>
      <c r="C361" t="s">
        <v>1804</v>
      </c>
      <c r="D361" t="s">
        <v>2407</v>
      </c>
      <c r="E361">
        <v>2</v>
      </c>
      <c r="F361">
        <v>461.13</v>
      </c>
      <c r="G361" t="s">
        <v>2831</v>
      </c>
      <c r="H361" t="s">
        <v>3068</v>
      </c>
      <c r="I361" t="s">
        <v>3072</v>
      </c>
      <c r="J361" t="s">
        <v>3665</v>
      </c>
      <c r="K361">
        <v>4</v>
      </c>
      <c r="L361" t="s">
        <v>4283</v>
      </c>
      <c r="M361" t="s">
        <v>4280</v>
      </c>
      <c r="N361" s="5">
        <v>922.26</v>
      </c>
      <c r="O361" t="str">
        <f>IF(ABS(Table1[[#This Row],[TotalPrice]]-Table1[[#This Row],[Quantity]]*Table1[[#This Row],[UnitPrice]]) &lt;0.01, "ok",)</f>
        <v>ok</v>
      </c>
      <c r="P361" t="str">
        <f>PROPER(TRIM(Table1[[#This Row],[ShippingAddress]]))</f>
        <v>175 Main St</v>
      </c>
      <c r="Q361" t="str">
        <f>PROPER(TRIM((Table1[[#This Row],[PaymentMethod]])))</f>
        <v>Gift Card</v>
      </c>
      <c r="R361" t="str">
        <f>PROPER(TRIM(Table1[[#This Row],[ReferralSource]]))</f>
        <v>Email</v>
      </c>
      <c r="S361" s="5">
        <f>Table1[[#This Row],[TotalPrice]]/Table1[[#This Row],[ItemsInCart]]</f>
        <v>230.565</v>
      </c>
    </row>
    <row r="362" spans="1:19" x14ac:dyDescent="0.3">
      <c r="A362" t="s">
        <v>1066</v>
      </c>
      <c r="B362" s="1">
        <v>45180</v>
      </c>
      <c r="C362" t="s">
        <v>2258</v>
      </c>
      <c r="D362" t="s">
        <v>2405</v>
      </c>
      <c r="E362">
        <v>1</v>
      </c>
      <c r="F362">
        <v>531.74</v>
      </c>
      <c r="G362" t="s">
        <v>3018</v>
      </c>
      <c r="H362" t="s">
        <v>3066</v>
      </c>
      <c r="I362" t="s">
        <v>3070</v>
      </c>
      <c r="J362" t="s">
        <v>4127</v>
      </c>
      <c r="K362">
        <v>1</v>
      </c>
      <c r="L362" t="s">
        <v>4277</v>
      </c>
      <c r="M362" t="s">
        <v>4282</v>
      </c>
      <c r="N362" s="5">
        <v>531.74</v>
      </c>
      <c r="O362" t="str">
        <f>IF(ABS(Table1[[#This Row],[TotalPrice]]-Table1[[#This Row],[Quantity]]*Table1[[#This Row],[UnitPrice]]) &lt;0.01, "ok",)</f>
        <v>ok</v>
      </c>
      <c r="P362" t="str">
        <f>PROPER(TRIM(Table1[[#This Row],[ShippingAddress]]))</f>
        <v>493 Main St</v>
      </c>
      <c r="Q362" t="str">
        <f>PROPER(TRIM((Table1[[#This Row],[PaymentMethod]])))</f>
        <v>Online</v>
      </c>
      <c r="R362" t="str">
        <f>PROPER(TRIM(Table1[[#This Row],[ReferralSource]]))</f>
        <v>Google</v>
      </c>
      <c r="S362" s="5">
        <f>Table1[[#This Row],[TotalPrice]]/Table1[[#This Row],[ItemsInCart]]</f>
        <v>531.74</v>
      </c>
    </row>
    <row r="363" spans="1:19" x14ac:dyDescent="0.3">
      <c r="A363" t="s">
        <v>701</v>
      </c>
      <c r="B363" s="1">
        <v>45182</v>
      </c>
      <c r="C363" t="s">
        <v>1899</v>
      </c>
      <c r="D363" t="s">
        <v>2405</v>
      </c>
      <c r="E363">
        <v>1</v>
      </c>
      <c r="F363">
        <v>332.09</v>
      </c>
      <c r="G363" t="s">
        <v>2875</v>
      </c>
      <c r="H363" t="s">
        <v>3068</v>
      </c>
      <c r="I363" t="s">
        <v>3072</v>
      </c>
      <c r="J363" t="s">
        <v>3762</v>
      </c>
      <c r="K363">
        <v>5</v>
      </c>
      <c r="L363" t="s">
        <v>4276</v>
      </c>
      <c r="M363" t="s">
        <v>4278</v>
      </c>
      <c r="N363" s="5">
        <v>332.09</v>
      </c>
      <c r="O363" t="str">
        <f>IF(ABS(Table1[[#This Row],[TotalPrice]]-Table1[[#This Row],[Quantity]]*Table1[[#This Row],[UnitPrice]]) &lt;0.01, "ok",)</f>
        <v>ok</v>
      </c>
      <c r="P363" t="str">
        <f>PROPER(TRIM(Table1[[#This Row],[ShippingAddress]]))</f>
        <v>408 Main St</v>
      </c>
      <c r="Q363" t="str">
        <f>PROPER(TRIM((Table1[[#This Row],[PaymentMethod]])))</f>
        <v>Gift Card</v>
      </c>
      <c r="R363" t="str">
        <f>PROPER(TRIM(Table1[[#This Row],[ReferralSource]]))</f>
        <v>Instagram</v>
      </c>
      <c r="S363" s="5">
        <f>Table1[[#This Row],[TotalPrice]]/Table1[[#This Row],[ItemsInCart]]</f>
        <v>66.417999999999992</v>
      </c>
    </row>
    <row r="364" spans="1:19" x14ac:dyDescent="0.3">
      <c r="A364" t="s">
        <v>123</v>
      </c>
      <c r="B364" s="1">
        <v>45186</v>
      </c>
      <c r="C364" t="s">
        <v>1323</v>
      </c>
      <c r="D364" t="s">
        <v>2409</v>
      </c>
      <c r="E364">
        <v>3</v>
      </c>
      <c r="F364">
        <v>592.87</v>
      </c>
      <c r="G364" t="s">
        <v>2512</v>
      </c>
      <c r="H364" t="s">
        <v>3068</v>
      </c>
      <c r="I364" t="s">
        <v>3070</v>
      </c>
      <c r="J364" t="s">
        <v>3184</v>
      </c>
      <c r="K364">
        <v>3</v>
      </c>
      <c r="L364" t="s">
        <v>4276</v>
      </c>
      <c r="M364" t="s">
        <v>4279</v>
      </c>
      <c r="N364" s="5">
        <v>1778.61</v>
      </c>
      <c r="O364" t="str">
        <f>IF(ABS(Table1[[#This Row],[TotalPrice]]-Table1[[#This Row],[Quantity]]*Table1[[#This Row],[UnitPrice]]) &lt;0.01, "ok",)</f>
        <v>ok</v>
      </c>
      <c r="P364" t="str">
        <f>PROPER(TRIM(Table1[[#This Row],[ShippingAddress]]))</f>
        <v>131 Main St</v>
      </c>
      <c r="Q364" t="str">
        <f>PROPER(TRIM((Table1[[#This Row],[PaymentMethod]])))</f>
        <v>Gift Card</v>
      </c>
      <c r="R364" t="str">
        <f>PROPER(TRIM(Table1[[#This Row],[ReferralSource]]))</f>
        <v>Referral</v>
      </c>
      <c r="S364" s="5">
        <f>Table1[[#This Row],[TotalPrice]]/Table1[[#This Row],[ItemsInCart]]</f>
        <v>592.87</v>
      </c>
    </row>
    <row r="365" spans="1:19" x14ac:dyDescent="0.3">
      <c r="A365" t="s">
        <v>104</v>
      </c>
      <c r="B365" s="1">
        <v>45187</v>
      </c>
      <c r="C365" t="s">
        <v>1304</v>
      </c>
      <c r="D365" t="s">
        <v>2406</v>
      </c>
      <c r="E365">
        <v>4</v>
      </c>
      <c r="F365">
        <v>182.08</v>
      </c>
      <c r="G365" t="s">
        <v>2494</v>
      </c>
      <c r="H365" t="s">
        <v>3068</v>
      </c>
      <c r="I365" t="s">
        <v>3073</v>
      </c>
      <c r="J365" t="s">
        <v>3165</v>
      </c>
      <c r="K365">
        <v>4</v>
      </c>
      <c r="L365" t="s">
        <v>4275</v>
      </c>
      <c r="M365" t="s">
        <v>4280</v>
      </c>
      <c r="N365" s="5">
        <v>728.32</v>
      </c>
      <c r="O365" t="str">
        <f>IF(ABS(Table1[[#This Row],[TotalPrice]]-Table1[[#This Row],[Quantity]]*Table1[[#This Row],[UnitPrice]]) &lt;0.01, "ok",)</f>
        <v>ok</v>
      </c>
      <c r="P365" t="str">
        <f>PROPER(TRIM(Table1[[#This Row],[ShippingAddress]]))</f>
        <v>611 Main St</v>
      </c>
      <c r="Q365" t="str">
        <f>PROPER(TRIM((Table1[[#This Row],[PaymentMethod]])))</f>
        <v>Gift Card</v>
      </c>
      <c r="R365" t="str">
        <f>PROPER(TRIM(Table1[[#This Row],[ReferralSource]]))</f>
        <v>Email</v>
      </c>
      <c r="S365" s="5">
        <f>Table1[[#This Row],[TotalPrice]]/Table1[[#This Row],[ItemsInCart]]</f>
        <v>182.08</v>
      </c>
    </row>
    <row r="366" spans="1:19" x14ac:dyDescent="0.3">
      <c r="A366" t="s">
        <v>286</v>
      </c>
      <c r="B366" s="1">
        <v>45188</v>
      </c>
      <c r="C366" t="s">
        <v>1486</v>
      </c>
      <c r="D366" t="s">
        <v>2406</v>
      </c>
      <c r="E366">
        <v>2</v>
      </c>
      <c r="F366">
        <v>399.32</v>
      </c>
      <c r="G366" t="s">
        <v>2642</v>
      </c>
      <c r="H366" t="s">
        <v>3066</v>
      </c>
      <c r="I366" t="s">
        <v>3074</v>
      </c>
      <c r="J366" t="s">
        <v>3347</v>
      </c>
      <c r="K366">
        <v>6</v>
      </c>
      <c r="L366" t="s">
        <v>4277</v>
      </c>
      <c r="M366" t="s">
        <v>4278</v>
      </c>
      <c r="N366" s="5">
        <v>798.64</v>
      </c>
      <c r="O366" t="str">
        <f>IF(ABS(Table1[[#This Row],[TotalPrice]]-Table1[[#This Row],[Quantity]]*Table1[[#This Row],[UnitPrice]]) &lt;0.01, "ok",)</f>
        <v>ok</v>
      </c>
      <c r="P366" t="str">
        <f>PROPER(TRIM(Table1[[#This Row],[ShippingAddress]]))</f>
        <v>119 Main St</v>
      </c>
      <c r="Q366" t="str">
        <f>PROPER(TRIM((Table1[[#This Row],[PaymentMethod]])))</f>
        <v>Online</v>
      </c>
      <c r="R366" t="str">
        <f>PROPER(TRIM(Table1[[#This Row],[ReferralSource]]))</f>
        <v>Instagram</v>
      </c>
      <c r="S366" s="5">
        <f>Table1[[#This Row],[TotalPrice]]/Table1[[#This Row],[ItemsInCart]]</f>
        <v>133.10666666666665</v>
      </c>
    </row>
    <row r="367" spans="1:19" x14ac:dyDescent="0.3">
      <c r="A367" t="s">
        <v>734</v>
      </c>
      <c r="B367" s="1">
        <v>45190</v>
      </c>
      <c r="C367" t="s">
        <v>1931</v>
      </c>
      <c r="D367" t="s">
        <v>2409</v>
      </c>
      <c r="E367">
        <v>5</v>
      </c>
      <c r="F36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>
        <v>10</v>
      </c>
      <c r="L367" t="s">
        <v>4276</v>
      </c>
      <c r="M367" t="s">
        <v>4278</v>
      </c>
      <c r="N367" s="5">
        <v>644.75</v>
      </c>
      <c r="O367" t="str">
        <f>IF(ABS(Table1[[#This Row],[TotalPrice]]-Table1[[#This Row],[Quantity]]*Table1[[#This Row],[UnitPrice]]) &lt;0.01, "ok",)</f>
        <v>ok</v>
      </c>
      <c r="P367" t="str">
        <f>PROPER(TRIM(Table1[[#This Row],[ShippingAddress]]))</f>
        <v>305 Main St</v>
      </c>
      <c r="Q367" t="str">
        <f>PROPER(TRIM((Table1[[#This Row],[PaymentMethod]])))</f>
        <v>Cash</v>
      </c>
      <c r="R367" t="str">
        <f>PROPER(TRIM(Table1[[#This Row],[ReferralSource]]))</f>
        <v>Instagram</v>
      </c>
      <c r="S367" s="5">
        <f>Table1[[#This Row],[TotalPrice]]/Table1[[#This Row],[ItemsInCart]]</f>
        <v>64.474999999999994</v>
      </c>
    </row>
    <row r="368" spans="1:19" x14ac:dyDescent="0.3">
      <c r="A368" t="s">
        <v>238</v>
      </c>
      <c r="B368" s="1">
        <v>45192</v>
      </c>
      <c r="C368" t="s">
        <v>1438</v>
      </c>
      <c r="D368" t="s">
        <v>2407</v>
      </c>
      <c r="E368">
        <v>4</v>
      </c>
      <c r="F368">
        <v>91.46</v>
      </c>
      <c r="G368" t="s">
        <v>2603</v>
      </c>
      <c r="H368" t="s">
        <v>3069</v>
      </c>
      <c r="I368" t="s">
        <v>3071</v>
      </c>
      <c r="J368" t="s">
        <v>3299</v>
      </c>
      <c r="K368">
        <v>9</v>
      </c>
      <c r="L368" t="s">
        <v>4275</v>
      </c>
      <c r="M368" t="s">
        <v>4279</v>
      </c>
      <c r="N368" s="5">
        <v>365.84</v>
      </c>
      <c r="O368" t="str">
        <f>IF(ABS(Table1[[#This Row],[TotalPrice]]-Table1[[#This Row],[Quantity]]*Table1[[#This Row],[UnitPrice]]) &lt;0.01, "ok",)</f>
        <v>ok</v>
      </c>
      <c r="P368" t="str">
        <f>PROPER(TRIM(Table1[[#This Row],[ShippingAddress]]))</f>
        <v>507 Main St</v>
      </c>
      <c r="Q368" t="str">
        <f>PROPER(TRIM((Table1[[#This Row],[PaymentMethod]])))</f>
        <v>Cash</v>
      </c>
      <c r="R368" t="str">
        <f>PROPER(TRIM(Table1[[#This Row],[ReferralSource]]))</f>
        <v>Referral</v>
      </c>
      <c r="S368" s="5">
        <f>Table1[[#This Row],[TotalPrice]]/Table1[[#This Row],[ItemsInCart]]</f>
        <v>40.648888888888884</v>
      </c>
    </row>
    <row r="369" spans="1:19" x14ac:dyDescent="0.3">
      <c r="A369" t="s">
        <v>639</v>
      </c>
      <c r="B369" s="1">
        <v>45193</v>
      </c>
      <c r="C369" t="s">
        <v>1838</v>
      </c>
      <c r="D369" t="s">
        <v>2405</v>
      </c>
      <c r="E369">
        <v>1</v>
      </c>
      <c r="F369">
        <v>672.89</v>
      </c>
      <c r="G369" t="s">
        <v>2848</v>
      </c>
      <c r="H369" t="s">
        <v>3067</v>
      </c>
      <c r="I369" t="s">
        <v>3074</v>
      </c>
      <c r="J369" t="s">
        <v>3700</v>
      </c>
      <c r="K369">
        <v>1</v>
      </c>
      <c r="L369" t="s">
        <v>4277</v>
      </c>
      <c r="M369" t="s">
        <v>4280</v>
      </c>
      <c r="N369" s="5">
        <v>672.89</v>
      </c>
      <c r="O369" t="str">
        <f>IF(ABS(Table1[[#This Row],[TotalPrice]]-Table1[[#This Row],[Quantity]]*Table1[[#This Row],[UnitPrice]]) &lt;0.01, "ok",)</f>
        <v>ok</v>
      </c>
      <c r="P369" t="str">
        <f>PROPER(TRIM(Table1[[#This Row],[ShippingAddress]]))</f>
        <v>519 Main St</v>
      </c>
      <c r="Q369" t="str">
        <f>PROPER(TRIM((Table1[[#This Row],[PaymentMethod]])))</f>
        <v>Credit Card</v>
      </c>
      <c r="R369" t="str">
        <f>PROPER(TRIM(Table1[[#This Row],[ReferralSource]]))</f>
        <v>Email</v>
      </c>
      <c r="S369" s="5">
        <f>Table1[[#This Row],[TotalPrice]]/Table1[[#This Row],[ItemsInCart]]</f>
        <v>672.89</v>
      </c>
    </row>
    <row r="370" spans="1:19" x14ac:dyDescent="0.3">
      <c r="A370" t="s">
        <v>1150</v>
      </c>
      <c r="B370" s="1">
        <v>45193</v>
      </c>
      <c r="C370" t="s">
        <v>2340</v>
      </c>
      <c r="D370" t="s">
        <v>2405</v>
      </c>
      <c r="E370">
        <v>3</v>
      </c>
      <c r="F370">
        <v>668.33</v>
      </c>
      <c r="G370" t="s">
        <v>2882</v>
      </c>
      <c r="H370" t="s">
        <v>3068</v>
      </c>
      <c r="I370" t="s">
        <v>3074</v>
      </c>
      <c r="J370" t="s">
        <v>4211</v>
      </c>
      <c r="K370">
        <v>4</v>
      </c>
      <c r="L370" t="s">
        <v>4277</v>
      </c>
      <c r="M370" t="s">
        <v>4281</v>
      </c>
      <c r="N370" s="5">
        <v>2004.99</v>
      </c>
      <c r="O370" t="str">
        <f>IF(ABS(Table1[[#This Row],[TotalPrice]]-Table1[[#This Row],[Quantity]]*Table1[[#This Row],[UnitPrice]]) &lt;0.01, "ok",)</f>
        <v>ok</v>
      </c>
      <c r="P370" t="str">
        <f>PROPER(TRIM(Table1[[#This Row],[ShippingAddress]]))</f>
        <v>799 Main St</v>
      </c>
      <c r="Q370" t="str">
        <f>PROPER(TRIM((Table1[[#This Row],[PaymentMethod]])))</f>
        <v>Gift Card</v>
      </c>
      <c r="R370" t="str">
        <f>PROPER(TRIM(Table1[[#This Row],[ReferralSource]]))</f>
        <v>Facebook</v>
      </c>
      <c r="S370" s="5">
        <f>Table1[[#This Row],[TotalPrice]]/Table1[[#This Row],[ItemsInCart]]</f>
        <v>501.2475</v>
      </c>
    </row>
    <row r="371" spans="1:19" x14ac:dyDescent="0.3">
      <c r="A371" t="s">
        <v>89</v>
      </c>
      <c r="B371" s="1">
        <v>45195</v>
      </c>
      <c r="C371" t="s">
        <v>1289</v>
      </c>
      <c r="D371" t="s">
        <v>2405</v>
      </c>
      <c r="E371">
        <v>3</v>
      </c>
      <c r="F371">
        <v>398.17</v>
      </c>
      <c r="G371" t="s">
        <v>2479</v>
      </c>
      <c r="H371" t="s">
        <v>3065</v>
      </c>
      <c r="I371" t="s">
        <v>3073</v>
      </c>
      <c r="J371" t="s">
        <v>3150</v>
      </c>
      <c r="K371">
        <v>5</v>
      </c>
      <c r="L371" t="s">
        <v>4275</v>
      </c>
      <c r="M371" t="s">
        <v>4280</v>
      </c>
      <c r="N371" s="5">
        <v>1194.51</v>
      </c>
      <c r="O371" t="str">
        <f>IF(ABS(Table1[[#This Row],[TotalPrice]]-Table1[[#This Row],[Quantity]]*Table1[[#This Row],[UnitPrice]]) &lt;0.01, "ok",)</f>
        <v>ok</v>
      </c>
      <c r="P371" t="str">
        <f>PROPER(TRIM(Table1[[#This Row],[ShippingAddress]]))</f>
        <v>917 Main St</v>
      </c>
      <c r="Q371" t="str">
        <f>PROPER(TRIM((Table1[[#This Row],[PaymentMethod]])))</f>
        <v>Debit Card</v>
      </c>
      <c r="R371" t="str">
        <f>PROPER(TRIM(Table1[[#This Row],[ReferralSource]]))</f>
        <v>Email</v>
      </c>
      <c r="S371" s="5">
        <f>Table1[[#This Row],[TotalPrice]]/Table1[[#This Row],[ItemsInCart]]</f>
        <v>238.90199999999999</v>
      </c>
    </row>
    <row r="372" spans="1:19" x14ac:dyDescent="0.3">
      <c r="A372" t="s">
        <v>988</v>
      </c>
      <c r="B372" s="1">
        <v>45196</v>
      </c>
      <c r="C372" t="s">
        <v>2181</v>
      </c>
      <c r="D372" t="s">
        <v>2409</v>
      </c>
      <c r="E372">
        <v>5</v>
      </c>
      <c r="F372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>
        <v>5</v>
      </c>
      <c r="L372" t="s">
        <v>4283</v>
      </c>
      <c r="M372" t="s">
        <v>4280</v>
      </c>
      <c r="N372" s="5">
        <v>1333.9</v>
      </c>
      <c r="O372" t="str">
        <f>IF(ABS(Table1[[#This Row],[TotalPrice]]-Table1[[#This Row],[Quantity]]*Table1[[#This Row],[UnitPrice]]) &lt;0.01, "ok",)</f>
        <v>ok</v>
      </c>
      <c r="P372" t="str">
        <f>PROPER(TRIM(Table1[[#This Row],[ShippingAddress]]))</f>
        <v>274 Main St</v>
      </c>
      <c r="Q372" t="str">
        <f>PROPER(TRIM((Table1[[#This Row],[PaymentMethod]])))</f>
        <v>Gift Card</v>
      </c>
      <c r="R372" t="str">
        <f>PROPER(TRIM(Table1[[#This Row],[ReferralSource]]))</f>
        <v>Email</v>
      </c>
      <c r="S372" s="5">
        <f>Table1[[#This Row],[TotalPrice]]/Table1[[#This Row],[ItemsInCart]]</f>
        <v>266.78000000000003</v>
      </c>
    </row>
    <row r="373" spans="1:19" x14ac:dyDescent="0.3">
      <c r="A373" t="s">
        <v>1198</v>
      </c>
      <c r="B373" s="1">
        <v>45196</v>
      </c>
      <c r="C373" t="s">
        <v>2387</v>
      </c>
      <c r="D373" t="s">
        <v>2408</v>
      </c>
      <c r="E373">
        <v>1</v>
      </c>
      <c r="F373">
        <v>204.08</v>
      </c>
      <c r="G373" t="s">
        <v>2938</v>
      </c>
      <c r="H373" t="s">
        <v>3068</v>
      </c>
      <c r="I373" t="s">
        <v>3072</v>
      </c>
      <c r="J373" t="s">
        <v>4259</v>
      </c>
      <c r="K373">
        <v>4</v>
      </c>
      <c r="L373" t="s">
        <v>4283</v>
      </c>
      <c r="M373" t="s">
        <v>4282</v>
      </c>
      <c r="N373" s="5">
        <v>204.08</v>
      </c>
      <c r="O373" t="str">
        <f>IF(ABS(Table1[[#This Row],[TotalPrice]]-Table1[[#This Row],[Quantity]]*Table1[[#This Row],[UnitPrice]]) &lt;0.01, "ok",)</f>
        <v>ok</v>
      </c>
      <c r="P373" t="str">
        <f>PROPER(TRIM(Table1[[#This Row],[ShippingAddress]]))</f>
        <v>979 Main St</v>
      </c>
      <c r="Q373" t="str">
        <f>PROPER(TRIM((Table1[[#This Row],[PaymentMethod]])))</f>
        <v>Gift Card</v>
      </c>
      <c r="R373" t="str">
        <f>PROPER(TRIM(Table1[[#This Row],[ReferralSource]]))</f>
        <v>Google</v>
      </c>
      <c r="S373" s="5">
        <f>Table1[[#This Row],[TotalPrice]]/Table1[[#This Row],[ItemsInCart]]</f>
        <v>51.02</v>
      </c>
    </row>
    <row r="374" spans="1:19" x14ac:dyDescent="0.3">
      <c r="A374" t="s">
        <v>411</v>
      </c>
      <c r="B374" s="1">
        <v>45197</v>
      </c>
      <c r="C374" t="s">
        <v>1611</v>
      </c>
      <c r="D374" t="s">
        <v>2403</v>
      </c>
      <c r="E374">
        <v>1</v>
      </c>
      <c r="F374">
        <v>427.06</v>
      </c>
      <c r="G374" t="s">
        <v>2731</v>
      </c>
      <c r="H374" t="s">
        <v>3066</v>
      </c>
      <c r="I374" t="s">
        <v>3071</v>
      </c>
      <c r="J374" t="s">
        <v>3472</v>
      </c>
      <c r="K374">
        <v>1</v>
      </c>
      <c r="L374" t="s">
        <v>4277</v>
      </c>
      <c r="M374" t="s">
        <v>4279</v>
      </c>
      <c r="N374" s="5">
        <v>427.06</v>
      </c>
      <c r="O374" t="str">
        <f>IF(ABS(Table1[[#This Row],[TotalPrice]]-Table1[[#This Row],[Quantity]]*Table1[[#This Row],[UnitPrice]]) &lt;0.01, "ok",)</f>
        <v>ok</v>
      </c>
      <c r="P374" t="str">
        <f>PROPER(TRIM(Table1[[#This Row],[ShippingAddress]]))</f>
        <v>987 Main St</v>
      </c>
      <c r="Q374" t="str">
        <f>PROPER(TRIM((Table1[[#This Row],[PaymentMethod]])))</f>
        <v>Online</v>
      </c>
      <c r="R374" t="str">
        <f>PROPER(TRIM(Table1[[#This Row],[ReferralSource]]))</f>
        <v>Referral</v>
      </c>
      <c r="S374" s="5">
        <f>Table1[[#This Row],[TotalPrice]]/Table1[[#This Row],[ItemsInCart]]</f>
        <v>427.06</v>
      </c>
    </row>
    <row r="375" spans="1:19" x14ac:dyDescent="0.3">
      <c r="A375" t="s">
        <v>484</v>
      </c>
      <c r="B375" s="1">
        <v>45198</v>
      </c>
      <c r="C375" t="s">
        <v>1684</v>
      </c>
      <c r="D375" t="s">
        <v>2405</v>
      </c>
      <c r="E375">
        <v>4</v>
      </c>
      <c r="F375">
        <v>263.62</v>
      </c>
      <c r="G375" t="s">
        <v>2774</v>
      </c>
      <c r="H375" t="s">
        <v>3069</v>
      </c>
      <c r="I375" t="s">
        <v>3070</v>
      </c>
      <c r="J375" t="s">
        <v>3545</v>
      </c>
      <c r="K375">
        <v>5</v>
      </c>
      <c r="L375" t="s">
        <v>4275</v>
      </c>
      <c r="M375" t="s">
        <v>4280</v>
      </c>
      <c r="N375" s="5">
        <v>1054.48</v>
      </c>
      <c r="O375" t="str">
        <f>IF(ABS(Table1[[#This Row],[TotalPrice]]-Table1[[#This Row],[Quantity]]*Table1[[#This Row],[UnitPrice]]) &lt;0.01, "ok",)</f>
        <v>ok</v>
      </c>
      <c r="P375" t="str">
        <f>PROPER(TRIM(Table1[[#This Row],[ShippingAddress]]))</f>
        <v>672 Main St</v>
      </c>
      <c r="Q375" t="str">
        <f>PROPER(TRIM((Table1[[#This Row],[PaymentMethod]])))</f>
        <v>Cash</v>
      </c>
      <c r="R375" t="str">
        <f>PROPER(TRIM(Table1[[#This Row],[ReferralSource]]))</f>
        <v>Email</v>
      </c>
      <c r="S375" s="5">
        <f>Table1[[#This Row],[TotalPrice]]/Table1[[#This Row],[ItemsInCart]]</f>
        <v>210.89600000000002</v>
      </c>
    </row>
    <row r="376" spans="1:19" x14ac:dyDescent="0.3">
      <c r="A376" t="s">
        <v>956</v>
      </c>
      <c r="B376" s="1">
        <v>45198</v>
      </c>
      <c r="C376" t="s">
        <v>2151</v>
      </c>
      <c r="D376" t="s">
        <v>2405</v>
      </c>
      <c r="E376">
        <v>1</v>
      </c>
      <c r="F376">
        <v>479.76</v>
      </c>
      <c r="G376" t="s">
        <v>2599</v>
      </c>
      <c r="H376" t="s">
        <v>3067</v>
      </c>
      <c r="I376" t="s">
        <v>3074</v>
      </c>
      <c r="J376" t="s">
        <v>4017</v>
      </c>
      <c r="K376">
        <v>1</v>
      </c>
      <c r="L376" t="s">
        <v>4283</v>
      </c>
      <c r="M376" t="s">
        <v>4280</v>
      </c>
      <c r="N376" s="5">
        <v>479.76</v>
      </c>
      <c r="O376" t="str">
        <f>IF(ABS(Table1[[#This Row],[TotalPrice]]-Table1[[#This Row],[Quantity]]*Table1[[#This Row],[UnitPrice]]) &lt;0.01, "ok",)</f>
        <v>ok</v>
      </c>
      <c r="P376" t="str">
        <f>PROPER(TRIM(Table1[[#This Row],[ShippingAddress]]))</f>
        <v>882 Main St</v>
      </c>
      <c r="Q376" t="str">
        <f>PROPER(TRIM((Table1[[#This Row],[PaymentMethod]])))</f>
        <v>Credit Card</v>
      </c>
      <c r="R376" t="str">
        <f>PROPER(TRIM(Table1[[#This Row],[ReferralSource]]))</f>
        <v>Email</v>
      </c>
      <c r="S376" s="5">
        <f>Table1[[#This Row],[TotalPrice]]/Table1[[#This Row],[ItemsInCart]]</f>
        <v>479.76</v>
      </c>
    </row>
    <row r="377" spans="1:19" x14ac:dyDescent="0.3">
      <c r="A377" t="s">
        <v>566</v>
      </c>
      <c r="B377" s="1">
        <v>45199</v>
      </c>
      <c r="C377" t="s">
        <v>1766</v>
      </c>
      <c r="D377" t="s">
        <v>2406</v>
      </c>
      <c r="E377">
        <v>4</v>
      </c>
      <c r="F37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 s="5">
        <v>1700.72</v>
      </c>
      <c r="O377" t="str">
        <f>IF(ABS(Table1[[#This Row],[TotalPrice]]-Table1[[#This Row],[Quantity]]*Table1[[#This Row],[UnitPrice]]) &lt;0.01, "ok",)</f>
        <v>ok</v>
      </c>
      <c r="P377" t="str">
        <f>PROPER(TRIM(Table1[[#This Row],[ShippingAddress]]))</f>
        <v>560 Main St</v>
      </c>
      <c r="Q377" t="str">
        <f>PROPER(TRIM((Table1[[#This Row],[PaymentMethod]])))</f>
        <v>Online</v>
      </c>
      <c r="R377" t="str">
        <f>PROPER(TRIM(Table1[[#This Row],[ReferralSource]]))</f>
        <v>Facebook</v>
      </c>
      <c r="S377" s="5">
        <f>Table1[[#This Row],[TotalPrice]]/Table1[[#This Row],[ItemsInCart]]</f>
        <v>212.59</v>
      </c>
    </row>
    <row r="378" spans="1:19" x14ac:dyDescent="0.3">
      <c r="A378" t="s">
        <v>330</v>
      </c>
      <c r="B378" s="1">
        <v>45201</v>
      </c>
      <c r="C378" t="s">
        <v>1530</v>
      </c>
      <c r="D378" t="s">
        <v>2409</v>
      </c>
      <c r="E378">
        <v>4</v>
      </c>
      <c r="F378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>
        <v>9</v>
      </c>
      <c r="L378" t="s">
        <v>4277</v>
      </c>
      <c r="M378" t="s">
        <v>4281</v>
      </c>
      <c r="N378" s="5">
        <v>1101.1199999999999</v>
      </c>
      <c r="O378" t="str">
        <f>IF(ABS(Table1[[#This Row],[TotalPrice]]-Table1[[#This Row],[Quantity]]*Table1[[#This Row],[UnitPrice]]) &lt;0.01, "ok",)</f>
        <v>ok</v>
      </c>
      <c r="P378" t="str">
        <f>PROPER(TRIM(Table1[[#This Row],[ShippingAddress]]))</f>
        <v>101 Main St</v>
      </c>
      <c r="Q378" t="str">
        <f>PROPER(TRIM((Table1[[#This Row],[PaymentMethod]])))</f>
        <v>Gift Card</v>
      </c>
      <c r="R378" t="str">
        <f>PROPER(TRIM(Table1[[#This Row],[ReferralSource]]))</f>
        <v>Facebook</v>
      </c>
      <c r="S378" s="5">
        <f>Table1[[#This Row],[TotalPrice]]/Table1[[#This Row],[ItemsInCart]]</f>
        <v>122.34666666666665</v>
      </c>
    </row>
    <row r="379" spans="1:19" x14ac:dyDescent="0.3">
      <c r="A379" t="s">
        <v>615</v>
      </c>
      <c r="B379" s="1">
        <v>45201</v>
      </c>
      <c r="C379" t="s">
        <v>1815</v>
      </c>
      <c r="D379" t="s">
        <v>2403</v>
      </c>
      <c r="E379">
        <v>5</v>
      </c>
      <c r="F379">
        <v>24.82</v>
      </c>
      <c r="G379" t="s">
        <v>2836</v>
      </c>
      <c r="H379" t="s">
        <v>3067</v>
      </c>
      <c r="I379" t="s">
        <v>3070</v>
      </c>
      <c r="J379" t="s">
        <v>3676</v>
      </c>
      <c r="K379">
        <v>10</v>
      </c>
      <c r="L379" t="s">
        <v>4283</v>
      </c>
      <c r="M379" t="s">
        <v>4279</v>
      </c>
      <c r="N379" s="5">
        <v>124.1</v>
      </c>
      <c r="O379" t="str">
        <f>IF(ABS(Table1[[#This Row],[TotalPrice]]-Table1[[#This Row],[Quantity]]*Table1[[#This Row],[UnitPrice]]) &lt;0.01, "ok",)</f>
        <v>ok</v>
      </c>
      <c r="P379" t="str">
        <f>PROPER(TRIM(Table1[[#This Row],[ShippingAddress]]))</f>
        <v>529 Main St</v>
      </c>
      <c r="Q379" t="str">
        <f>PROPER(TRIM((Table1[[#This Row],[PaymentMethod]])))</f>
        <v>Credit Card</v>
      </c>
      <c r="R379" t="str">
        <f>PROPER(TRIM(Table1[[#This Row],[ReferralSource]]))</f>
        <v>Referral</v>
      </c>
      <c r="S379" s="5">
        <f>Table1[[#This Row],[TotalPrice]]/Table1[[#This Row],[ItemsInCart]]</f>
        <v>12.41</v>
      </c>
    </row>
    <row r="380" spans="1:19" x14ac:dyDescent="0.3">
      <c r="A380" t="s">
        <v>708</v>
      </c>
      <c r="B380" s="1">
        <v>45201</v>
      </c>
      <c r="C380" t="s">
        <v>1906</v>
      </c>
      <c r="D380" t="s">
        <v>2407</v>
      </c>
      <c r="E380">
        <v>4</v>
      </c>
      <c r="F380">
        <v>666.52</v>
      </c>
      <c r="G380" t="s">
        <v>2695</v>
      </c>
      <c r="H380" t="s">
        <v>3069</v>
      </c>
      <c r="I380" t="s">
        <v>3070</v>
      </c>
      <c r="J380" t="s">
        <v>3769</v>
      </c>
      <c r="K380">
        <v>8</v>
      </c>
      <c r="L380" t="s">
        <v>4276</v>
      </c>
      <c r="M380" t="s">
        <v>4280</v>
      </c>
      <c r="N380" s="5">
        <v>2666.08</v>
      </c>
      <c r="O380" t="str">
        <f>IF(ABS(Table1[[#This Row],[TotalPrice]]-Table1[[#This Row],[Quantity]]*Table1[[#This Row],[UnitPrice]]) &lt;0.01, "ok",)</f>
        <v>ok</v>
      </c>
      <c r="P380" t="str">
        <f>PROPER(TRIM(Table1[[#This Row],[ShippingAddress]]))</f>
        <v>619 Main St</v>
      </c>
      <c r="Q380" t="str">
        <f>PROPER(TRIM((Table1[[#This Row],[PaymentMethod]])))</f>
        <v>Cash</v>
      </c>
      <c r="R380" t="str">
        <f>PROPER(TRIM(Table1[[#This Row],[ReferralSource]]))</f>
        <v>Email</v>
      </c>
      <c r="S380" s="5">
        <f>Table1[[#This Row],[TotalPrice]]/Table1[[#This Row],[ItemsInCart]]</f>
        <v>333.26</v>
      </c>
    </row>
    <row r="381" spans="1:19" x14ac:dyDescent="0.3">
      <c r="A381" t="s">
        <v>1044</v>
      </c>
      <c r="B381" s="1">
        <v>45201</v>
      </c>
      <c r="C381" t="s">
        <v>2236</v>
      </c>
      <c r="D381" t="s">
        <v>2404</v>
      </c>
      <c r="E381">
        <v>4</v>
      </c>
      <c r="F381">
        <v>245.28</v>
      </c>
      <c r="G381" t="s">
        <v>3005</v>
      </c>
      <c r="H381" t="s">
        <v>3067</v>
      </c>
      <c r="I381" t="s">
        <v>3073</v>
      </c>
      <c r="J381" t="s">
        <v>4105</v>
      </c>
      <c r="K381">
        <v>6</v>
      </c>
      <c r="L381" t="s">
        <v>4277</v>
      </c>
      <c r="M381" t="s">
        <v>4280</v>
      </c>
      <c r="N381" s="5">
        <v>981.12</v>
      </c>
      <c r="O381" t="str">
        <f>IF(ABS(Table1[[#This Row],[TotalPrice]]-Table1[[#This Row],[Quantity]]*Table1[[#This Row],[UnitPrice]]) &lt;0.01, "ok",)</f>
        <v>ok</v>
      </c>
      <c r="P381" t="str">
        <f>PROPER(TRIM(Table1[[#This Row],[ShippingAddress]]))</f>
        <v>176 Main St</v>
      </c>
      <c r="Q381" t="str">
        <f>PROPER(TRIM((Table1[[#This Row],[PaymentMethod]])))</f>
        <v>Credit Card</v>
      </c>
      <c r="R381" t="str">
        <f>PROPER(TRIM(Table1[[#This Row],[ReferralSource]]))</f>
        <v>Email</v>
      </c>
      <c r="S381" s="5">
        <f>Table1[[#This Row],[TotalPrice]]/Table1[[#This Row],[ItemsInCart]]</f>
        <v>163.52000000000001</v>
      </c>
    </row>
    <row r="382" spans="1:19" x14ac:dyDescent="0.3">
      <c r="A382" t="s">
        <v>323</v>
      </c>
      <c r="B382" s="1">
        <v>45202</v>
      </c>
      <c r="C382" t="s">
        <v>1523</v>
      </c>
      <c r="D382" t="s">
        <v>2406</v>
      </c>
      <c r="E382">
        <v>4</v>
      </c>
      <c r="F382">
        <v>549.76</v>
      </c>
      <c r="G382" t="s">
        <v>2671</v>
      </c>
      <c r="H382" t="s">
        <v>3065</v>
      </c>
      <c r="I382" t="s">
        <v>3073</v>
      </c>
      <c r="J382" t="s">
        <v>3384</v>
      </c>
      <c r="K382">
        <v>4</v>
      </c>
      <c r="L382" t="s">
        <v>4276</v>
      </c>
      <c r="M382" t="s">
        <v>4281</v>
      </c>
      <c r="N382" s="5">
        <v>2199.04</v>
      </c>
      <c r="O382" t="str">
        <f>IF(ABS(Table1[[#This Row],[TotalPrice]]-Table1[[#This Row],[Quantity]]*Table1[[#This Row],[UnitPrice]]) &lt;0.01, "ok",)</f>
        <v>ok</v>
      </c>
      <c r="P382" t="str">
        <f>PROPER(TRIM(Table1[[#This Row],[ShippingAddress]]))</f>
        <v>625 Main St</v>
      </c>
      <c r="Q382" t="str">
        <f>PROPER(TRIM((Table1[[#This Row],[PaymentMethod]])))</f>
        <v>Debit Card</v>
      </c>
      <c r="R382" t="str">
        <f>PROPER(TRIM(Table1[[#This Row],[ReferralSource]]))</f>
        <v>Facebook</v>
      </c>
      <c r="S382" s="5">
        <f>Table1[[#This Row],[TotalPrice]]/Table1[[#This Row],[ItemsInCart]]</f>
        <v>549.76</v>
      </c>
    </row>
    <row r="383" spans="1:19" x14ac:dyDescent="0.3">
      <c r="A383" t="s">
        <v>328</v>
      </c>
      <c r="B383" s="1">
        <v>45203</v>
      </c>
      <c r="C383" t="s">
        <v>1528</v>
      </c>
      <c r="D383" t="s">
        <v>2409</v>
      </c>
      <c r="E383">
        <v>4</v>
      </c>
      <c r="F383">
        <v>153.09</v>
      </c>
      <c r="G383" t="s">
        <v>2675</v>
      </c>
      <c r="H383" t="s">
        <v>3066</v>
      </c>
      <c r="I383" t="s">
        <v>3073</v>
      </c>
      <c r="J383" t="s">
        <v>3389</v>
      </c>
      <c r="K383">
        <v>4</v>
      </c>
      <c r="L383" t="s">
        <v>4276</v>
      </c>
      <c r="M383" t="s">
        <v>4279</v>
      </c>
      <c r="N383" s="5">
        <v>612.36</v>
      </c>
      <c r="O383" t="str">
        <f>IF(ABS(Table1[[#This Row],[TotalPrice]]-Table1[[#This Row],[Quantity]]*Table1[[#This Row],[UnitPrice]]) &lt;0.01, "ok",)</f>
        <v>ok</v>
      </c>
      <c r="P383" t="str">
        <f>PROPER(TRIM(Table1[[#This Row],[ShippingAddress]]))</f>
        <v>540 Main St</v>
      </c>
      <c r="Q383" t="str">
        <f>PROPER(TRIM((Table1[[#This Row],[PaymentMethod]])))</f>
        <v>Online</v>
      </c>
      <c r="R383" t="str">
        <f>PROPER(TRIM(Table1[[#This Row],[ReferralSource]]))</f>
        <v>Referral</v>
      </c>
      <c r="S383" s="5">
        <f>Table1[[#This Row],[TotalPrice]]/Table1[[#This Row],[ItemsInCart]]</f>
        <v>153.09</v>
      </c>
    </row>
    <row r="384" spans="1:19" x14ac:dyDescent="0.3">
      <c r="A384" t="s">
        <v>650</v>
      </c>
      <c r="B384" s="1">
        <v>45204</v>
      </c>
      <c r="C384" t="s">
        <v>1849</v>
      </c>
      <c r="D384" t="s">
        <v>2408</v>
      </c>
      <c r="E384">
        <v>4</v>
      </c>
      <c r="F384">
        <v>371.07</v>
      </c>
      <c r="G384" t="s">
        <v>2564</v>
      </c>
      <c r="H384" t="s">
        <v>3069</v>
      </c>
      <c r="I384" t="s">
        <v>3071</v>
      </c>
      <c r="J384" t="s">
        <v>3711</v>
      </c>
      <c r="K384">
        <v>7</v>
      </c>
      <c r="L384" t="s">
        <v>4277</v>
      </c>
      <c r="M384" t="s">
        <v>4281</v>
      </c>
      <c r="N384" s="5">
        <v>1484.28</v>
      </c>
      <c r="O384" t="str">
        <f>IF(ABS(Table1[[#This Row],[TotalPrice]]-Table1[[#This Row],[Quantity]]*Table1[[#This Row],[UnitPrice]]) &lt;0.01, "ok",)</f>
        <v>ok</v>
      </c>
      <c r="P384" t="str">
        <f>PROPER(TRIM(Table1[[#This Row],[ShippingAddress]]))</f>
        <v>336 Main St</v>
      </c>
      <c r="Q384" t="str">
        <f>PROPER(TRIM((Table1[[#This Row],[PaymentMethod]])))</f>
        <v>Cash</v>
      </c>
      <c r="R384" t="str">
        <f>PROPER(TRIM(Table1[[#This Row],[ReferralSource]]))</f>
        <v>Facebook</v>
      </c>
      <c r="S384" s="5">
        <f>Table1[[#This Row],[TotalPrice]]/Table1[[#This Row],[ItemsInCart]]</f>
        <v>212.04</v>
      </c>
    </row>
    <row r="385" spans="1:19" x14ac:dyDescent="0.3">
      <c r="A385" t="s">
        <v>831</v>
      </c>
      <c r="B385" s="1">
        <v>45204</v>
      </c>
      <c r="C385" t="s">
        <v>2027</v>
      </c>
      <c r="D385" t="s">
        <v>2406</v>
      </c>
      <c r="E385">
        <v>4</v>
      </c>
      <c r="F385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>
        <v>7</v>
      </c>
      <c r="L385" t="s">
        <v>4277</v>
      </c>
      <c r="M385" t="s">
        <v>4280</v>
      </c>
      <c r="N385" s="5">
        <v>2392.7600000000002</v>
      </c>
      <c r="O385" t="str">
        <f>IF(ABS(Table1[[#This Row],[TotalPrice]]-Table1[[#This Row],[Quantity]]*Table1[[#This Row],[UnitPrice]]) &lt;0.01, "ok",)</f>
        <v>ok</v>
      </c>
      <c r="P385" t="str">
        <f>PROPER(TRIM(Table1[[#This Row],[ShippingAddress]]))</f>
        <v>430 Main St</v>
      </c>
      <c r="Q385" t="str">
        <f>PROPER(TRIM((Table1[[#This Row],[PaymentMethod]])))</f>
        <v>Credit Card</v>
      </c>
      <c r="R385" t="str">
        <f>PROPER(TRIM(Table1[[#This Row],[ReferralSource]]))</f>
        <v>Email</v>
      </c>
      <c r="S385" s="5">
        <f>Table1[[#This Row],[TotalPrice]]/Table1[[#This Row],[ItemsInCart]]</f>
        <v>341.82285714285717</v>
      </c>
    </row>
    <row r="386" spans="1:19" x14ac:dyDescent="0.3">
      <c r="A386" t="s">
        <v>576</v>
      </c>
      <c r="B386" s="1">
        <v>45205</v>
      </c>
      <c r="C386" t="s">
        <v>1776</v>
      </c>
      <c r="D386" t="s">
        <v>2408</v>
      </c>
      <c r="E386">
        <v>3</v>
      </c>
      <c r="F386">
        <v>663.93</v>
      </c>
      <c r="G386" t="s">
        <v>2500</v>
      </c>
      <c r="H386" t="s">
        <v>3068</v>
      </c>
      <c r="I386" t="s">
        <v>3072</v>
      </c>
      <c r="J386" t="s">
        <v>3637</v>
      </c>
      <c r="K386">
        <v>6</v>
      </c>
      <c r="L386" t="s">
        <v>4276</v>
      </c>
      <c r="M386" t="s">
        <v>4280</v>
      </c>
      <c r="N386" s="5">
        <v>1991.79</v>
      </c>
      <c r="O386" t="str">
        <f>IF(ABS(Table1[[#This Row],[TotalPrice]]-Table1[[#This Row],[Quantity]]*Table1[[#This Row],[UnitPrice]]) &lt;0.01, "ok",)</f>
        <v>ok</v>
      </c>
      <c r="P386" t="str">
        <f>PROPER(TRIM(Table1[[#This Row],[ShippingAddress]]))</f>
        <v>922 Main St</v>
      </c>
      <c r="Q386" t="str">
        <f>PROPER(TRIM((Table1[[#This Row],[PaymentMethod]])))</f>
        <v>Gift Card</v>
      </c>
      <c r="R386" t="str">
        <f>PROPER(TRIM(Table1[[#This Row],[ReferralSource]]))</f>
        <v>Email</v>
      </c>
      <c r="S386" s="5">
        <f>Table1[[#This Row],[TotalPrice]]/Table1[[#This Row],[ItemsInCart]]</f>
        <v>331.96499999999997</v>
      </c>
    </row>
    <row r="387" spans="1:19" x14ac:dyDescent="0.3">
      <c r="A387" t="s">
        <v>779</v>
      </c>
      <c r="B387" s="1">
        <v>45205</v>
      </c>
      <c r="C387" t="s">
        <v>1976</v>
      </c>
      <c r="D387" t="s">
        <v>2408</v>
      </c>
      <c r="E387">
        <v>2</v>
      </c>
      <c r="F387">
        <v>534.91</v>
      </c>
      <c r="G387" t="s">
        <v>2888</v>
      </c>
      <c r="H387" t="s">
        <v>3065</v>
      </c>
      <c r="I387" t="s">
        <v>3072</v>
      </c>
      <c r="J387" t="s">
        <v>3840</v>
      </c>
      <c r="K387">
        <v>5</v>
      </c>
      <c r="L387" t="s">
        <v>4275</v>
      </c>
      <c r="M387" t="s">
        <v>4282</v>
      </c>
      <c r="N387" s="5">
        <v>1069.82</v>
      </c>
      <c r="O387" t="str">
        <f>IF(ABS(Table1[[#This Row],[TotalPrice]]-Table1[[#This Row],[Quantity]]*Table1[[#This Row],[UnitPrice]]) &lt;0.01, "ok",)</f>
        <v>ok</v>
      </c>
      <c r="P387" t="str">
        <f>PROPER(TRIM(Table1[[#This Row],[ShippingAddress]]))</f>
        <v>281 Main St</v>
      </c>
      <c r="Q387" t="str">
        <f>PROPER(TRIM((Table1[[#This Row],[PaymentMethod]])))</f>
        <v>Debit Card</v>
      </c>
      <c r="R387" t="str">
        <f>PROPER(TRIM(Table1[[#This Row],[ReferralSource]]))</f>
        <v>Google</v>
      </c>
      <c r="S387" s="5">
        <f>Table1[[#This Row],[TotalPrice]]/Table1[[#This Row],[ItemsInCart]]</f>
        <v>213.964</v>
      </c>
    </row>
    <row r="388" spans="1:19" x14ac:dyDescent="0.3">
      <c r="A388" t="s">
        <v>1096</v>
      </c>
      <c r="B388" s="1">
        <v>45205</v>
      </c>
      <c r="C388" t="s">
        <v>2288</v>
      </c>
      <c r="D388" t="s">
        <v>2406</v>
      </c>
      <c r="E388">
        <v>3</v>
      </c>
      <c r="F388">
        <v>573.22</v>
      </c>
      <c r="G388" t="s">
        <v>3011</v>
      </c>
      <c r="H388" t="s">
        <v>3065</v>
      </c>
      <c r="I388" t="s">
        <v>3074</v>
      </c>
      <c r="J388" t="s">
        <v>4157</v>
      </c>
      <c r="K388">
        <v>5</v>
      </c>
      <c r="L388" t="s">
        <v>4275</v>
      </c>
      <c r="M388" t="s">
        <v>4280</v>
      </c>
      <c r="N388" s="5">
        <v>1719.66</v>
      </c>
      <c r="O388" t="str">
        <f>IF(ABS(Table1[[#This Row],[TotalPrice]]-Table1[[#This Row],[Quantity]]*Table1[[#This Row],[UnitPrice]]) &lt;0.01, "ok",)</f>
        <v>ok</v>
      </c>
      <c r="P388" t="str">
        <f>PROPER(TRIM(Table1[[#This Row],[ShippingAddress]]))</f>
        <v>177 Main St</v>
      </c>
      <c r="Q388" t="str">
        <f>PROPER(TRIM((Table1[[#This Row],[PaymentMethod]])))</f>
        <v>Debit Card</v>
      </c>
      <c r="R388" t="str">
        <f>PROPER(TRIM(Table1[[#This Row],[ReferralSource]]))</f>
        <v>Email</v>
      </c>
      <c r="S388" s="5">
        <f>Table1[[#This Row],[TotalPrice]]/Table1[[#This Row],[ItemsInCart]]</f>
        <v>343.93200000000002</v>
      </c>
    </row>
    <row r="389" spans="1:19" x14ac:dyDescent="0.3">
      <c r="A389" t="s">
        <v>63</v>
      </c>
      <c r="B389" s="1">
        <v>45206</v>
      </c>
      <c r="C389" t="s">
        <v>1263</v>
      </c>
      <c r="D389" t="s">
        <v>2407</v>
      </c>
      <c r="E389">
        <v>1</v>
      </c>
      <c r="F389">
        <v>30.44</v>
      </c>
      <c r="G389" t="s">
        <v>2432</v>
      </c>
      <c r="H389" t="s">
        <v>3067</v>
      </c>
      <c r="I389" t="s">
        <v>3070</v>
      </c>
      <c r="J389" t="s">
        <v>3124</v>
      </c>
      <c r="K389">
        <v>1</v>
      </c>
      <c r="L389" t="s">
        <v>4275</v>
      </c>
      <c r="M389" t="s">
        <v>4280</v>
      </c>
      <c r="N389" s="5">
        <v>30.44</v>
      </c>
      <c r="O389" t="str">
        <f>IF(ABS(Table1[[#This Row],[TotalPrice]]-Table1[[#This Row],[Quantity]]*Table1[[#This Row],[UnitPrice]]) &lt;0.01, "ok",)</f>
        <v>ok</v>
      </c>
      <c r="P389" t="str">
        <f>PROPER(TRIM(Table1[[#This Row],[ShippingAddress]]))</f>
        <v>633 Main St</v>
      </c>
      <c r="Q389" t="str">
        <f>PROPER(TRIM((Table1[[#This Row],[PaymentMethod]])))</f>
        <v>Credit Card</v>
      </c>
      <c r="R389" t="str">
        <f>PROPER(TRIM(Table1[[#This Row],[ReferralSource]]))</f>
        <v>Email</v>
      </c>
      <c r="S389" s="5">
        <f>Table1[[#This Row],[TotalPrice]]/Table1[[#This Row],[ItemsInCart]]</f>
        <v>30.44</v>
      </c>
    </row>
    <row r="390" spans="1:19" x14ac:dyDescent="0.3">
      <c r="A390" t="s">
        <v>1202</v>
      </c>
      <c r="B390" s="1">
        <v>45206</v>
      </c>
      <c r="C390" t="s">
        <v>2391</v>
      </c>
      <c r="D390" t="s">
        <v>2407</v>
      </c>
      <c r="E390">
        <v>2</v>
      </c>
      <c r="F390">
        <v>371.29</v>
      </c>
      <c r="G390" t="s">
        <v>3059</v>
      </c>
      <c r="H390" t="s">
        <v>3068</v>
      </c>
      <c r="I390" t="s">
        <v>3070</v>
      </c>
      <c r="J390" t="s">
        <v>4263</v>
      </c>
      <c r="K390">
        <v>5</v>
      </c>
      <c r="L390" t="s">
        <v>4277</v>
      </c>
      <c r="M390" t="s">
        <v>4281</v>
      </c>
      <c r="N390" s="5">
        <v>742.58</v>
      </c>
      <c r="O390" t="str">
        <f>IF(ABS(Table1[[#This Row],[TotalPrice]]-Table1[[#This Row],[Quantity]]*Table1[[#This Row],[UnitPrice]]) &lt;0.01, "ok",)</f>
        <v>ok</v>
      </c>
      <c r="P390" t="str">
        <f>PROPER(TRIM(Table1[[#This Row],[ShippingAddress]]))</f>
        <v>924 Main St</v>
      </c>
      <c r="Q390" t="str">
        <f>PROPER(TRIM((Table1[[#This Row],[PaymentMethod]])))</f>
        <v>Gift Card</v>
      </c>
      <c r="R390" t="str">
        <f>PROPER(TRIM(Table1[[#This Row],[ReferralSource]]))</f>
        <v>Facebook</v>
      </c>
      <c r="S390" s="5">
        <f>Table1[[#This Row],[TotalPrice]]/Table1[[#This Row],[ItemsInCart]]</f>
        <v>148.51600000000002</v>
      </c>
    </row>
    <row r="391" spans="1:19" x14ac:dyDescent="0.3">
      <c r="A391" t="s">
        <v>427</v>
      </c>
      <c r="B391" s="1">
        <v>45207</v>
      </c>
      <c r="C391" t="s">
        <v>1627</v>
      </c>
      <c r="D391" t="s">
        <v>2405</v>
      </c>
      <c r="E391">
        <v>1</v>
      </c>
      <c r="F391">
        <v>118.8</v>
      </c>
      <c r="G391" t="s">
        <v>2739</v>
      </c>
      <c r="H391" t="s">
        <v>3066</v>
      </c>
      <c r="I391" t="s">
        <v>3073</v>
      </c>
      <c r="J391" t="s">
        <v>3488</v>
      </c>
      <c r="K391">
        <v>6</v>
      </c>
      <c r="L391" t="s">
        <v>4275</v>
      </c>
      <c r="M391" t="s">
        <v>4280</v>
      </c>
      <c r="N391" s="5">
        <v>118.8</v>
      </c>
      <c r="O391" t="str">
        <f>IF(ABS(Table1[[#This Row],[TotalPrice]]-Table1[[#This Row],[Quantity]]*Table1[[#This Row],[UnitPrice]]) &lt;0.01, "ok",)</f>
        <v>ok</v>
      </c>
      <c r="P391" t="str">
        <f>PROPER(TRIM(Table1[[#This Row],[ShippingAddress]]))</f>
        <v>123 Main St</v>
      </c>
      <c r="Q391" t="str">
        <f>PROPER(TRIM((Table1[[#This Row],[PaymentMethod]])))</f>
        <v>Online</v>
      </c>
      <c r="R391" t="str">
        <f>PROPER(TRIM(Table1[[#This Row],[ReferralSource]]))</f>
        <v>Email</v>
      </c>
      <c r="S391" s="5">
        <f>Table1[[#This Row],[TotalPrice]]/Table1[[#This Row],[ItemsInCart]]</f>
        <v>19.8</v>
      </c>
    </row>
    <row r="392" spans="1:19" x14ac:dyDescent="0.3">
      <c r="A392" t="s">
        <v>859</v>
      </c>
      <c r="B392" s="1">
        <v>45207</v>
      </c>
      <c r="C392" t="s">
        <v>2055</v>
      </c>
      <c r="D392" t="s">
        <v>2404</v>
      </c>
      <c r="E392">
        <v>3</v>
      </c>
      <c r="F392">
        <v>107.36</v>
      </c>
      <c r="G392" t="s">
        <v>2953</v>
      </c>
      <c r="H392" t="s">
        <v>3068</v>
      </c>
      <c r="I392" t="s">
        <v>3073</v>
      </c>
      <c r="J392" t="s">
        <v>3920</v>
      </c>
      <c r="K392">
        <v>5</v>
      </c>
      <c r="L392" t="s">
        <v>4276</v>
      </c>
      <c r="M392" t="s">
        <v>4282</v>
      </c>
      <c r="N392" s="5">
        <v>322.08</v>
      </c>
      <c r="O392" t="str">
        <f>IF(ABS(Table1[[#This Row],[TotalPrice]]-Table1[[#This Row],[Quantity]]*Table1[[#This Row],[UnitPrice]]) &lt;0.01, "ok",)</f>
        <v>ok</v>
      </c>
      <c r="P392" t="str">
        <f>PROPER(TRIM(Table1[[#This Row],[ShippingAddress]]))</f>
        <v>808 Main St</v>
      </c>
      <c r="Q392" t="str">
        <f>PROPER(TRIM((Table1[[#This Row],[PaymentMethod]])))</f>
        <v>Gift Card</v>
      </c>
      <c r="R392" t="str">
        <f>PROPER(TRIM(Table1[[#This Row],[ReferralSource]]))</f>
        <v>Google</v>
      </c>
      <c r="S392" s="5">
        <f>Table1[[#This Row],[TotalPrice]]/Table1[[#This Row],[ItemsInCart]]</f>
        <v>64.415999999999997</v>
      </c>
    </row>
    <row r="393" spans="1:19" x14ac:dyDescent="0.3">
      <c r="A393" t="s">
        <v>132</v>
      </c>
      <c r="B393" s="1">
        <v>45208</v>
      </c>
      <c r="C393" t="s">
        <v>1332</v>
      </c>
      <c r="D393" t="s">
        <v>2407</v>
      </c>
      <c r="E393">
        <v>5</v>
      </c>
      <c r="F393">
        <v>502.71</v>
      </c>
      <c r="G393" t="s">
        <v>2521</v>
      </c>
      <c r="H393" t="s">
        <v>3068</v>
      </c>
      <c r="I393" t="s">
        <v>3070</v>
      </c>
      <c r="J393" t="s">
        <v>3193</v>
      </c>
      <c r="K393">
        <v>7</v>
      </c>
      <c r="L393" t="s">
        <v>4276</v>
      </c>
      <c r="M393" t="s">
        <v>4282</v>
      </c>
      <c r="N393" s="5">
        <v>2513.5500000000002</v>
      </c>
      <c r="O393" t="str">
        <f>IF(ABS(Table1[[#This Row],[TotalPrice]]-Table1[[#This Row],[Quantity]]*Table1[[#This Row],[UnitPrice]]) &lt;0.01, "ok",)</f>
        <v>ok</v>
      </c>
      <c r="P393" t="str">
        <f>PROPER(TRIM(Table1[[#This Row],[ShippingAddress]]))</f>
        <v>807 Main St</v>
      </c>
      <c r="Q393" t="str">
        <f>PROPER(TRIM((Table1[[#This Row],[PaymentMethod]])))</f>
        <v>Gift Card</v>
      </c>
      <c r="R393" t="str">
        <f>PROPER(TRIM(Table1[[#This Row],[ReferralSource]]))</f>
        <v>Google</v>
      </c>
      <c r="S393" s="5">
        <f>Table1[[#This Row],[TotalPrice]]/Table1[[#This Row],[ItemsInCart]]</f>
        <v>359.07857142857148</v>
      </c>
    </row>
    <row r="394" spans="1:19" x14ac:dyDescent="0.3">
      <c r="A394" t="s">
        <v>700</v>
      </c>
      <c r="B394" s="1">
        <v>45208</v>
      </c>
      <c r="C394" t="s">
        <v>1898</v>
      </c>
      <c r="D394" t="s">
        <v>2409</v>
      </c>
      <c r="E394">
        <v>3</v>
      </c>
      <c r="F394">
        <v>53.6</v>
      </c>
      <c r="G394" t="s">
        <v>2874</v>
      </c>
      <c r="H394" t="s">
        <v>3069</v>
      </c>
      <c r="I394" t="s">
        <v>3074</v>
      </c>
      <c r="J394" t="s">
        <v>3761</v>
      </c>
      <c r="K394">
        <v>4</v>
      </c>
      <c r="L394" t="s">
        <v>4277</v>
      </c>
      <c r="M394" t="s">
        <v>4281</v>
      </c>
      <c r="N394" s="5">
        <v>160.80000000000001</v>
      </c>
      <c r="O394" t="str">
        <f>IF(ABS(Table1[[#This Row],[TotalPrice]]-Table1[[#This Row],[Quantity]]*Table1[[#This Row],[UnitPrice]]) &lt;0.01, "ok",)</f>
        <v>ok</v>
      </c>
      <c r="P394" t="str">
        <f>PROPER(TRIM(Table1[[#This Row],[ShippingAddress]]))</f>
        <v>525 Main St</v>
      </c>
      <c r="Q394" t="str">
        <f>PROPER(TRIM((Table1[[#This Row],[PaymentMethod]])))</f>
        <v>Cash</v>
      </c>
      <c r="R394" t="str">
        <f>PROPER(TRIM(Table1[[#This Row],[ReferralSource]]))</f>
        <v>Facebook</v>
      </c>
      <c r="S394" s="5">
        <f>Table1[[#This Row],[TotalPrice]]/Table1[[#This Row],[ItemsInCart]]</f>
        <v>40.200000000000003</v>
      </c>
    </row>
    <row r="395" spans="1:19" x14ac:dyDescent="0.3">
      <c r="A395" t="s">
        <v>1126</v>
      </c>
      <c r="B395" s="1">
        <v>45212</v>
      </c>
      <c r="C395" t="s">
        <v>2317</v>
      </c>
      <c r="D395" t="s">
        <v>2409</v>
      </c>
      <c r="E395">
        <v>1</v>
      </c>
      <c r="F395">
        <v>356.81</v>
      </c>
      <c r="G395" t="s">
        <v>2526</v>
      </c>
      <c r="H395" t="s">
        <v>3066</v>
      </c>
      <c r="I395" t="s">
        <v>3073</v>
      </c>
      <c r="J395" t="s">
        <v>4187</v>
      </c>
      <c r="K395">
        <v>1</v>
      </c>
      <c r="L395" t="s">
        <v>4277</v>
      </c>
      <c r="M395" t="s">
        <v>4278</v>
      </c>
      <c r="N395" s="5">
        <v>356.81</v>
      </c>
      <c r="O395" t="str">
        <f>IF(ABS(Table1[[#This Row],[TotalPrice]]-Table1[[#This Row],[Quantity]]*Table1[[#This Row],[UnitPrice]]) &lt;0.01, "ok",)</f>
        <v>ok</v>
      </c>
      <c r="P395" t="str">
        <f>PROPER(TRIM(Table1[[#This Row],[ShippingAddress]]))</f>
        <v>563 Main St</v>
      </c>
      <c r="Q395" t="str">
        <f>PROPER(TRIM((Table1[[#This Row],[PaymentMethod]])))</f>
        <v>Online</v>
      </c>
      <c r="R395" t="str">
        <f>PROPER(TRIM(Table1[[#This Row],[ReferralSource]]))</f>
        <v>Instagram</v>
      </c>
      <c r="S395" s="5">
        <f>Table1[[#This Row],[TotalPrice]]/Table1[[#This Row],[ItemsInCart]]</f>
        <v>356.81</v>
      </c>
    </row>
    <row r="396" spans="1:19" x14ac:dyDescent="0.3">
      <c r="A396" t="s">
        <v>994</v>
      </c>
      <c r="B396" s="1">
        <v>45213</v>
      </c>
      <c r="C396" t="s">
        <v>2187</v>
      </c>
      <c r="D396" t="s">
        <v>2406</v>
      </c>
      <c r="E396">
        <v>3</v>
      </c>
      <c r="F396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>
        <v>7</v>
      </c>
      <c r="L396" t="s">
        <v>4277</v>
      </c>
      <c r="M396" t="s">
        <v>4278</v>
      </c>
      <c r="N396" s="5">
        <v>208.95</v>
      </c>
      <c r="O396" t="str">
        <f>IF(ABS(Table1[[#This Row],[TotalPrice]]-Table1[[#This Row],[Quantity]]*Table1[[#This Row],[UnitPrice]]) &lt;0.01, "ok",)</f>
        <v>ok</v>
      </c>
      <c r="P396" t="str">
        <f>PROPER(TRIM(Table1[[#This Row],[ShippingAddress]]))</f>
        <v>107 Main St</v>
      </c>
      <c r="Q396" t="str">
        <f>PROPER(TRIM((Table1[[#This Row],[PaymentMethod]])))</f>
        <v>Cash</v>
      </c>
      <c r="R396" t="str">
        <f>PROPER(TRIM(Table1[[#This Row],[ReferralSource]]))</f>
        <v>Instagram</v>
      </c>
      <c r="S396" s="5">
        <f>Table1[[#This Row],[TotalPrice]]/Table1[[#This Row],[ItemsInCart]]</f>
        <v>29.849999999999998</v>
      </c>
    </row>
    <row r="397" spans="1:19" x14ac:dyDescent="0.3">
      <c r="A397" t="s">
        <v>1130</v>
      </c>
      <c r="B397" s="1">
        <v>45213</v>
      </c>
      <c r="C397" t="s">
        <v>2321</v>
      </c>
      <c r="D397" t="s">
        <v>2407</v>
      </c>
      <c r="E397">
        <v>2</v>
      </c>
      <c r="F397">
        <v>531.49</v>
      </c>
      <c r="G397" t="s">
        <v>2613</v>
      </c>
      <c r="H397" t="s">
        <v>3067</v>
      </c>
      <c r="I397" t="s">
        <v>3073</v>
      </c>
      <c r="J397" t="s">
        <v>4191</v>
      </c>
      <c r="K397">
        <v>7</v>
      </c>
      <c r="L397" t="s">
        <v>4277</v>
      </c>
      <c r="M397" t="s">
        <v>4281</v>
      </c>
      <c r="N397" s="5">
        <v>1062.98</v>
      </c>
      <c r="O397" t="str">
        <f>IF(ABS(Table1[[#This Row],[TotalPrice]]-Table1[[#This Row],[Quantity]]*Table1[[#This Row],[UnitPrice]]) &lt;0.01, "ok",)</f>
        <v>ok</v>
      </c>
      <c r="P397" t="str">
        <f>PROPER(TRIM(Table1[[#This Row],[ShippingAddress]]))</f>
        <v>562 Main St</v>
      </c>
      <c r="Q397" t="str">
        <f>PROPER(TRIM((Table1[[#This Row],[PaymentMethod]])))</f>
        <v>Credit Card</v>
      </c>
      <c r="R397" t="str">
        <f>PROPER(TRIM(Table1[[#This Row],[ReferralSource]]))</f>
        <v>Facebook</v>
      </c>
      <c r="S397" s="5">
        <f>Table1[[#This Row],[TotalPrice]]/Table1[[#This Row],[ItemsInCart]]</f>
        <v>151.85428571428571</v>
      </c>
    </row>
    <row r="398" spans="1:19" x14ac:dyDescent="0.3">
      <c r="A398" t="s">
        <v>17</v>
      </c>
      <c r="B398" s="1">
        <v>45214</v>
      </c>
      <c r="C398" t="s">
        <v>1217</v>
      </c>
      <c r="D398" t="s">
        <v>2406</v>
      </c>
      <c r="E398">
        <v>1</v>
      </c>
      <c r="F398">
        <v>273.19</v>
      </c>
      <c r="G398" t="s">
        <v>2413</v>
      </c>
      <c r="H398" t="s">
        <v>3065</v>
      </c>
      <c r="I398" t="s">
        <v>3072</v>
      </c>
      <c r="J398" t="s">
        <v>3078</v>
      </c>
      <c r="K398">
        <v>5</v>
      </c>
      <c r="L398" t="s">
        <v>4275</v>
      </c>
      <c r="M398" t="s">
        <v>4281</v>
      </c>
      <c r="N398" s="5">
        <v>273.19</v>
      </c>
      <c r="O398" t="str">
        <f>IF(ABS(Table1[[#This Row],[TotalPrice]]-Table1[[#This Row],[Quantity]]*Table1[[#This Row],[UnitPrice]]) &lt;0.01, "ok",)</f>
        <v>ok</v>
      </c>
      <c r="P398" t="str">
        <f>PROPER(TRIM(Table1[[#This Row],[ShippingAddress]]))</f>
        <v>275 Main St</v>
      </c>
      <c r="Q398" t="str">
        <f>PROPER(TRIM((Table1[[#This Row],[PaymentMethod]])))</f>
        <v>Debit Card</v>
      </c>
      <c r="R398" t="str">
        <f>PROPER(TRIM(Table1[[#This Row],[ReferralSource]]))</f>
        <v>Facebook</v>
      </c>
      <c r="S398" s="5">
        <f>Table1[[#This Row],[TotalPrice]]/Table1[[#This Row],[ItemsInCart]]</f>
        <v>54.637999999999998</v>
      </c>
    </row>
    <row r="399" spans="1:19" x14ac:dyDescent="0.3">
      <c r="A399" t="s">
        <v>435</v>
      </c>
      <c r="B399" s="1">
        <v>45214</v>
      </c>
      <c r="C399" t="s">
        <v>1635</v>
      </c>
      <c r="D399" t="s">
        <v>2406</v>
      </c>
      <c r="E399">
        <v>2</v>
      </c>
      <c r="F399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>
        <v>5</v>
      </c>
      <c r="L399" t="s">
        <v>4283</v>
      </c>
      <c r="M399" t="s">
        <v>4280</v>
      </c>
      <c r="N399" s="5">
        <v>576.41999999999996</v>
      </c>
      <c r="O399" t="str">
        <f>IF(ABS(Table1[[#This Row],[TotalPrice]]-Table1[[#This Row],[Quantity]]*Table1[[#This Row],[UnitPrice]]) &lt;0.01, "ok",)</f>
        <v>ok</v>
      </c>
      <c r="P399" t="str">
        <f>PROPER(TRIM(Table1[[#This Row],[ShippingAddress]]))</f>
        <v>769 Main St</v>
      </c>
      <c r="Q399" t="str">
        <f>PROPER(TRIM((Table1[[#This Row],[PaymentMethod]])))</f>
        <v>Debit Card</v>
      </c>
      <c r="R399" t="str">
        <f>PROPER(TRIM(Table1[[#This Row],[ReferralSource]]))</f>
        <v>Email</v>
      </c>
      <c r="S399" s="5">
        <f>Table1[[#This Row],[TotalPrice]]/Table1[[#This Row],[ItemsInCart]]</f>
        <v>115.28399999999999</v>
      </c>
    </row>
    <row r="400" spans="1:19" x14ac:dyDescent="0.3">
      <c r="A400" t="s">
        <v>652</v>
      </c>
      <c r="B400" s="1">
        <v>45214</v>
      </c>
      <c r="C400" t="s">
        <v>1851</v>
      </c>
      <c r="D400" t="s">
        <v>2405</v>
      </c>
      <c r="E400">
        <v>4</v>
      </c>
      <c r="F400">
        <v>578.27</v>
      </c>
      <c r="G400" t="s">
        <v>2854</v>
      </c>
      <c r="H400" t="s">
        <v>3066</v>
      </c>
      <c r="I400" t="s">
        <v>3073</v>
      </c>
      <c r="J400" t="s">
        <v>3713</v>
      </c>
      <c r="K400">
        <v>9</v>
      </c>
      <c r="L400" t="s">
        <v>4277</v>
      </c>
      <c r="M400" t="s">
        <v>4280</v>
      </c>
      <c r="N400" s="5">
        <v>2313.08</v>
      </c>
      <c r="O400" t="str">
        <f>IF(ABS(Table1[[#This Row],[TotalPrice]]-Table1[[#This Row],[Quantity]]*Table1[[#This Row],[UnitPrice]]) &lt;0.01, "ok",)</f>
        <v>ok</v>
      </c>
      <c r="P400" t="str">
        <f>PROPER(TRIM(Table1[[#This Row],[ShippingAddress]]))</f>
        <v>547 Main St</v>
      </c>
      <c r="Q400" t="str">
        <f>PROPER(TRIM((Table1[[#This Row],[PaymentMethod]])))</f>
        <v>Online</v>
      </c>
      <c r="R400" t="str">
        <f>PROPER(TRIM(Table1[[#This Row],[ReferralSource]]))</f>
        <v>Email</v>
      </c>
      <c r="S400" s="5">
        <f>Table1[[#This Row],[TotalPrice]]/Table1[[#This Row],[ItemsInCart]]</f>
        <v>257.00888888888886</v>
      </c>
    </row>
    <row r="401" spans="1:19" x14ac:dyDescent="0.3">
      <c r="A401" t="s">
        <v>731</v>
      </c>
      <c r="B401" s="1">
        <v>45215</v>
      </c>
      <c r="C401" t="s">
        <v>1928</v>
      </c>
      <c r="D401" t="s">
        <v>2406</v>
      </c>
      <c r="E401">
        <v>3</v>
      </c>
      <c r="F401">
        <v>122.11</v>
      </c>
      <c r="G401" t="s">
        <v>2889</v>
      </c>
      <c r="H401" t="s">
        <v>3066</v>
      </c>
      <c r="I401" t="s">
        <v>3073</v>
      </c>
      <c r="J401" t="s">
        <v>3792</v>
      </c>
      <c r="K401">
        <v>4</v>
      </c>
      <c r="L401" t="s">
        <v>4277</v>
      </c>
      <c r="M401" t="s">
        <v>4280</v>
      </c>
      <c r="N401" s="5">
        <v>366.33</v>
      </c>
      <c r="O401" t="str">
        <f>IF(ABS(Table1[[#This Row],[TotalPrice]]-Table1[[#This Row],[Quantity]]*Table1[[#This Row],[UnitPrice]]) &lt;0.01, "ok",)</f>
        <v>ok</v>
      </c>
      <c r="P401" t="str">
        <f>PROPER(TRIM(Table1[[#This Row],[ShippingAddress]]))</f>
        <v>707 Main St</v>
      </c>
      <c r="Q401" t="str">
        <f>PROPER(TRIM((Table1[[#This Row],[PaymentMethod]])))</f>
        <v>Online</v>
      </c>
      <c r="R401" t="str">
        <f>PROPER(TRIM(Table1[[#This Row],[ReferralSource]]))</f>
        <v>Email</v>
      </c>
      <c r="S401" s="5">
        <f>Table1[[#This Row],[TotalPrice]]/Table1[[#This Row],[ItemsInCart]]</f>
        <v>91.582499999999996</v>
      </c>
    </row>
    <row r="402" spans="1:19" x14ac:dyDescent="0.3">
      <c r="A402" t="s">
        <v>867</v>
      </c>
      <c r="B402" s="1">
        <v>45215</v>
      </c>
      <c r="C402" t="s">
        <v>2063</v>
      </c>
      <c r="D402" t="s">
        <v>2407</v>
      </c>
      <c r="E402">
        <v>3</v>
      </c>
      <c r="F402">
        <v>490.01</v>
      </c>
      <c r="G402" t="s">
        <v>2663</v>
      </c>
      <c r="H402" t="s">
        <v>3069</v>
      </c>
      <c r="I402" t="s">
        <v>3072</v>
      </c>
      <c r="J402" t="s">
        <v>3928</v>
      </c>
      <c r="K402">
        <v>4</v>
      </c>
      <c r="L402" t="s">
        <v>4275</v>
      </c>
      <c r="M402" t="s">
        <v>4281</v>
      </c>
      <c r="N402" s="5">
        <v>1470.03</v>
      </c>
      <c r="O402" t="str">
        <f>IF(ABS(Table1[[#This Row],[TotalPrice]]-Table1[[#This Row],[Quantity]]*Table1[[#This Row],[UnitPrice]]) &lt;0.01, "ok",)</f>
        <v>ok</v>
      </c>
      <c r="P402" t="str">
        <f>PROPER(TRIM(Table1[[#This Row],[ShippingAddress]]))</f>
        <v>894 Main St</v>
      </c>
      <c r="Q402" t="str">
        <f>PROPER(TRIM((Table1[[#This Row],[PaymentMethod]])))</f>
        <v>Cash</v>
      </c>
      <c r="R402" t="str">
        <f>PROPER(TRIM(Table1[[#This Row],[ReferralSource]]))</f>
        <v>Facebook</v>
      </c>
      <c r="S402" s="5">
        <f>Table1[[#This Row],[TotalPrice]]/Table1[[#This Row],[ItemsInCart]]</f>
        <v>367.50749999999999</v>
      </c>
    </row>
    <row r="403" spans="1:19" x14ac:dyDescent="0.3">
      <c r="A403" t="s">
        <v>1139</v>
      </c>
      <c r="B403" s="1">
        <v>45215</v>
      </c>
      <c r="C403" t="s">
        <v>2329</v>
      </c>
      <c r="D403" t="s">
        <v>2409</v>
      </c>
      <c r="E403">
        <v>4</v>
      </c>
      <c r="F403">
        <v>408.36</v>
      </c>
      <c r="G403" t="s">
        <v>2958</v>
      </c>
      <c r="H403" t="s">
        <v>3068</v>
      </c>
      <c r="I403" t="s">
        <v>3071</v>
      </c>
      <c r="J403" t="s">
        <v>4200</v>
      </c>
      <c r="K403">
        <v>4</v>
      </c>
      <c r="L403" t="s">
        <v>4276</v>
      </c>
      <c r="M403" t="s">
        <v>4279</v>
      </c>
      <c r="N403" s="5">
        <v>1633.44</v>
      </c>
      <c r="O403" t="str">
        <f>IF(ABS(Table1[[#This Row],[TotalPrice]]-Table1[[#This Row],[Quantity]]*Table1[[#This Row],[UnitPrice]]) &lt;0.01, "ok",)</f>
        <v>ok</v>
      </c>
      <c r="P403" t="str">
        <f>PROPER(TRIM(Table1[[#This Row],[ShippingAddress]]))</f>
        <v>156 Main St</v>
      </c>
      <c r="Q403" t="str">
        <f>PROPER(TRIM((Table1[[#This Row],[PaymentMethod]])))</f>
        <v>Gift Card</v>
      </c>
      <c r="R403" t="str">
        <f>PROPER(TRIM(Table1[[#This Row],[ReferralSource]]))</f>
        <v>Referral</v>
      </c>
      <c r="S403" s="5">
        <f>Table1[[#This Row],[TotalPrice]]/Table1[[#This Row],[ItemsInCart]]</f>
        <v>408.36</v>
      </c>
    </row>
    <row r="404" spans="1:19" x14ac:dyDescent="0.3">
      <c r="A404" t="s">
        <v>1175</v>
      </c>
      <c r="B404" s="1">
        <v>45215</v>
      </c>
      <c r="C404" t="s">
        <v>2364</v>
      </c>
      <c r="D404" t="s">
        <v>2404</v>
      </c>
      <c r="E404">
        <v>1</v>
      </c>
      <c r="F404">
        <v>11.39</v>
      </c>
      <c r="G404" t="s">
        <v>2693</v>
      </c>
      <c r="H404" t="s">
        <v>3069</v>
      </c>
      <c r="I404" t="s">
        <v>3071</v>
      </c>
      <c r="J404" t="s">
        <v>4236</v>
      </c>
      <c r="K404">
        <v>6</v>
      </c>
      <c r="L404" t="s">
        <v>4277</v>
      </c>
      <c r="M404" t="s">
        <v>4280</v>
      </c>
      <c r="N404" s="5">
        <v>11.39</v>
      </c>
      <c r="O404" t="str">
        <f>IF(ABS(Table1[[#This Row],[TotalPrice]]-Table1[[#This Row],[Quantity]]*Table1[[#This Row],[UnitPrice]]) &lt;0.01, "ok",)</f>
        <v>ok</v>
      </c>
      <c r="P404" t="str">
        <f>PROPER(TRIM(Table1[[#This Row],[ShippingAddress]]))</f>
        <v>826 Main St</v>
      </c>
      <c r="Q404" t="str">
        <f>PROPER(TRIM((Table1[[#This Row],[PaymentMethod]])))</f>
        <v>Cash</v>
      </c>
      <c r="R404" t="str">
        <f>PROPER(TRIM(Table1[[#This Row],[ReferralSource]]))</f>
        <v>Email</v>
      </c>
      <c r="S404" s="5">
        <f>Table1[[#This Row],[TotalPrice]]/Table1[[#This Row],[ItemsInCart]]</f>
        <v>1.8983333333333334</v>
      </c>
    </row>
    <row r="405" spans="1:19" x14ac:dyDescent="0.3">
      <c r="A405" t="s">
        <v>1181</v>
      </c>
      <c r="B405" s="1">
        <v>45216</v>
      </c>
      <c r="C405" t="s">
        <v>2370</v>
      </c>
      <c r="D405" t="s">
        <v>2407</v>
      </c>
      <c r="E405">
        <v>2</v>
      </c>
      <c r="F405">
        <v>92.87</v>
      </c>
      <c r="G405" t="s">
        <v>2645</v>
      </c>
      <c r="H405" t="s">
        <v>3067</v>
      </c>
      <c r="I405" t="s">
        <v>3074</v>
      </c>
      <c r="J405" t="s">
        <v>4242</v>
      </c>
      <c r="K405">
        <v>5</v>
      </c>
      <c r="L405" t="s">
        <v>4276</v>
      </c>
      <c r="M405" t="s">
        <v>4281</v>
      </c>
      <c r="N405" s="5">
        <v>185.74</v>
      </c>
      <c r="O405" t="str">
        <f>IF(ABS(Table1[[#This Row],[TotalPrice]]-Table1[[#This Row],[Quantity]]*Table1[[#This Row],[UnitPrice]]) &lt;0.01, "ok",)</f>
        <v>ok</v>
      </c>
      <c r="P405" t="str">
        <f>PROPER(TRIM(Table1[[#This Row],[ShippingAddress]]))</f>
        <v>360 Main St</v>
      </c>
      <c r="Q405" t="str">
        <f>PROPER(TRIM((Table1[[#This Row],[PaymentMethod]])))</f>
        <v>Credit Card</v>
      </c>
      <c r="R405" t="str">
        <f>PROPER(TRIM(Table1[[#This Row],[ReferralSource]]))</f>
        <v>Facebook</v>
      </c>
      <c r="S405" s="5">
        <f>Table1[[#This Row],[TotalPrice]]/Table1[[#This Row],[ItemsInCart]]</f>
        <v>37.148000000000003</v>
      </c>
    </row>
    <row r="406" spans="1:19" x14ac:dyDescent="0.3">
      <c r="A406" t="s">
        <v>460</v>
      </c>
      <c r="B406" s="1">
        <v>45217</v>
      </c>
      <c r="C406" t="s">
        <v>1660</v>
      </c>
      <c r="D406" t="s">
        <v>2408</v>
      </c>
      <c r="E406">
        <v>5</v>
      </c>
      <c r="F406">
        <v>509.58</v>
      </c>
      <c r="G406" t="s">
        <v>2758</v>
      </c>
      <c r="H406" t="s">
        <v>3066</v>
      </c>
      <c r="I406" t="s">
        <v>3073</v>
      </c>
      <c r="J406" t="s">
        <v>3521</v>
      </c>
      <c r="K406">
        <v>6</v>
      </c>
      <c r="L406" t="s">
        <v>4276</v>
      </c>
      <c r="M406" t="s">
        <v>4278</v>
      </c>
      <c r="N406" s="5">
        <v>2547.9</v>
      </c>
      <c r="O406" t="str">
        <f>IF(ABS(Table1[[#This Row],[TotalPrice]]-Table1[[#This Row],[Quantity]]*Table1[[#This Row],[UnitPrice]]) &lt;0.01, "ok",)</f>
        <v>ok</v>
      </c>
      <c r="P406" t="str">
        <f>PROPER(TRIM(Table1[[#This Row],[ShippingAddress]]))</f>
        <v>262 Main St</v>
      </c>
      <c r="Q406" t="str">
        <f>PROPER(TRIM((Table1[[#This Row],[PaymentMethod]])))</f>
        <v>Online</v>
      </c>
      <c r="R406" t="str">
        <f>PROPER(TRIM(Table1[[#This Row],[ReferralSource]]))</f>
        <v>Instagram</v>
      </c>
      <c r="S406" s="5">
        <f>Table1[[#This Row],[TotalPrice]]/Table1[[#This Row],[ItemsInCart]]</f>
        <v>424.65000000000003</v>
      </c>
    </row>
    <row r="407" spans="1:19" x14ac:dyDescent="0.3">
      <c r="A407" t="s">
        <v>293</v>
      </c>
      <c r="B407" s="1">
        <v>45219</v>
      </c>
      <c r="C407" t="s">
        <v>1493</v>
      </c>
      <c r="D407" t="s">
        <v>2406</v>
      </c>
      <c r="E407">
        <v>3</v>
      </c>
      <c r="F407">
        <v>55.01</v>
      </c>
      <c r="G407" t="s">
        <v>2649</v>
      </c>
      <c r="H407" t="s">
        <v>3066</v>
      </c>
      <c r="I407" t="s">
        <v>3074</v>
      </c>
      <c r="J407" t="s">
        <v>3354</v>
      </c>
      <c r="K407">
        <v>7</v>
      </c>
      <c r="L407" t="s">
        <v>4277</v>
      </c>
      <c r="M407" t="s">
        <v>4280</v>
      </c>
      <c r="N407" s="5">
        <v>165.03</v>
      </c>
      <c r="O407" t="str">
        <f>IF(ABS(Table1[[#This Row],[TotalPrice]]-Table1[[#This Row],[Quantity]]*Table1[[#This Row],[UnitPrice]]) &lt;0.01, "ok",)</f>
        <v>ok</v>
      </c>
      <c r="P407" t="str">
        <f>PROPER(TRIM(Table1[[#This Row],[ShippingAddress]]))</f>
        <v>263 Main St</v>
      </c>
      <c r="Q407" t="str">
        <f>PROPER(TRIM((Table1[[#This Row],[PaymentMethod]])))</f>
        <v>Online</v>
      </c>
      <c r="R407" t="str">
        <f>PROPER(TRIM(Table1[[#This Row],[ReferralSource]]))</f>
        <v>Email</v>
      </c>
      <c r="S407" s="5">
        <f>Table1[[#This Row],[TotalPrice]]/Table1[[#This Row],[ItemsInCart]]</f>
        <v>23.575714285714287</v>
      </c>
    </row>
    <row r="408" spans="1:19" x14ac:dyDescent="0.3">
      <c r="A408" t="s">
        <v>448</v>
      </c>
      <c r="B408" s="1">
        <v>45221</v>
      </c>
      <c r="C408" t="s">
        <v>1648</v>
      </c>
      <c r="D408" t="s">
        <v>2407</v>
      </c>
      <c r="E408">
        <v>5</v>
      </c>
      <c r="F408">
        <v>327.68</v>
      </c>
      <c r="G408" t="s">
        <v>2475</v>
      </c>
      <c r="H408" t="s">
        <v>3067</v>
      </c>
      <c r="I408" t="s">
        <v>3072</v>
      </c>
      <c r="J408" t="s">
        <v>3509</v>
      </c>
      <c r="K408">
        <v>6</v>
      </c>
      <c r="L408" t="s">
        <v>4283</v>
      </c>
      <c r="M408" t="s">
        <v>4281</v>
      </c>
      <c r="N408" s="5">
        <v>1638.4</v>
      </c>
      <c r="O408" t="str">
        <f>IF(ABS(Table1[[#This Row],[TotalPrice]]-Table1[[#This Row],[Quantity]]*Table1[[#This Row],[UnitPrice]]) &lt;0.01, "ok",)</f>
        <v>ok</v>
      </c>
      <c r="P408" t="str">
        <f>PROPER(TRIM(Table1[[#This Row],[ShippingAddress]]))</f>
        <v>384 Main St</v>
      </c>
      <c r="Q408" t="str">
        <f>PROPER(TRIM((Table1[[#This Row],[PaymentMethod]])))</f>
        <v>Credit Card</v>
      </c>
      <c r="R408" t="str">
        <f>PROPER(TRIM(Table1[[#This Row],[ReferralSource]]))</f>
        <v>Facebook</v>
      </c>
      <c r="S408" s="5">
        <f>Table1[[#This Row],[TotalPrice]]/Table1[[#This Row],[ItemsInCart]]</f>
        <v>273.06666666666666</v>
      </c>
    </row>
    <row r="409" spans="1:19" x14ac:dyDescent="0.3">
      <c r="A409" t="s">
        <v>635</v>
      </c>
      <c r="B409" s="1">
        <v>45221</v>
      </c>
      <c r="C409" t="s">
        <v>1834</v>
      </c>
      <c r="D409" t="s">
        <v>2404</v>
      </c>
      <c r="E409">
        <v>5</v>
      </c>
      <c r="F409">
        <v>476.01</v>
      </c>
      <c r="G409" t="s">
        <v>2482</v>
      </c>
      <c r="H409" t="s">
        <v>3067</v>
      </c>
      <c r="I409" t="s">
        <v>3073</v>
      </c>
      <c r="J409" t="s">
        <v>3696</v>
      </c>
      <c r="K409">
        <v>7</v>
      </c>
      <c r="L409" t="s">
        <v>4277</v>
      </c>
      <c r="M409" t="s">
        <v>4282</v>
      </c>
      <c r="N409" s="5">
        <v>2380.0500000000002</v>
      </c>
      <c r="O409" t="str">
        <f>IF(ABS(Table1[[#This Row],[TotalPrice]]-Table1[[#This Row],[Quantity]]*Table1[[#This Row],[UnitPrice]]) &lt;0.01, "ok",)</f>
        <v>ok</v>
      </c>
      <c r="P409" t="str">
        <f>PROPER(TRIM(Table1[[#This Row],[ShippingAddress]]))</f>
        <v>146 Main St</v>
      </c>
      <c r="Q409" t="str">
        <f>PROPER(TRIM((Table1[[#This Row],[PaymentMethod]])))</f>
        <v>Credit Card</v>
      </c>
      <c r="R409" t="str">
        <f>PROPER(TRIM(Table1[[#This Row],[ReferralSource]]))</f>
        <v>Google</v>
      </c>
      <c r="S409" s="5">
        <f>Table1[[#This Row],[TotalPrice]]/Table1[[#This Row],[ItemsInCart]]</f>
        <v>340.00714285714287</v>
      </c>
    </row>
    <row r="410" spans="1:19" x14ac:dyDescent="0.3">
      <c r="A410" t="s">
        <v>19</v>
      </c>
      <c r="B410" s="1">
        <v>45222</v>
      </c>
      <c r="C410" t="s">
        <v>1219</v>
      </c>
      <c r="D410" t="s">
        <v>2404</v>
      </c>
      <c r="E410">
        <v>2</v>
      </c>
      <c r="F410">
        <v>245.86</v>
      </c>
      <c r="G410" t="s">
        <v>2415</v>
      </c>
      <c r="H410" t="s">
        <v>3067</v>
      </c>
      <c r="I410" t="s">
        <v>3070</v>
      </c>
      <c r="J410" t="s">
        <v>3080</v>
      </c>
      <c r="K410">
        <v>4</v>
      </c>
      <c r="L410" t="s">
        <v>4275</v>
      </c>
      <c r="M410" t="s">
        <v>4278</v>
      </c>
      <c r="N410" s="5">
        <v>491.72</v>
      </c>
      <c r="O410" t="str">
        <f>IF(ABS(Table1[[#This Row],[TotalPrice]]-Table1[[#This Row],[Quantity]]*Table1[[#This Row],[UnitPrice]]) &lt;0.01, "ok",)</f>
        <v>ok</v>
      </c>
      <c r="P410" t="str">
        <f>PROPER(TRIM(Table1[[#This Row],[ShippingAddress]]))</f>
        <v>934 Main St</v>
      </c>
      <c r="Q410" t="str">
        <f>PROPER(TRIM((Table1[[#This Row],[PaymentMethod]])))</f>
        <v>Credit Card</v>
      </c>
      <c r="R410" t="str">
        <f>PROPER(TRIM(Table1[[#This Row],[ReferralSource]]))</f>
        <v>Instagram</v>
      </c>
      <c r="S410" s="5">
        <f>Table1[[#This Row],[TotalPrice]]/Table1[[#This Row],[ItemsInCart]]</f>
        <v>122.93</v>
      </c>
    </row>
    <row r="411" spans="1:19" x14ac:dyDescent="0.3">
      <c r="A411" t="s">
        <v>1035</v>
      </c>
      <c r="B411" s="1">
        <v>45222</v>
      </c>
      <c r="C411" t="s">
        <v>2227</v>
      </c>
      <c r="D411" t="s">
        <v>2404</v>
      </c>
      <c r="E411">
        <v>3</v>
      </c>
      <c r="F411">
        <v>315.27</v>
      </c>
      <c r="G411" t="s">
        <v>2961</v>
      </c>
      <c r="H411" t="s">
        <v>3067</v>
      </c>
      <c r="I411" t="s">
        <v>3071</v>
      </c>
      <c r="J411" t="s">
        <v>4096</v>
      </c>
      <c r="K411">
        <v>4</v>
      </c>
      <c r="L411" t="s">
        <v>4275</v>
      </c>
      <c r="M411" t="s">
        <v>4280</v>
      </c>
      <c r="N411" s="5">
        <v>945.81</v>
      </c>
      <c r="O411" t="str">
        <f>IF(ABS(Table1[[#This Row],[TotalPrice]]-Table1[[#This Row],[Quantity]]*Table1[[#This Row],[UnitPrice]]) &lt;0.01, "ok",)</f>
        <v>ok</v>
      </c>
      <c r="P411" t="str">
        <f>PROPER(TRIM(Table1[[#This Row],[ShippingAddress]]))</f>
        <v>309 Main St</v>
      </c>
      <c r="Q411" t="str">
        <f>PROPER(TRIM((Table1[[#This Row],[PaymentMethod]])))</f>
        <v>Credit Card</v>
      </c>
      <c r="R411" t="str">
        <f>PROPER(TRIM(Table1[[#This Row],[ReferralSource]]))</f>
        <v>Email</v>
      </c>
      <c r="S411" s="5">
        <f>Table1[[#This Row],[TotalPrice]]/Table1[[#This Row],[ItemsInCart]]</f>
        <v>236.45249999999999</v>
      </c>
    </row>
    <row r="412" spans="1:19" x14ac:dyDescent="0.3">
      <c r="A412" t="s">
        <v>1069</v>
      </c>
      <c r="B412" s="1">
        <v>45222</v>
      </c>
      <c r="C412" t="s">
        <v>2261</v>
      </c>
      <c r="D412" t="s">
        <v>2403</v>
      </c>
      <c r="E412">
        <v>4</v>
      </c>
      <c r="F412">
        <v>274.82</v>
      </c>
      <c r="G412" t="s">
        <v>2817</v>
      </c>
      <c r="H412" t="s">
        <v>3065</v>
      </c>
      <c r="I412" t="s">
        <v>3073</v>
      </c>
      <c r="J412" t="s">
        <v>4130</v>
      </c>
      <c r="K412">
        <v>9</v>
      </c>
      <c r="L412" t="s">
        <v>4277</v>
      </c>
      <c r="M412" t="s">
        <v>4280</v>
      </c>
      <c r="N412" s="5">
        <v>1099.28</v>
      </c>
      <c r="O412" t="str">
        <f>IF(ABS(Table1[[#This Row],[TotalPrice]]-Table1[[#This Row],[Quantity]]*Table1[[#This Row],[UnitPrice]]) &lt;0.01, "ok",)</f>
        <v>ok</v>
      </c>
      <c r="P412" t="str">
        <f>PROPER(TRIM(Table1[[#This Row],[ShippingAddress]]))</f>
        <v>932 Main St</v>
      </c>
      <c r="Q412" t="str">
        <f>PROPER(TRIM((Table1[[#This Row],[PaymentMethod]])))</f>
        <v>Debit Card</v>
      </c>
      <c r="R412" t="str">
        <f>PROPER(TRIM(Table1[[#This Row],[ReferralSource]]))</f>
        <v>Email</v>
      </c>
      <c r="S412" s="5">
        <f>Table1[[#This Row],[TotalPrice]]/Table1[[#This Row],[ItemsInCart]]</f>
        <v>122.14222222222222</v>
      </c>
    </row>
    <row r="413" spans="1:19" x14ac:dyDescent="0.3">
      <c r="A413" t="s">
        <v>431</v>
      </c>
      <c r="B413" s="1">
        <v>45223</v>
      </c>
      <c r="C413" t="s">
        <v>1631</v>
      </c>
      <c r="D413" t="s">
        <v>2408</v>
      </c>
      <c r="E413">
        <v>5</v>
      </c>
      <c r="F413">
        <v>55.41</v>
      </c>
      <c r="G413" t="s">
        <v>2742</v>
      </c>
      <c r="H413" t="s">
        <v>3066</v>
      </c>
      <c r="I413" t="s">
        <v>3071</v>
      </c>
      <c r="J413" t="s">
        <v>3492</v>
      </c>
      <c r="K413">
        <v>5</v>
      </c>
      <c r="L413" t="s">
        <v>4283</v>
      </c>
      <c r="M413" t="s">
        <v>4282</v>
      </c>
      <c r="N413" s="5">
        <v>277.05</v>
      </c>
      <c r="O413" t="str">
        <f>IF(ABS(Table1[[#This Row],[TotalPrice]]-Table1[[#This Row],[Quantity]]*Table1[[#This Row],[UnitPrice]]) &lt;0.01, "ok",)</f>
        <v>ok</v>
      </c>
      <c r="P413" t="str">
        <f>PROPER(TRIM(Table1[[#This Row],[ShippingAddress]]))</f>
        <v>954 Main St</v>
      </c>
      <c r="Q413" t="str">
        <f>PROPER(TRIM((Table1[[#This Row],[PaymentMethod]])))</f>
        <v>Online</v>
      </c>
      <c r="R413" t="str">
        <f>PROPER(TRIM(Table1[[#This Row],[ReferralSource]]))</f>
        <v>Google</v>
      </c>
      <c r="S413" s="5">
        <f>Table1[[#This Row],[TotalPrice]]/Table1[[#This Row],[ItemsInCart]]</f>
        <v>55.410000000000004</v>
      </c>
    </row>
    <row r="414" spans="1:19" x14ac:dyDescent="0.3">
      <c r="A414" t="s">
        <v>506</v>
      </c>
      <c r="B414" s="1">
        <v>45224</v>
      </c>
      <c r="C414" t="s">
        <v>1706</v>
      </c>
      <c r="D414" t="s">
        <v>2408</v>
      </c>
      <c r="E414">
        <v>5</v>
      </c>
      <c r="F414">
        <v>606.52</v>
      </c>
      <c r="G414" t="s">
        <v>2483</v>
      </c>
      <c r="H414" t="s">
        <v>3065</v>
      </c>
      <c r="I414" t="s">
        <v>3070</v>
      </c>
      <c r="J414" t="s">
        <v>3567</v>
      </c>
      <c r="K414">
        <v>6</v>
      </c>
      <c r="L414" t="s">
        <v>4275</v>
      </c>
      <c r="M414" t="s">
        <v>4278</v>
      </c>
      <c r="N414" s="5">
        <v>3032.6</v>
      </c>
      <c r="O414" t="str">
        <f>IF(ABS(Table1[[#This Row],[TotalPrice]]-Table1[[#This Row],[Quantity]]*Table1[[#This Row],[UnitPrice]]) &lt;0.01, "ok",)</f>
        <v>ok</v>
      </c>
      <c r="P414" t="str">
        <f>PROPER(TRIM(Table1[[#This Row],[ShippingAddress]]))</f>
        <v>103 Main St</v>
      </c>
      <c r="Q414" t="str">
        <f>PROPER(TRIM((Table1[[#This Row],[PaymentMethod]])))</f>
        <v>Debit Card</v>
      </c>
      <c r="R414" t="str">
        <f>PROPER(TRIM(Table1[[#This Row],[ReferralSource]]))</f>
        <v>Instagram</v>
      </c>
      <c r="S414" s="5">
        <f>Table1[[#This Row],[TotalPrice]]/Table1[[#This Row],[ItemsInCart]]</f>
        <v>505.43333333333334</v>
      </c>
    </row>
    <row r="415" spans="1:19" x14ac:dyDescent="0.3">
      <c r="A415" t="s">
        <v>538</v>
      </c>
      <c r="B415" s="1">
        <v>45224</v>
      </c>
      <c r="C415" t="s">
        <v>1738</v>
      </c>
      <c r="D415" t="s">
        <v>2404</v>
      </c>
      <c r="E415">
        <v>1</v>
      </c>
      <c r="F415">
        <v>153</v>
      </c>
      <c r="G415" t="s">
        <v>2483</v>
      </c>
      <c r="H415" t="s">
        <v>3067</v>
      </c>
      <c r="I415" t="s">
        <v>3072</v>
      </c>
      <c r="J415" t="s">
        <v>3599</v>
      </c>
      <c r="K415">
        <v>4</v>
      </c>
      <c r="L415" t="s">
        <v>4283</v>
      </c>
      <c r="M415" t="s">
        <v>4279</v>
      </c>
      <c r="N415" s="5">
        <v>153</v>
      </c>
      <c r="O415" t="str">
        <f>IF(ABS(Table1[[#This Row],[TotalPrice]]-Table1[[#This Row],[Quantity]]*Table1[[#This Row],[UnitPrice]]) &lt;0.01, "ok",)</f>
        <v>ok</v>
      </c>
      <c r="P415" t="str">
        <f>PROPER(TRIM(Table1[[#This Row],[ShippingAddress]]))</f>
        <v>103 Main St</v>
      </c>
      <c r="Q415" t="str">
        <f>PROPER(TRIM((Table1[[#This Row],[PaymentMethod]])))</f>
        <v>Credit Card</v>
      </c>
      <c r="R415" t="str">
        <f>PROPER(TRIM(Table1[[#This Row],[ReferralSource]]))</f>
        <v>Referral</v>
      </c>
      <c r="S415" s="5">
        <f>Table1[[#This Row],[TotalPrice]]/Table1[[#This Row],[ItemsInCart]]</f>
        <v>38.25</v>
      </c>
    </row>
    <row r="416" spans="1:19" x14ac:dyDescent="0.3">
      <c r="A416" t="s">
        <v>900</v>
      </c>
      <c r="B416" s="1">
        <v>45224</v>
      </c>
      <c r="C416" t="s">
        <v>2096</v>
      </c>
      <c r="D416" t="s">
        <v>2404</v>
      </c>
      <c r="E416">
        <v>1</v>
      </c>
      <c r="F416">
        <v>460.13</v>
      </c>
      <c r="G416" t="s">
        <v>2970</v>
      </c>
      <c r="H416" t="s">
        <v>3067</v>
      </c>
      <c r="I416" t="s">
        <v>3072</v>
      </c>
      <c r="J416" t="s">
        <v>3961</v>
      </c>
      <c r="K416">
        <v>1</v>
      </c>
      <c r="L416" t="s">
        <v>4283</v>
      </c>
      <c r="M416" t="s">
        <v>4282</v>
      </c>
      <c r="N416" s="5">
        <v>460.13</v>
      </c>
      <c r="O416" t="str">
        <f>IF(ABS(Table1[[#This Row],[TotalPrice]]-Table1[[#This Row],[Quantity]]*Table1[[#This Row],[UnitPrice]]) &lt;0.01, "ok",)</f>
        <v>ok</v>
      </c>
      <c r="P416" t="str">
        <f>PROPER(TRIM(Table1[[#This Row],[ShippingAddress]]))</f>
        <v>792 Main St</v>
      </c>
      <c r="Q416" t="str">
        <f>PROPER(TRIM((Table1[[#This Row],[PaymentMethod]])))</f>
        <v>Credit Card</v>
      </c>
      <c r="R416" t="str">
        <f>PROPER(TRIM(Table1[[#This Row],[ReferralSource]]))</f>
        <v>Google</v>
      </c>
      <c r="S416" s="5">
        <f>Table1[[#This Row],[TotalPrice]]/Table1[[#This Row],[ItemsInCart]]</f>
        <v>460.13</v>
      </c>
    </row>
    <row r="417" spans="1:19" x14ac:dyDescent="0.3">
      <c r="A417" t="s">
        <v>143</v>
      </c>
      <c r="B417" s="1">
        <v>45226</v>
      </c>
      <c r="C417" t="s">
        <v>1343</v>
      </c>
      <c r="D417" t="s">
        <v>2408</v>
      </c>
      <c r="E417">
        <v>4</v>
      </c>
      <c r="F417">
        <v>263.93</v>
      </c>
      <c r="G417" t="s">
        <v>2531</v>
      </c>
      <c r="H417" t="s">
        <v>3065</v>
      </c>
      <c r="I417" t="s">
        <v>3070</v>
      </c>
      <c r="J417" t="s">
        <v>3204</v>
      </c>
      <c r="K417">
        <v>4</v>
      </c>
      <c r="L417" t="s">
        <v>4276</v>
      </c>
      <c r="M417" t="s">
        <v>4281</v>
      </c>
      <c r="N417" s="5">
        <v>1055.72</v>
      </c>
      <c r="O417" t="str">
        <f>IF(ABS(Table1[[#This Row],[TotalPrice]]-Table1[[#This Row],[Quantity]]*Table1[[#This Row],[UnitPrice]]) &lt;0.01, "ok",)</f>
        <v>ok</v>
      </c>
      <c r="P417" t="str">
        <f>PROPER(TRIM(Table1[[#This Row],[ShippingAddress]]))</f>
        <v>427 Main St</v>
      </c>
      <c r="Q417" t="str">
        <f>PROPER(TRIM((Table1[[#This Row],[PaymentMethod]])))</f>
        <v>Debit Card</v>
      </c>
      <c r="R417" t="str">
        <f>PROPER(TRIM(Table1[[#This Row],[ReferralSource]]))</f>
        <v>Facebook</v>
      </c>
      <c r="S417" s="5">
        <f>Table1[[#This Row],[TotalPrice]]/Table1[[#This Row],[ItemsInCart]]</f>
        <v>263.93</v>
      </c>
    </row>
    <row r="418" spans="1:19" x14ac:dyDescent="0.3">
      <c r="A418" t="s">
        <v>660</v>
      </c>
      <c r="B418" s="1">
        <v>45226</v>
      </c>
      <c r="C418" t="s">
        <v>1859</v>
      </c>
      <c r="D418" t="s">
        <v>2406</v>
      </c>
      <c r="E418">
        <v>4</v>
      </c>
      <c r="F418">
        <v>498.51</v>
      </c>
      <c r="G418" t="s">
        <v>2857</v>
      </c>
      <c r="H418" t="s">
        <v>3065</v>
      </c>
      <c r="I418" t="s">
        <v>3070</v>
      </c>
      <c r="J418" t="s">
        <v>3721</v>
      </c>
      <c r="K418">
        <v>4</v>
      </c>
      <c r="L418" t="s">
        <v>4275</v>
      </c>
      <c r="M418" t="s">
        <v>4282</v>
      </c>
      <c r="N418" s="5">
        <v>1994.04</v>
      </c>
      <c r="O418" t="str">
        <f>IF(ABS(Table1[[#This Row],[TotalPrice]]-Table1[[#This Row],[Quantity]]*Table1[[#This Row],[UnitPrice]]) &lt;0.01, "ok",)</f>
        <v>ok</v>
      </c>
      <c r="P418" t="str">
        <f>PROPER(TRIM(Table1[[#This Row],[ShippingAddress]]))</f>
        <v>804 Main St</v>
      </c>
      <c r="Q418" t="str">
        <f>PROPER(TRIM((Table1[[#This Row],[PaymentMethod]])))</f>
        <v>Debit Card</v>
      </c>
      <c r="R418" t="str">
        <f>PROPER(TRIM(Table1[[#This Row],[ReferralSource]]))</f>
        <v>Google</v>
      </c>
      <c r="S418" s="5">
        <f>Table1[[#This Row],[TotalPrice]]/Table1[[#This Row],[ItemsInCart]]</f>
        <v>498.51</v>
      </c>
    </row>
    <row r="419" spans="1:19" x14ac:dyDescent="0.3">
      <c r="A419" t="s">
        <v>564</v>
      </c>
      <c r="B419" s="1">
        <v>45228</v>
      </c>
      <c r="C419" t="s">
        <v>1764</v>
      </c>
      <c r="D419" t="s">
        <v>2408</v>
      </c>
      <c r="E419">
        <v>4</v>
      </c>
      <c r="F419">
        <v>228.91</v>
      </c>
      <c r="G419" t="s">
        <v>2542</v>
      </c>
      <c r="H419" t="s">
        <v>3069</v>
      </c>
      <c r="I419" t="s">
        <v>3070</v>
      </c>
      <c r="J419" t="s">
        <v>3625</v>
      </c>
      <c r="K419">
        <v>4</v>
      </c>
      <c r="L419" t="s">
        <v>4276</v>
      </c>
      <c r="M419" t="s">
        <v>4282</v>
      </c>
      <c r="N419" s="5">
        <v>915.64</v>
      </c>
      <c r="O419" t="str">
        <f>IF(ABS(Table1[[#This Row],[TotalPrice]]-Table1[[#This Row],[Quantity]]*Table1[[#This Row],[UnitPrice]]) &lt;0.01, "ok",)</f>
        <v>ok</v>
      </c>
      <c r="P419" t="str">
        <f>PROPER(TRIM(Table1[[#This Row],[ShippingAddress]]))</f>
        <v>573 Main St</v>
      </c>
      <c r="Q419" t="str">
        <f>PROPER(TRIM((Table1[[#This Row],[PaymentMethod]])))</f>
        <v>Cash</v>
      </c>
      <c r="R419" t="str">
        <f>PROPER(TRIM(Table1[[#This Row],[ReferralSource]]))</f>
        <v>Google</v>
      </c>
      <c r="S419" s="5">
        <f>Table1[[#This Row],[TotalPrice]]/Table1[[#This Row],[ItemsInCart]]</f>
        <v>228.91</v>
      </c>
    </row>
    <row r="420" spans="1:19" x14ac:dyDescent="0.3">
      <c r="A420" t="s">
        <v>1079</v>
      </c>
      <c r="B420" s="1">
        <v>45229</v>
      </c>
      <c r="C420" t="s">
        <v>2271</v>
      </c>
      <c r="D420" t="s">
        <v>2407</v>
      </c>
      <c r="E420">
        <v>5</v>
      </c>
      <c r="F420">
        <v>666.8</v>
      </c>
      <c r="G420" t="s">
        <v>2746</v>
      </c>
      <c r="H420" t="s">
        <v>3065</v>
      </c>
      <c r="I420" t="s">
        <v>3073</v>
      </c>
      <c r="J420" t="s">
        <v>4140</v>
      </c>
      <c r="K420">
        <v>7</v>
      </c>
      <c r="L420" t="s">
        <v>4275</v>
      </c>
      <c r="M420" t="s">
        <v>4279</v>
      </c>
      <c r="N420" s="5">
        <v>3334</v>
      </c>
      <c r="O420" t="str">
        <f>IF(ABS(Table1[[#This Row],[TotalPrice]]-Table1[[#This Row],[Quantity]]*Table1[[#This Row],[UnitPrice]]) &lt;0.01, "ok",)</f>
        <v>ok</v>
      </c>
      <c r="P420" t="str">
        <f>PROPER(TRIM(Table1[[#This Row],[ShippingAddress]]))</f>
        <v>488 Main St</v>
      </c>
      <c r="Q420" t="str">
        <f>PROPER(TRIM((Table1[[#This Row],[PaymentMethod]])))</f>
        <v>Debit Card</v>
      </c>
      <c r="R420" t="str">
        <f>PROPER(TRIM(Table1[[#This Row],[ReferralSource]]))</f>
        <v>Referral</v>
      </c>
      <c r="S420" s="5">
        <f>Table1[[#This Row],[TotalPrice]]/Table1[[#This Row],[ItemsInCart]]</f>
        <v>476.28571428571428</v>
      </c>
    </row>
    <row r="421" spans="1:19" x14ac:dyDescent="0.3">
      <c r="A421" t="s">
        <v>173</v>
      </c>
      <c r="B421" s="1">
        <v>45230</v>
      </c>
      <c r="C421" t="s">
        <v>1373</v>
      </c>
      <c r="D421" t="s">
        <v>2407</v>
      </c>
      <c r="E421">
        <v>1</v>
      </c>
      <c r="F421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>
        <v>5</v>
      </c>
      <c r="L421" t="s">
        <v>4277</v>
      </c>
      <c r="M421" t="s">
        <v>4280</v>
      </c>
      <c r="N421" s="5">
        <v>299.35000000000002</v>
      </c>
      <c r="O421" t="str">
        <f>IF(ABS(Table1[[#This Row],[TotalPrice]]-Table1[[#This Row],[Quantity]]*Table1[[#This Row],[UnitPrice]]) &lt;0.01, "ok",)</f>
        <v>ok</v>
      </c>
      <c r="P421" t="str">
        <f>PROPER(TRIM(Table1[[#This Row],[ShippingAddress]]))</f>
        <v>819 Main St</v>
      </c>
      <c r="Q421" t="str">
        <f>PROPER(TRIM((Table1[[#This Row],[PaymentMethod]])))</f>
        <v>Credit Card</v>
      </c>
      <c r="R421" t="str">
        <f>PROPER(TRIM(Table1[[#This Row],[ReferralSource]]))</f>
        <v>Email</v>
      </c>
      <c r="S421" s="5">
        <f>Table1[[#This Row],[TotalPrice]]/Table1[[#This Row],[ItemsInCart]]</f>
        <v>59.870000000000005</v>
      </c>
    </row>
    <row r="422" spans="1:19" x14ac:dyDescent="0.3">
      <c r="A422" t="s">
        <v>399</v>
      </c>
      <c r="B422" s="1">
        <v>45230</v>
      </c>
      <c r="C422" t="s">
        <v>1599</v>
      </c>
      <c r="D422" t="s">
        <v>2406</v>
      </c>
      <c r="E422">
        <v>5</v>
      </c>
      <c r="F422">
        <v>191.63</v>
      </c>
      <c r="G422" t="s">
        <v>2470</v>
      </c>
      <c r="H422" t="s">
        <v>3068</v>
      </c>
      <c r="I422" t="s">
        <v>3073</v>
      </c>
      <c r="J422" t="s">
        <v>3460</v>
      </c>
      <c r="K422">
        <v>6</v>
      </c>
      <c r="L422" t="s">
        <v>4276</v>
      </c>
      <c r="M422" t="s">
        <v>4281</v>
      </c>
      <c r="N422" s="5">
        <v>958.15</v>
      </c>
      <c r="O422" t="str">
        <f>IF(ABS(Table1[[#This Row],[TotalPrice]]-Table1[[#This Row],[Quantity]]*Table1[[#This Row],[UnitPrice]]) &lt;0.01, "ok",)</f>
        <v>ok</v>
      </c>
      <c r="P422" t="str">
        <f>PROPER(TRIM(Table1[[#This Row],[ShippingAddress]]))</f>
        <v>752 Main St</v>
      </c>
      <c r="Q422" t="str">
        <f>PROPER(TRIM((Table1[[#This Row],[PaymentMethod]])))</f>
        <v>Gift Card</v>
      </c>
      <c r="R422" t="str">
        <f>PROPER(TRIM(Table1[[#This Row],[ReferralSource]]))</f>
        <v>Facebook</v>
      </c>
      <c r="S422" s="5">
        <f>Table1[[#This Row],[TotalPrice]]/Table1[[#This Row],[ItemsInCart]]</f>
        <v>159.69166666666666</v>
      </c>
    </row>
    <row r="423" spans="1:19" x14ac:dyDescent="0.3">
      <c r="A423" t="s">
        <v>888</v>
      </c>
      <c r="B423" s="1">
        <v>45230</v>
      </c>
      <c r="C423" t="s">
        <v>2084</v>
      </c>
      <c r="D423" t="s">
        <v>2406</v>
      </c>
      <c r="E423">
        <v>2</v>
      </c>
      <c r="F423">
        <v>488.9</v>
      </c>
      <c r="G423" t="s">
        <v>2886</v>
      </c>
      <c r="H423" t="s">
        <v>3069</v>
      </c>
      <c r="I423" t="s">
        <v>3073</v>
      </c>
      <c r="J423" t="s">
        <v>3949</v>
      </c>
      <c r="K423">
        <v>7</v>
      </c>
      <c r="L423" t="s">
        <v>4276</v>
      </c>
      <c r="M423" t="s">
        <v>4281</v>
      </c>
      <c r="N423" s="5">
        <v>977.8</v>
      </c>
      <c r="O423" t="str">
        <f>IF(ABS(Table1[[#This Row],[TotalPrice]]-Table1[[#This Row],[Quantity]]*Table1[[#This Row],[UnitPrice]]) &lt;0.01, "ok",)</f>
        <v>ok</v>
      </c>
      <c r="P423" t="str">
        <f>PROPER(TRIM(Table1[[#This Row],[ShippingAddress]]))</f>
        <v>632 Main St</v>
      </c>
      <c r="Q423" t="str">
        <f>PROPER(TRIM((Table1[[#This Row],[PaymentMethod]])))</f>
        <v>Cash</v>
      </c>
      <c r="R423" t="str">
        <f>PROPER(TRIM(Table1[[#This Row],[ReferralSource]]))</f>
        <v>Facebook</v>
      </c>
      <c r="S423" s="5">
        <f>Table1[[#This Row],[TotalPrice]]/Table1[[#This Row],[ItemsInCart]]</f>
        <v>139.68571428571428</v>
      </c>
    </row>
    <row r="424" spans="1:19" x14ac:dyDescent="0.3">
      <c r="A424" t="s">
        <v>1194</v>
      </c>
      <c r="B424" s="1">
        <v>45230</v>
      </c>
      <c r="C424" t="s">
        <v>2383</v>
      </c>
      <c r="D424" t="s">
        <v>2406</v>
      </c>
      <c r="E424">
        <v>4</v>
      </c>
      <c r="F424">
        <v>298.36</v>
      </c>
      <c r="G424" t="s">
        <v>2805</v>
      </c>
      <c r="H424" t="s">
        <v>3065</v>
      </c>
      <c r="I424" t="s">
        <v>3074</v>
      </c>
      <c r="J424" t="s">
        <v>4255</v>
      </c>
      <c r="K424">
        <v>8</v>
      </c>
      <c r="L424" t="s">
        <v>4276</v>
      </c>
      <c r="M424" t="s">
        <v>4282</v>
      </c>
      <c r="N424" s="5">
        <v>1193.44</v>
      </c>
      <c r="O424" t="str">
        <f>IF(ABS(Table1[[#This Row],[TotalPrice]]-Table1[[#This Row],[Quantity]]*Table1[[#This Row],[UnitPrice]]) &lt;0.01, "ok",)</f>
        <v>ok</v>
      </c>
      <c r="P424" t="str">
        <f>PROPER(TRIM(Table1[[#This Row],[ShippingAddress]]))</f>
        <v>722 Main St</v>
      </c>
      <c r="Q424" t="str">
        <f>PROPER(TRIM((Table1[[#This Row],[PaymentMethod]])))</f>
        <v>Debit Card</v>
      </c>
      <c r="R424" t="str">
        <f>PROPER(TRIM(Table1[[#This Row],[ReferralSource]]))</f>
        <v>Google</v>
      </c>
      <c r="S424" s="5">
        <f>Table1[[#This Row],[TotalPrice]]/Table1[[#This Row],[ItemsInCart]]</f>
        <v>149.18</v>
      </c>
    </row>
    <row r="425" spans="1:19" x14ac:dyDescent="0.3">
      <c r="A425" t="s">
        <v>241</v>
      </c>
      <c r="B425" s="1">
        <v>45232</v>
      </c>
      <c r="C425" t="s">
        <v>1441</v>
      </c>
      <c r="D425" t="s">
        <v>2403</v>
      </c>
      <c r="E425">
        <v>2</v>
      </c>
      <c r="F425">
        <v>365.17</v>
      </c>
      <c r="G425" t="s">
        <v>2528</v>
      </c>
      <c r="H425" t="s">
        <v>3066</v>
      </c>
      <c r="I425" t="s">
        <v>3071</v>
      </c>
      <c r="J425" t="s">
        <v>3302</v>
      </c>
      <c r="K425">
        <v>4</v>
      </c>
      <c r="L425" t="s">
        <v>4276</v>
      </c>
      <c r="M425" t="s">
        <v>4281</v>
      </c>
      <c r="N425" s="5">
        <v>730.34</v>
      </c>
      <c r="O425" t="str">
        <f>IF(ABS(Table1[[#This Row],[TotalPrice]]-Table1[[#This Row],[Quantity]]*Table1[[#This Row],[UnitPrice]]) &lt;0.01, "ok",)</f>
        <v>ok</v>
      </c>
      <c r="P425" t="str">
        <f>PROPER(TRIM(Table1[[#This Row],[ShippingAddress]]))</f>
        <v>353 Main St</v>
      </c>
      <c r="Q425" t="str">
        <f>PROPER(TRIM((Table1[[#This Row],[PaymentMethod]])))</f>
        <v>Online</v>
      </c>
      <c r="R425" t="str">
        <f>PROPER(TRIM(Table1[[#This Row],[ReferralSource]]))</f>
        <v>Facebook</v>
      </c>
      <c r="S425" s="5">
        <f>Table1[[#This Row],[TotalPrice]]/Table1[[#This Row],[ItemsInCart]]</f>
        <v>182.58500000000001</v>
      </c>
    </row>
    <row r="426" spans="1:19" x14ac:dyDescent="0.3">
      <c r="A426" t="s">
        <v>802</v>
      </c>
      <c r="B426" s="1">
        <v>45232</v>
      </c>
      <c r="C426" t="s">
        <v>1999</v>
      </c>
      <c r="D426" t="s">
        <v>2406</v>
      </c>
      <c r="E426">
        <v>2</v>
      </c>
      <c r="F426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>
        <v>5</v>
      </c>
      <c r="L426" t="s">
        <v>4276</v>
      </c>
      <c r="M426" t="s">
        <v>4278</v>
      </c>
      <c r="N426" s="5">
        <v>1202.8599999999999</v>
      </c>
      <c r="O426" t="str">
        <f>IF(ABS(Table1[[#This Row],[TotalPrice]]-Table1[[#This Row],[Quantity]]*Table1[[#This Row],[UnitPrice]]) &lt;0.01, "ok",)</f>
        <v>ok</v>
      </c>
      <c r="P426" t="str">
        <f>PROPER(TRIM(Table1[[#This Row],[ShippingAddress]]))</f>
        <v>761 Main St</v>
      </c>
      <c r="Q426" t="str">
        <f>PROPER(TRIM((Table1[[#This Row],[PaymentMethod]])))</f>
        <v>Online</v>
      </c>
      <c r="R426" t="str">
        <f>PROPER(TRIM(Table1[[#This Row],[ReferralSource]]))</f>
        <v>Instagram</v>
      </c>
      <c r="S426" s="5">
        <f>Table1[[#This Row],[TotalPrice]]/Table1[[#This Row],[ItemsInCart]]</f>
        <v>240.57199999999997</v>
      </c>
    </row>
    <row r="427" spans="1:19" x14ac:dyDescent="0.3">
      <c r="A427" t="s">
        <v>289</v>
      </c>
      <c r="B427" s="1">
        <v>45234</v>
      </c>
      <c r="C427" t="s">
        <v>1489</v>
      </c>
      <c r="D427" t="s">
        <v>2406</v>
      </c>
      <c r="E427">
        <v>2</v>
      </c>
      <c r="F42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>
        <v>4</v>
      </c>
      <c r="L427" t="s">
        <v>4275</v>
      </c>
      <c r="M427" t="s">
        <v>4282</v>
      </c>
      <c r="N427" s="5">
        <v>130.13999999999999</v>
      </c>
      <c r="O427" t="str">
        <f>IF(ABS(Table1[[#This Row],[TotalPrice]]-Table1[[#This Row],[Quantity]]*Table1[[#This Row],[UnitPrice]]) &lt;0.01, "ok",)</f>
        <v>ok</v>
      </c>
      <c r="P427" t="str">
        <f>PROPER(TRIM(Table1[[#This Row],[ShippingAddress]]))</f>
        <v>360 Main St</v>
      </c>
      <c r="Q427" t="str">
        <f>PROPER(TRIM((Table1[[#This Row],[PaymentMethod]])))</f>
        <v>Credit Card</v>
      </c>
      <c r="R427" t="str">
        <f>PROPER(TRIM(Table1[[#This Row],[ReferralSource]]))</f>
        <v>Google</v>
      </c>
      <c r="S427" s="5">
        <f>Table1[[#This Row],[TotalPrice]]/Table1[[#This Row],[ItemsInCart]]</f>
        <v>32.534999999999997</v>
      </c>
    </row>
    <row r="428" spans="1:19" x14ac:dyDescent="0.3">
      <c r="A428" t="s">
        <v>245</v>
      </c>
      <c r="B428" s="1">
        <v>45235</v>
      </c>
      <c r="C428" t="s">
        <v>1445</v>
      </c>
      <c r="D428" t="s">
        <v>2404</v>
      </c>
      <c r="E428">
        <v>4</v>
      </c>
      <c r="F428">
        <v>41.9</v>
      </c>
      <c r="G428" t="s">
        <v>2609</v>
      </c>
      <c r="H428" t="s">
        <v>3068</v>
      </c>
      <c r="I428" t="s">
        <v>3074</v>
      </c>
      <c r="J428" t="s">
        <v>3306</v>
      </c>
      <c r="K428">
        <v>9</v>
      </c>
      <c r="L428" t="s">
        <v>4276</v>
      </c>
      <c r="M428" t="s">
        <v>4278</v>
      </c>
      <c r="N428" s="5">
        <v>167.6</v>
      </c>
      <c r="O428" t="str">
        <f>IF(ABS(Table1[[#This Row],[TotalPrice]]-Table1[[#This Row],[Quantity]]*Table1[[#This Row],[UnitPrice]]) &lt;0.01, "ok",)</f>
        <v>ok</v>
      </c>
      <c r="P428" t="str">
        <f>PROPER(TRIM(Table1[[#This Row],[ShippingAddress]]))</f>
        <v>327 Main St</v>
      </c>
      <c r="Q428" t="str">
        <f>PROPER(TRIM((Table1[[#This Row],[PaymentMethod]])))</f>
        <v>Gift Card</v>
      </c>
      <c r="R428" t="str">
        <f>PROPER(TRIM(Table1[[#This Row],[ReferralSource]]))</f>
        <v>Instagram</v>
      </c>
      <c r="S428" s="5">
        <f>Table1[[#This Row],[TotalPrice]]/Table1[[#This Row],[ItemsInCart]]</f>
        <v>18.62222222222222</v>
      </c>
    </row>
    <row r="429" spans="1:19" x14ac:dyDescent="0.3">
      <c r="A429" t="s">
        <v>825</v>
      </c>
      <c r="B429" s="1">
        <v>45235</v>
      </c>
      <c r="C429" t="s">
        <v>2021</v>
      </c>
      <c r="D429" t="s">
        <v>2408</v>
      </c>
      <c r="E429">
        <v>2</v>
      </c>
      <c r="F429">
        <v>28.55</v>
      </c>
      <c r="G429" t="s">
        <v>2907</v>
      </c>
      <c r="H429" t="s">
        <v>3068</v>
      </c>
      <c r="I429" t="s">
        <v>3070</v>
      </c>
      <c r="J429" t="s">
        <v>3886</v>
      </c>
      <c r="K429">
        <v>7</v>
      </c>
      <c r="L429" t="s">
        <v>4275</v>
      </c>
      <c r="M429" t="s">
        <v>4280</v>
      </c>
      <c r="N429" s="5">
        <v>57.1</v>
      </c>
      <c r="O429" t="str">
        <f>IF(ABS(Table1[[#This Row],[TotalPrice]]-Table1[[#This Row],[Quantity]]*Table1[[#This Row],[UnitPrice]]) &lt;0.01, "ok",)</f>
        <v>ok</v>
      </c>
      <c r="P429" t="str">
        <f>PROPER(TRIM(Table1[[#This Row],[ShippingAddress]]))</f>
        <v>864 Main St</v>
      </c>
      <c r="Q429" t="str">
        <f>PROPER(TRIM((Table1[[#This Row],[PaymentMethod]])))</f>
        <v>Gift Card</v>
      </c>
      <c r="R429" t="str">
        <f>PROPER(TRIM(Table1[[#This Row],[ReferralSource]]))</f>
        <v>Email</v>
      </c>
      <c r="S429" s="5">
        <f>Table1[[#This Row],[TotalPrice]]/Table1[[#This Row],[ItemsInCart]]</f>
        <v>8.1571428571428566</v>
      </c>
    </row>
    <row r="430" spans="1:19" x14ac:dyDescent="0.3">
      <c r="A430" t="s">
        <v>352</v>
      </c>
      <c r="B430" s="1">
        <v>45238</v>
      </c>
      <c r="C430" t="s">
        <v>1552</v>
      </c>
      <c r="D430" t="s">
        <v>2404</v>
      </c>
      <c r="E430">
        <v>5</v>
      </c>
      <c r="F430">
        <v>305.49</v>
      </c>
      <c r="G430" t="s">
        <v>2691</v>
      </c>
      <c r="H430" t="s">
        <v>3065</v>
      </c>
      <c r="I430" t="s">
        <v>3070</v>
      </c>
      <c r="J430" t="s">
        <v>3413</v>
      </c>
      <c r="K430">
        <v>10</v>
      </c>
      <c r="L430" t="s">
        <v>4283</v>
      </c>
      <c r="M430" t="s">
        <v>4279</v>
      </c>
      <c r="N430" s="5">
        <v>1527.45</v>
      </c>
      <c r="O430" t="str">
        <f>IF(ABS(Table1[[#This Row],[TotalPrice]]-Table1[[#This Row],[Quantity]]*Table1[[#This Row],[UnitPrice]]) &lt;0.01, "ok",)</f>
        <v>ok</v>
      </c>
      <c r="P430" t="str">
        <f>PROPER(TRIM(Table1[[#This Row],[ShippingAddress]]))</f>
        <v>704 Main St</v>
      </c>
      <c r="Q430" t="str">
        <f>PROPER(TRIM((Table1[[#This Row],[PaymentMethod]])))</f>
        <v>Debit Card</v>
      </c>
      <c r="R430" t="str">
        <f>PROPER(TRIM(Table1[[#This Row],[ReferralSource]]))</f>
        <v>Referral</v>
      </c>
      <c r="S430" s="5">
        <f>Table1[[#This Row],[TotalPrice]]/Table1[[#This Row],[ItemsInCart]]</f>
        <v>152.745</v>
      </c>
    </row>
    <row r="431" spans="1:19" x14ac:dyDescent="0.3">
      <c r="A431" t="s">
        <v>909</v>
      </c>
      <c r="B431" s="1">
        <v>45239</v>
      </c>
      <c r="C431" t="s">
        <v>2105</v>
      </c>
      <c r="D431" t="s">
        <v>2406</v>
      </c>
      <c r="E431">
        <v>3</v>
      </c>
      <c r="F431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>
        <v>6</v>
      </c>
      <c r="L431" t="s">
        <v>4277</v>
      </c>
      <c r="M431" t="s">
        <v>4281</v>
      </c>
      <c r="N431" s="5">
        <v>463.92</v>
      </c>
      <c r="O431" t="str">
        <f>IF(ABS(Table1[[#This Row],[TotalPrice]]-Table1[[#This Row],[Quantity]]*Table1[[#This Row],[UnitPrice]]) &lt;0.01, "ok",)</f>
        <v>ok</v>
      </c>
      <c r="P431" t="str">
        <f>PROPER(TRIM(Table1[[#This Row],[ShippingAddress]]))</f>
        <v>832 Main St</v>
      </c>
      <c r="Q431" t="str">
        <f>PROPER(TRIM((Table1[[#This Row],[PaymentMethod]])))</f>
        <v>Debit Card</v>
      </c>
      <c r="R431" t="str">
        <f>PROPER(TRIM(Table1[[#This Row],[ReferralSource]]))</f>
        <v>Facebook</v>
      </c>
      <c r="S431" s="5">
        <f>Table1[[#This Row],[TotalPrice]]/Table1[[#This Row],[ItemsInCart]]</f>
        <v>77.320000000000007</v>
      </c>
    </row>
    <row r="432" spans="1:19" x14ac:dyDescent="0.3">
      <c r="A432" t="s">
        <v>963</v>
      </c>
      <c r="B432" s="1">
        <v>45239</v>
      </c>
      <c r="C432" t="s">
        <v>2157</v>
      </c>
      <c r="D432" t="s">
        <v>2409</v>
      </c>
      <c r="E432">
        <v>5</v>
      </c>
      <c r="F432">
        <v>110.38</v>
      </c>
      <c r="G432" t="s">
        <v>2732</v>
      </c>
      <c r="H432" t="s">
        <v>3069</v>
      </c>
      <c r="I432" t="s">
        <v>3074</v>
      </c>
      <c r="J432" t="s">
        <v>4024</v>
      </c>
      <c r="K432">
        <v>10</v>
      </c>
      <c r="L432" t="s">
        <v>4283</v>
      </c>
      <c r="M432" t="s">
        <v>4279</v>
      </c>
      <c r="N432" s="5">
        <v>551.9</v>
      </c>
      <c r="O432" t="str">
        <f>IF(ABS(Table1[[#This Row],[TotalPrice]]-Table1[[#This Row],[Quantity]]*Table1[[#This Row],[UnitPrice]]) &lt;0.01, "ok",)</f>
        <v>ok</v>
      </c>
      <c r="P432" t="str">
        <f>PROPER(TRIM(Table1[[#This Row],[ShippingAddress]]))</f>
        <v>319 Main St</v>
      </c>
      <c r="Q432" t="str">
        <f>PROPER(TRIM((Table1[[#This Row],[PaymentMethod]])))</f>
        <v>Cash</v>
      </c>
      <c r="R432" t="str">
        <f>PROPER(TRIM(Table1[[#This Row],[ReferralSource]]))</f>
        <v>Referral</v>
      </c>
      <c r="S432" s="5">
        <f>Table1[[#This Row],[TotalPrice]]/Table1[[#This Row],[ItemsInCart]]</f>
        <v>55.19</v>
      </c>
    </row>
    <row r="433" spans="1:19" x14ac:dyDescent="0.3">
      <c r="A433" t="s">
        <v>1166</v>
      </c>
      <c r="B433" s="1">
        <v>45239</v>
      </c>
      <c r="C433" t="s">
        <v>2355</v>
      </c>
      <c r="D433" t="s">
        <v>2405</v>
      </c>
      <c r="E433">
        <v>2</v>
      </c>
      <c r="F433">
        <v>344.18</v>
      </c>
      <c r="G433" t="s">
        <v>2501</v>
      </c>
      <c r="H433" t="s">
        <v>3067</v>
      </c>
      <c r="I433" t="s">
        <v>3070</v>
      </c>
      <c r="J433" t="s">
        <v>4227</v>
      </c>
      <c r="K433">
        <v>7</v>
      </c>
      <c r="L433" t="s">
        <v>4283</v>
      </c>
      <c r="M433" t="s">
        <v>4279</v>
      </c>
      <c r="N433" s="5">
        <v>688.36</v>
      </c>
      <c r="O433" t="str">
        <f>IF(ABS(Table1[[#This Row],[TotalPrice]]-Table1[[#This Row],[Quantity]]*Table1[[#This Row],[UnitPrice]]) &lt;0.01, "ok",)</f>
        <v>ok</v>
      </c>
      <c r="P433" t="str">
        <f>PROPER(TRIM(Table1[[#This Row],[ShippingAddress]]))</f>
        <v>533 Main St</v>
      </c>
      <c r="Q433" t="str">
        <f>PROPER(TRIM((Table1[[#This Row],[PaymentMethod]])))</f>
        <v>Credit Card</v>
      </c>
      <c r="R433" t="str">
        <f>PROPER(TRIM(Table1[[#This Row],[ReferralSource]]))</f>
        <v>Referral</v>
      </c>
      <c r="S433" s="5">
        <f>Table1[[#This Row],[TotalPrice]]/Table1[[#This Row],[ItemsInCart]]</f>
        <v>98.337142857142865</v>
      </c>
    </row>
    <row r="434" spans="1:19" x14ac:dyDescent="0.3">
      <c r="A434" t="s">
        <v>586</v>
      </c>
      <c r="B434" s="1">
        <v>45241</v>
      </c>
      <c r="C434" t="s">
        <v>1786</v>
      </c>
      <c r="D434" t="s">
        <v>2407</v>
      </c>
      <c r="E434">
        <v>1</v>
      </c>
      <c r="F434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>
        <v>4</v>
      </c>
      <c r="L434" t="s">
        <v>4277</v>
      </c>
      <c r="M434" t="s">
        <v>4281</v>
      </c>
      <c r="N434" s="5">
        <v>70.319999999999993</v>
      </c>
      <c r="O434" t="str">
        <f>IF(ABS(Table1[[#This Row],[TotalPrice]]-Table1[[#This Row],[Quantity]]*Table1[[#This Row],[UnitPrice]]) &lt;0.01, "ok",)</f>
        <v>ok</v>
      </c>
      <c r="P434" t="str">
        <f>PROPER(TRIM(Table1[[#This Row],[ShippingAddress]]))</f>
        <v>341 Main St</v>
      </c>
      <c r="Q434" t="str">
        <f>PROPER(TRIM((Table1[[#This Row],[PaymentMethod]])))</f>
        <v>Cash</v>
      </c>
      <c r="R434" t="str">
        <f>PROPER(TRIM(Table1[[#This Row],[ReferralSource]]))</f>
        <v>Facebook</v>
      </c>
      <c r="S434" s="5">
        <f>Table1[[#This Row],[TotalPrice]]/Table1[[#This Row],[ItemsInCart]]</f>
        <v>17.579999999999998</v>
      </c>
    </row>
    <row r="435" spans="1:19" x14ac:dyDescent="0.3">
      <c r="A435" t="s">
        <v>905</v>
      </c>
      <c r="B435" s="1">
        <v>45241</v>
      </c>
      <c r="C435" t="s">
        <v>2101</v>
      </c>
      <c r="D435" t="s">
        <v>2403</v>
      </c>
      <c r="E435">
        <v>3</v>
      </c>
      <c r="F435">
        <v>654.54</v>
      </c>
      <c r="G435" t="s">
        <v>2974</v>
      </c>
      <c r="H435" t="s">
        <v>3069</v>
      </c>
      <c r="I435" t="s">
        <v>3072</v>
      </c>
      <c r="J435" t="s">
        <v>3966</v>
      </c>
      <c r="K435">
        <v>7</v>
      </c>
      <c r="L435" t="s">
        <v>4275</v>
      </c>
      <c r="M435" t="s">
        <v>4279</v>
      </c>
      <c r="N435" s="5">
        <v>1963.62</v>
      </c>
      <c r="O435" t="str">
        <f>IF(ABS(Table1[[#This Row],[TotalPrice]]-Table1[[#This Row],[Quantity]]*Table1[[#This Row],[UnitPrice]]) &lt;0.01, "ok",)</f>
        <v>ok</v>
      </c>
      <c r="P435" t="str">
        <f>PROPER(TRIM(Table1[[#This Row],[ShippingAddress]]))</f>
        <v>918 Main St</v>
      </c>
      <c r="Q435" t="str">
        <f>PROPER(TRIM((Table1[[#This Row],[PaymentMethod]])))</f>
        <v>Cash</v>
      </c>
      <c r="R435" t="str">
        <f>PROPER(TRIM(Table1[[#This Row],[ReferralSource]]))</f>
        <v>Referral</v>
      </c>
      <c r="S435" s="5">
        <f>Table1[[#This Row],[TotalPrice]]/Table1[[#This Row],[ItemsInCart]]</f>
        <v>280.51714285714286</v>
      </c>
    </row>
    <row r="436" spans="1:19" x14ac:dyDescent="0.3">
      <c r="A436" t="s">
        <v>1049</v>
      </c>
      <c r="B436" s="1">
        <v>45242</v>
      </c>
      <c r="C436" t="s">
        <v>2241</v>
      </c>
      <c r="D436" t="s">
        <v>2408</v>
      </c>
      <c r="E436">
        <v>4</v>
      </c>
      <c r="F436">
        <v>506.11</v>
      </c>
      <c r="G436" t="s">
        <v>3009</v>
      </c>
      <c r="H436" t="s">
        <v>3069</v>
      </c>
      <c r="I436" t="s">
        <v>3071</v>
      </c>
      <c r="J436" t="s">
        <v>4110</v>
      </c>
      <c r="K436">
        <v>5</v>
      </c>
      <c r="L436" t="s">
        <v>4283</v>
      </c>
      <c r="M436" t="s">
        <v>4279</v>
      </c>
      <c r="N436" s="5">
        <v>2024.44</v>
      </c>
      <c r="O436" t="str">
        <f>IF(ABS(Table1[[#This Row],[TotalPrice]]-Table1[[#This Row],[Quantity]]*Table1[[#This Row],[UnitPrice]]) &lt;0.01, "ok",)</f>
        <v>ok</v>
      </c>
      <c r="P436" t="str">
        <f>PROPER(TRIM(Table1[[#This Row],[ShippingAddress]]))</f>
        <v>911 Main St</v>
      </c>
      <c r="Q436" t="str">
        <f>PROPER(TRIM((Table1[[#This Row],[PaymentMethod]])))</f>
        <v>Cash</v>
      </c>
      <c r="R436" t="str">
        <f>PROPER(TRIM(Table1[[#This Row],[ReferralSource]]))</f>
        <v>Referral</v>
      </c>
      <c r="S436" s="5">
        <f>Table1[[#This Row],[TotalPrice]]/Table1[[#This Row],[ItemsInCart]]</f>
        <v>404.88800000000003</v>
      </c>
    </row>
    <row r="437" spans="1:19" x14ac:dyDescent="0.3">
      <c r="A437" t="s">
        <v>713</v>
      </c>
      <c r="B437" s="1">
        <v>45243</v>
      </c>
      <c r="C437" t="s">
        <v>1911</v>
      </c>
      <c r="D437" t="s">
        <v>2408</v>
      </c>
      <c r="E437">
        <v>3</v>
      </c>
      <c r="F437">
        <v>614.15</v>
      </c>
      <c r="G437" t="s">
        <v>2880</v>
      </c>
      <c r="H437" t="s">
        <v>3068</v>
      </c>
      <c r="I437" t="s">
        <v>3071</v>
      </c>
      <c r="J437" t="s">
        <v>3774</v>
      </c>
      <c r="K437">
        <v>3</v>
      </c>
      <c r="L437" t="s">
        <v>4283</v>
      </c>
      <c r="M437" t="s">
        <v>4281</v>
      </c>
      <c r="N437" s="5">
        <v>1842.45</v>
      </c>
      <c r="O437" t="str">
        <f>IF(ABS(Table1[[#This Row],[TotalPrice]]-Table1[[#This Row],[Quantity]]*Table1[[#This Row],[UnitPrice]]) &lt;0.01, "ok",)</f>
        <v>ok</v>
      </c>
      <c r="P437" t="str">
        <f>PROPER(TRIM(Table1[[#This Row],[ShippingAddress]]))</f>
        <v>897 Main St</v>
      </c>
      <c r="Q437" t="str">
        <f>PROPER(TRIM((Table1[[#This Row],[PaymentMethod]])))</f>
        <v>Gift Card</v>
      </c>
      <c r="R437" t="str">
        <f>PROPER(TRIM(Table1[[#This Row],[ReferralSource]]))</f>
        <v>Facebook</v>
      </c>
      <c r="S437" s="5">
        <f>Table1[[#This Row],[TotalPrice]]/Table1[[#This Row],[ItemsInCart]]</f>
        <v>614.15</v>
      </c>
    </row>
    <row r="438" spans="1:19" x14ac:dyDescent="0.3">
      <c r="A438" t="s">
        <v>556</v>
      </c>
      <c r="B438" s="1">
        <v>45244</v>
      </c>
      <c r="C438" t="s">
        <v>1756</v>
      </c>
      <c r="D438" t="s">
        <v>2405</v>
      </c>
      <c r="E438">
        <v>1</v>
      </c>
      <c r="F438">
        <v>17.98</v>
      </c>
      <c r="G438" t="s">
        <v>2415</v>
      </c>
      <c r="H438" t="s">
        <v>3069</v>
      </c>
      <c r="I438" t="s">
        <v>3071</v>
      </c>
      <c r="J438" t="s">
        <v>3617</v>
      </c>
      <c r="K438">
        <v>6</v>
      </c>
      <c r="L438" t="s">
        <v>4276</v>
      </c>
      <c r="M438" t="s">
        <v>4280</v>
      </c>
      <c r="N438" s="5">
        <v>17.98</v>
      </c>
      <c r="O438" t="str">
        <f>IF(ABS(Table1[[#This Row],[TotalPrice]]-Table1[[#This Row],[Quantity]]*Table1[[#This Row],[UnitPrice]]) &lt;0.01, "ok",)</f>
        <v>ok</v>
      </c>
      <c r="P438" t="str">
        <f>PROPER(TRIM(Table1[[#This Row],[ShippingAddress]]))</f>
        <v>934 Main St</v>
      </c>
      <c r="Q438" t="str">
        <f>PROPER(TRIM((Table1[[#This Row],[PaymentMethod]])))</f>
        <v>Cash</v>
      </c>
      <c r="R438" t="str">
        <f>PROPER(TRIM(Table1[[#This Row],[ReferralSource]]))</f>
        <v>Email</v>
      </c>
      <c r="S438" s="5">
        <f>Table1[[#This Row],[TotalPrice]]/Table1[[#This Row],[ItemsInCart]]</f>
        <v>2.9966666666666666</v>
      </c>
    </row>
    <row r="439" spans="1:19" x14ac:dyDescent="0.3">
      <c r="A439" t="s">
        <v>594</v>
      </c>
      <c r="B439" s="1">
        <v>45244</v>
      </c>
      <c r="C439" t="s">
        <v>1794</v>
      </c>
      <c r="D439" t="s">
        <v>2403</v>
      </c>
      <c r="E439">
        <v>2</v>
      </c>
      <c r="F439">
        <v>255.99</v>
      </c>
      <c r="G439" t="s">
        <v>2826</v>
      </c>
      <c r="H439" t="s">
        <v>3067</v>
      </c>
      <c r="I439" t="s">
        <v>3073</v>
      </c>
      <c r="J439" t="s">
        <v>3655</v>
      </c>
      <c r="K439">
        <v>4</v>
      </c>
      <c r="L439" t="s">
        <v>4275</v>
      </c>
      <c r="M439" t="s">
        <v>4278</v>
      </c>
      <c r="N439" s="5">
        <v>511.98</v>
      </c>
      <c r="O439" t="str">
        <f>IF(ABS(Table1[[#This Row],[TotalPrice]]-Table1[[#This Row],[Quantity]]*Table1[[#This Row],[UnitPrice]]) &lt;0.01, "ok",)</f>
        <v>ok</v>
      </c>
      <c r="P439" t="str">
        <f>PROPER(TRIM(Table1[[#This Row],[ShippingAddress]]))</f>
        <v>340 Main St</v>
      </c>
      <c r="Q439" t="str">
        <f>PROPER(TRIM((Table1[[#This Row],[PaymentMethod]])))</f>
        <v>Credit Card</v>
      </c>
      <c r="R439" t="str">
        <f>PROPER(TRIM(Table1[[#This Row],[ReferralSource]]))</f>
        <v>Instagram</v>
      </c>
      <c r="S439" s="5">
        <f>Table1[[#This Row],[TotalPrice]]/Table1[[#This Row],[ItemsInCart]]</f>
        <v>127.995</v>
      </c>
    </row>
    <row r="440" spans="1:19" x14ac:dyDescent="0.3">
      <c r="A440" t="s">
        <v>488</v>
      </c>
      <c r="B440" s="1">
        <v>45245</v>
      </c>
      <c r="C440" t="s">
        <v>1688</v>
      </c>
      <c r="D440" t="s">
        <v>2407</v>
      </c>
      <c r="E440">
        <v>3</v>
      </c>
      <c r="F440">
        <v>229.34</v>
      </c>
      <c r="G440" t="s">
        <v>2692</v>
      </c>
      <c r="H440" t="s">
        <v>3067</v>
      </c>
      <c r="I440" t="s">
        <v>3070</v>
      </c>
      <c r="J440" t="s">
        <v>3549</v>
      </c>
      <c r="K440">
        <v>6</v>
      </c>
      <c r="L440" t="s">
        <v>4275</v>
      </c>
      <c r="M440" t="s">
        <v>4279</v>
      </c>
      <c r="N440" s="5">
        <v>688.02</v>
      </c>
      <c r="O440" t="str">
        <f>IF(ABS(Table1[[#This Row],[TotalPrice]]-Table1[[#This Row],[Quantity]]*Table1[[#This Row],[UnitPrice]]) &lt;0.01, "ok",)</f>
        <v>ok</v>
      </c>
      <c r="P440" t="str">
        <f>PROPER(TRIM(Table1[[#This Row],[ShippingAddress]]))</f>
        <v>398 Main St</v>
      </c>
      <c r="Q440" t="str">
        <f>PROPER(TRIM((Table1[[#This Row],[PaymentMethod]])))</f>
        <v>Credit Card</v>
      </c>
      <c r="R440" t="str">
        <f>PROPER(TRIM(Table1[[#This Row],[ReferralSource]]))</f>
        <v>Referral</v>
      </c>
      <c r="S440" s="5">
        <f>Table1[[#This Row],[TotalPrice]]/Table1[[#This Row],[ItemsInCart]]</f>
        <v>114.67</v>
      </c>
    </row>
    <row r="441" spans="1:19" x14ac:dyDescent="0.3">
      <c r="A441" t="s">
        <v>658</v>
      </c>
      <c r="B441" s="1">
        <v>45245</v>
      </c>
      <c r="C441" t="s">
        <v>1857</v>
      </c>
      <c r="D441" t="s">
        <v>2406</v>
      </c>
      <c r="E441">
        <v>2</v>
      </c>
      <c r="F441">
        <v>366.23</v>
      </c>
      <c r="G441" t="s">
        <v>2856</v>
      </c>
      <c r="H441" t="s">
        <v>3069</v>
      </c>
      <c r="I441" t="s">
        <v>3070</v>
      </c>
      <c r="J441" t="s">
        <v>3719</v>
      </c>
      <c r="K441">
        <v>2</v>
      </c>
      <c r="L441" t="s">
        <v>4277</v>
      </c>
      <c r="M441" t="s">
        <v>4280</v>
      </c>
      <c r="N441" s="5">
        <v>732.46</v>
      </c>
      <c r="O441" t="str">
        <f>IF(ABS(Table1[[#This Row],[TotalPrice]]-Table1[[#This Row],[Quantity]]*Table1[[#This Row],[UnitPrice]]) &lt;0.01, "ok",)</f>
        <v>ok</v>
      </c>
      <c r="P441" t="str">
        <f>PROPER(TRIM(Table1[[#This Row],[ShippingAddress]]))</f>
        <v>961 Main St</v>
      </c>
      <c r="Q441" t="str">
        <f>PROPER(TRIM((Table1[[#This Row],[PaymentMethod]])))</f>
        <v>Cash</v>
      </c>
      <c r="R441" t="str">
        <f>PROPER(TRIM(Table1[[#This Row],[ReferralSource]]))</f>
        <v>Email</v>
      </c>
      <c r="S441" s="5">
        <f>Table1[[#This Row],[TotalPrice]]/Table1[[#This Row],[ItemsInCart]]</f>
        <v>366.23</v>
      </c>
    </row>
    <row r="442" spans="1:19" x14ac:dyDescent="0.3">
      <c r="A442" t="s">
        <v>1054</v>
      </c>
      <c r="B442" s="1">
        <v>45245</v>
      </c>
      <c r="C442" t="s">
        <v>2246</v>
      </c>
      <c r="D442" t="s">
        <v>2405</v>
      </c>
      <c r="E442">
        <v>1</v>
      </c>
      <c r="F442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>
        <v>5</v>
      </c>
      <c r="L442" t="s">
        <v>4276</v>
      </c>
      <c r="M442" t="s">
        <v>4282</v>
      </c>
      <c r="N442" s="5">
        <v>536.07000000000005</v>
      </c>
      <c r="O442" t="str">
        <f>IF(ABS(Table1[[#This Row],[TotalPrice]]-Table1[[#This Row],[Quantity]]*Table1[[#This Row],[UnitPrice]]) &lt;0.01, "ok",)</f>
        <v>ok</v>
      </c>
      <c r="P442" t="str">
        <f>PROPER(TRIM(Table1[[#This Row],[ShippingAddress]]))</f>
        <v>932 Main St</v>
      </c>
      <c r="Q442" t="str">
        <f>PROPER(TRIM((Table1[[#This Row],[PaymentMethod]])))</f>
        <v>Debit Card</v>
      </c>
      <c r="R442" t="str">
        <f>PROPER(TRIM(Table1[[#This Row],[ReferralSource]]))</f>
        <v>Google</v>
      </c>
      <c r="S442" s="5">
        <f>Table1[[#This Row],[TotalPrice]]/Table1[[#This Row],[ItemsInCart]]</f>
        <v>107.21400000000001</v>
      </c>
    </row>
    <row r="443" spans="1:19" x14ac:dyDescent="0.3">
      <c r="A443" t="s">
        <v>155</v>
      </c>
      <c r="B443" s="1">
        <v>45248</v>
      </c>
      <c r="C443" t="s">
        <v>1355</v>
      </c>
      <c r="D443" t="s">
        <v>2407</v>
      </c>
      <c r="E443">
        <v>3</v>
      </c>
      <c r="F443">
        <v>684.14</v>
      </c>
      <c r="G443" t="s">
        <v>2541</v>
      </c>
      <c r="H443" t="s">
        <v>3069</v>
      </c>
      <c r="I443" t="s">
        <v>3071</v>
      </c>
      <c r="J443" t="s">
        <v>3216</v>
      </c>
      <c r="K443">
        <v>3</v>
      </c>
      <c r="L443" t="s">
        <v>4277</v>
      </c>
      <c r="M443" t="s">
        <v>4278</v>
      </c>
      <c r="N443" s="5">
        <v>2052.42</v>
      </c>
      <c r="O443" t="str">
        <f>IF(ABS(Table1[[#This Row],[TotalPrice]]-Table1[[#This Row],[Quantity]]*Table1[[#This Row],[UnitPrice]]) &lt;0.01, "ok",)</f>
        <v>ok</v>
      </c>
      <c r="P443" t="str">
        <f>PROPER(TRIM(Table1[[#This Row],[ShippingAddress]]))</f>
        <v>151 Main St</v>
      </c>
      <c r="Q443" t="str">
        <f>PROPER(TRIM((Table1[[#This Row],[PaymentMethod]])))</f>
        <v>Cash</v>
      </c>
      <c r="R443" t="str">
        <f>PROPER(TRIM(Table1[[#This Row],[ReferralSource]]))</f>
        <v>Instagram</v>
      </c>
      <c r="S443" s="5">
        <f>Table1[[#This Row],[TotalPrice]]/Table1[[#This Row],[ItemsInCart]]</f>
        <v>684.14</v>
      </c>
    </row>
    <row r="444" spans="1:19" x14ac:dyDescent="0.3">
      <c r="A444" t="s">
        <v>1009</v>
      </c>
      <c r="B444" s="1">
        <v>45248</v>
      </c>
      <c r="C444" t="s">
        <v>2202</v>
      </c>
      <c r="D444" t="s">
        <v>2403</v>
      </c>
      <c r="E444">
        <v>2</v>
      </c>
      <c r="F444">
        <v>113.29</v>
      </c>
      <c r="G444" t="s">
        <v>2801</v>
      </c>
      <c r="H444" t="s">
        <v>3069</v>
      </c>
      <c r="I444" t="s">
        <v>3074</v>
      </c>
      <c r="J444" t="s">
        <v>4070</v>
      </c>
      <c r="K444">
        <v>5</v>
      </c>
      <c r="L444" t="s">
        <v>4275</v>
      </c>
      <c r="M444" t="s">
        <v>4281</v>
      </c>
      <c r="N444" s="5">
        <v>226.58</v>
      </c>
      <c r="O444" t="str">
        <f>IF(ABS(Table1[[#This Row],[TotalPrice]]-Table1[[#This Row],[Quantity]]*Table1[[#This Row],[UnitPrice]]) &lt;0.01, "ok",)</f>
        <v>ok</v>
      </c>
      <c r="P444" t="str">
        <f>PROPER(TRIM(Table1[[#This Row],[ShippingAddress]]))</f>
        <v>959 Main St</v>
      </c>
      <c r="Q444" t="str">
        <f>PROPER(TRIM((Table1[[#This Row],[PaymentMethod]])))</f>
        <v>Cash</v>
      </c>
      <c r="R444" t="str">
        <f>PROPER(TRIM(Table1[[#This Row],[ReferralSource]]))</f>
        <v>Facebook</v>
      </c>
      <c r="S444" s="5">
        <f>Table1[[#This Row],[TotalPrice]]/Table1[[#This Row],[ItemsInCart]]</f>
        <v>45.316000000000003</v>
      </c>
    </row>
    <row r="445" spans="1:19" x14ac:dyDescent="0.3">
      <c r="A445" t="s">
        <v>1200</v>
      </c>
      <c r="B445" s="1">
        <v>45248</v>
      </c>
      <c r="C445" t="s">
        <v>2389</v>
      </c>
      <c r="D445" t="s">
        <v>2403</v>
      </c>
      <c r="E445">
        <v>1</v>
      </c>
      <c r="F445">
        <v>163.32</v>
      </c>
      <c r="G445" t="s">
        <v>3058</v>
      </c>
      <c r="H445" t="s">
        <v>3069</v>
      </c>
      <c r="I445" t="s">
        <v>3070</v>
      </c>
      <c r="J445" t="s">
        <v>4261</v>
      </c>
      <c r="K445">
        <v>6</v>
      </c>
      <c r="L445" t="s">
        <v>4277</v>
      </c>
      <c r="M445" t="s">
        <v>4281</v>
      </c>
      <c r="N445" s="5">
        <v>163.32</v>
      </c>
      <c r="O445" t="str">
        <f>IF(ABS(Table1[[#This Row],[TotalPrice]]-Table1[[#This Row],[Quantity]]*Table1[[#This Row],[UnitPrice]]) &lt;0.01, "ok",)</f>
        <v>ok</v>
      </c>
      <c r="P445" t="str">
        <f>PROPER(TRIM(Table1[[#This Row],[ShippingAddress]]))</f>
        <v>676 Main St</v>
      </c>
      <c r="Q445" t="str">
        <f>PROPER(TRIM((Table1[[#This Row],[PaymentMethod]])))</f>
        <v>Cash</v>
      </c>
      <c r="R445" t="str">
        <f>PROPER(TRIM(Table1[[#This Row],[ReferralSource]]))</f>
        <v>Facebook</v>
      </c>
      <c r="S445" s="5">
        <f>Table1[[#This Row],[TotalPrice]]/Table1[[#This Row],[ItemsInCart]]</f>
        <v>27.22</v>
      </c>
    </row>
    <row r="446" spans="1:19" x14ac:dyDescent="0.3">
      <c r="A446" t="s">
        <v>1004</v>
      </c>
      <c r="B446" s="1">
        <v>45249</v>
      </c>
      <c r="C446" t="s">
        <v>2197</v>
      </c>
      <c r="D446" t="s">
        <v>2404</v>
      </c>
      <c r="E446">
        <v>2</v>
      </c>
      <c r="F446">
        <v>418.26</v>
      </c>
      <c r="G446" t="s">
        <v>2999</v>
      </c>
      <c r="H446" t="s">
        <v>3065</v>
      </c>
      <c r="I446" t="s">
        <v>3074</v>
      </c>
      <c r="J446" t="s">
        <v>4065</v>
      </c>
      <c r="K446">
        <v>2</v>
      </c>
      <c r="L446" t="s">
        <v>4275</v>
      </c>
      <c r="M446" t="s">
        <v>4282</v>
      </c>
      <c r="N446" s="5">
        <v>836.52</v>
      </c>
      <c r="O446" t="str">
        <f>IF(ABS(Table1[[#This Row],[TotalPrice]]-Table1[[#This Row],[Quantity]]*Table1[[#This Row],[UnitPrice]]) &lt;0.01, "ok",)</f>
        <v>ok</v>
      </c>
      <c r="P446" t="str">
        <f>PROPER(TRIM(Table1[[#This Row],[ShippingAddress]]))</f>
        <v>913 Main St</v>
      </c>
      <c r="Q446" t="str">
        <f>PROPER(TRIM((Table1[[#This Row],[PaymentMethod]])))</f>
        <v>Debit Card</v>
      </c>
      <c r="R446" t="str">
        <f>PROPER(TRIM(Table1[[#This Row],[ReferralSource]]))</f>
        <v>Google</v>
      </c>
      <c r="S446" s="5">
        <f>Table1[[#This Row],[TotalPrice]]/Table1[[#This Row],[ItemsInCart]]</f>
        <v>418.26</v>
      </c>
    </row>
    <row r="447" spans="1:19" x14ac:dyDescent="0.3">
      <c r="A447" t="s">
        <v>1208</v>
      </c>
      <c r="B447" s="1">
        <v>45249</v>
      </c>
      <c r="C447" t="s">
        <v>2397</v>
      </c>
      <c r="D447" t="s">
        <v>2407</v>
      </c>
      <c r="E447">
        <v>3</v>
      </c>
      <c r="F447">
        <v>189.44</v>
      </c>
      <c r="G447" t="s">
        <v>2582</v>
      </c>
      <c r="H447" t="s">
        <v>3069</v>
      </c>
      <c r="I447" t="s">
        <v>3074</v>
      </c>
      <c r="J447" t="s">
        <v>4269</v>
      </c>
      <c r="K447">
        <v>4</v>
      </c>
      <c r="L447" t="s">
        <v>4276</v>
      </c>
      <c r="M447" t="s">
        <v>4280</v>
      </c>
      <c r="N447" s="5">
        <v>568.31999999999994</v>
      </c>
      <c r="O447" t="str">
        <f>IF(ABS(Table1[[#This Row],[TotalPrice]]-Table1[[#This Row],[Quantity]]*Table1[[#This Row],[UnitPrice]]) &lt;0.01, "ok",)</f>
        <v>ok</v>
      </c>
      <c r="P447" t="str">
        <f>PROPER(TRIM(Table1[[#This Row],[ShippingAddress]]))</f>
        <v>725 Main St</v>
      </c>
      <c r="Q447" t="str">
        <f>PROPER(TRIM((Table1[[#This Row],[PaymentMethod]])))</f>
        <v>Cash</v>
      </c>
      <c r="R447" t="str">
        <f>PROPER(TRIM(Table1[[#This Row],[ReferralSource]]))</f>
        <v>Email</v>
      </c>
      <c r="S447" s="5">
        <f>Table1[[#This Row],[TotalPrice]]/Table1[[#This Row],[ItemsInCart]]</f>
        <v>142.07999999999998</v>
      </c>
    </row>
    <row r="448" spans="1:19" x14ac:dyDescent="0.3">
      <c r="A448" t="s">
        <v>23</v>
      </c>
      <c r="B448" s="1">
        <v>45251</v>
      </c>
      <c r="C448" t="s">
        <v>1223</v>
      </c>
      <c r="D448" t="s">
        <v>2409</v>
      </c>
      <c r="E448">
        <v>4</v>
      </c>
      <c r="F448">
        <v>509.38</v>
      </c>
      <c r="G448" t="s">
        <v>2419</v>
      </c>
      <c r="H448" t="s">
        <v>3067</v>
      </c>
      <c r="I448" t="s">
        <v>3070</v>
      </c>
      <c r="J448" t="s">
        <v>3084</v>
      </c>
      <c r="K448">
        <v>6</v>
      </c>
      <c r="L448" t="s">
        <v>4275</v>
      </c>
      <c r="M448" t="s">
        <v>4282</v>
      </c>
      <c r="N448" s="5">
        <v>2037.52</v>
      </c>
      <c r="O448" t="str">
        <f>IF(ABS(Table1[[#This Row],[TotalPrice]]-Table1[[#This Row],[Quantity]]*Table1[[#This Row],[UnitPrice]]) &lt;0.01, "ok",)</f>
        <v>ok</v>
      </c>
      <c r="P448" t="str">
        <f>PROPER(TRIM(Table1[[#This Row],[ShippingAddress]]))</f>
        <v>102 Main St</v>
      </c>
      <c r="Q448" t="str">
        <f>PROPER(TRIM((Table1[[#This Row],[PaymentMethod]])))</f>
        <v>Credit Card</v>
      </c>
      <c r="R448" t="str">
        <f>PROPER(TRIM(Table1[[#This Row],[ReferralSource]]))</f>
        <v>Google</v>
      </c>
      <c r="S448" s="5">
        <f>Table1[[#This Row],[TotalPrice]]/Table1[[#This Row],[ItemsInCart]]</f>
        <v>339.58666666666664</v>
      </c>
    </row>
    <row r="449" spans="1:19" x14ac:dyDescent="0.3">
      <c r="A449" t="s">
        <v>42</v>
      </c>
      <c r="B449" s="1">
        <v>45251</v>
      </c>
      <c r="C449" t="s">
        <v>1242</v>
      </c>
      <c r="D449" t="s">
        <v>2404</v>
      </c>
      <c r="E449">
        <v>4</v>
      </c>
      <c r="F449">
        <v>160.07</v>
      </c>
      <c r="G449" t="s">
        <v>2438</v>
      </c>
      <c r="H449" t="s">
        <v>3066</v>
      </c>
      <c r="I449" t="s">
        <v>3074</v>
      </c>
      <c r="J449" t="s">
        <v>3103</v>
      </c>
      <c r="K449">
        <v>5</v>
      </c>
      <c r="L449" t="s">
        <v>4283</v>
      </c>
      <c r="M449" t="s">
        <v>4280</v>
      </c>
      <c r="N449" s="5">
        <v>640.28</v>
      </c>
      <c r="O449" t="str">
        <f>IF(ABS(Table1[[#This Row],[TotalPrice]]-Table1[[#This Row],[Quantity]]*Table1[[#This Row],[UnitPrice]]) &lt;0.01, "ok",)</f>
        <v>ok</v>
      </c>
      <c r="P449" t="str">
        <f>PROPER(TRIM(Table1[[#This Row],[ShippingAddress]]))</f>
        <v>568 Main St</v>
      </c>
      <c r="Q449" t="str">
        <f>PROPER(TRIM((Table1[[#This Row],[PaymentMethod]])))</f>
        <v>Online</v>
      </c>
      <c r="R449" t="str">
        <f>PROPER(TRIM(Table1[[#This Row],[ReferralSource]]))</f>
        <v>Email</v>
      </c>
      <c r="S449" s="5">
        <f>Table1[[#This Row],[TotalPrice]]/Table1[[#This Row],[ItemsInCart]]</f>
        <v>128.05599999999998</v>
      </c>
    </row>
    <row r="450" spans="1:19" x14ac:dyDescent="0.3">
      <c r="A450" t="s">
        <v>919</v>
      </c>
      <c r="B450" s="1">
        <v>45253</v>
      </c>
      <c r="C450" t="s">
        <v>2115</v>
      </c>
      <c r="D450" t="s">
        <v>2408</v>
      </c>
      <c r="E450">
        <v>1</v>
      </c>
      <c r="F450">
        <v>442.39</v>
      </c>
      <c r="G450" t="s">
        <v>2677</v>
      </c>
      <c r="H450" t="s">
        <v>3068</v>
      </c>
      <c r="I450" t="s">
        <v>3074</v>
      </c>
      <c r="J450" t="s">
        <v>3980</v>
      </c>
      <c r="K450">
        <v>6</v>
      </c>
      <c r="L450" t="s">
        <v>4276</v>
      </c>
      <c r="M450" t="s">
        <v>4281</v>
      </c>
      <c r="N450" s="5">
        <v>442.39</v>
      </c>
      <c r="O450" t="str">
        <f>IF(ABS(Table1[[#This Row],[TotalPrice]]-Table1[[#This Row],[Quantity]]*Table1[[#This Row],[UnitPrice]]) &lt;0.01, "ok",)</f>
        <v>ok</v>
      </c>
      <c r="P450" t="str">
        <f>PROPER(TRIM(Table1[[#This Row],[ShippingAddress]]))</f>
        <v>101 Main St</v>
      </c>
      <c r="Q450" t="str">
        <f>PROPER(TRIM((Table1[[#This Row],[PaymentMethod]])))</f>
        <v>Gift Card</v>
      </c>
      <c r="R450" t="str">
        <f>PROPER(TRIM(Table1[[#This Row],[ReferralSource]]))</f>
        <v>Facebook</v>
      </c>
      <c r="S450" s="5">
        <f>Table1[[#This Row],[TotalPrice]]/Table1[[#This Row],[ItemsInCart]]</f>
        <v>73.731666666666669</v>
      </c>
    </row>
    <row r="451" spans="1:19" x14ac:dyDescent="0.3">
      <c r="A451" t="s">
        <v>301</v>
      </c>
      <c r="B451" s="1">
        <v>45254</v>
      </c>
      <c r="C451" t="s">
        <v>1501</v>
      </c>
      <c r="D451" t="s">
        <v>2406</v>
      </c>
      <c r="E451">
        <v>4</v>
      </c>
      <c r="F451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>
        <v>5</v>
      </c>
      <c r="L451" t="s">
        <v>4283</v>
      </c>
      <c r="M451" t="s">
        <v>4281</v>
      </c>
      <c r="N451" s="5">
        <v>2620.7199999999998</v>
      </c>
      <c r="O451" t="str">
        <f>IF(ABS(Table1[[#This Row],[TotalPrice]]-Table1[[#This Row],[Quantity]]*Table1[[#This Row],[UnitPrice]]) &lt;0.01, "ok",)</f>
        <v>ok</v>
      </c>
      <c r="P451" t="str">
        <f>PROPER(TRIM(Table1[[#This Row],[ShippingAddress]]))</f>
        <v>630 Main St</v>
      </c>
      <c r="Q451" t="str">
        <f>PROPER(TRIM((Table1[[#This Row],[PaymentMethod]])))</f>
        <v>Online</v>
      </c>
      <c r="R451" t="str">
        <f>PROPER(TRIM(Table1[[#This Row],[ReferralSource]]))</f>
        <v>Facebook</v>
      </c>
      <c r="S451" s="5">
        <f>Table1[[#This Row],[TotalPrice]]/Table1[[#This Row],[ItemsInCart]]</f>
        <v>524.14400000000001</v>
      </c>
    </row>
    <row r="452" spans="1:19" x14ac:dyDescent="0.3">
      <c r="A452" t="s">
        <v>378</v>
      </c>
      <c r="B452" s="1">
        <v>45254</v>
      </c>
      <c r="C452" t="s">
        <v>1578</v>
      </c>
      <c r="D452" t="s">
        <v>2404</v>
      </c>
      <c r="E452">
        <v>5</v>
      </c>
      <c r="F452">
        <v>628.74</v>
      </c>
      <c r="G452" t="s">
        <v>2650</v>
      </c>
      <c r="H452" t="s">
        <v>3069</v>
      </c>
      <c r="I452" t="s">
        <v>3071</v>
      </c>
      <c r="J452" t="s">
        <v>3439</v>
      </c>
      <c r="K452">
        <v>9</v>
      </c>
      <c r="L452" t="s">
        <v>4276</v>
      </c>
      <c r="M452" t="s">
        <v>4281</v>
      </c>
      <c r="N452" s="5">
        <v>3143.7</v>
      </c>
      <c r="O452" t="str">
        <f>IF(ABS(Table1[[#This Row],[TotalPrice]]-Table1[[#This Row],[Quantity]]*Table1[[#This Row],[UnitPrice]]) &lt;0.01, "ok",)</f>
        <v>ok</v>
      </c>
      <c r="P452" t="str">
        <f>PROPER(TRIM(Table1[[#This Row],[ShippingAddress]]))</f>
        <v>740 Main St</v>
      </c>
      <c r="Q452" t="str">
        <f>PROPER(TRIM((Table1[[#This Row],[PaymentMethod]])))</f>
        <v>Cash</v>
      </c>
      <c r="R452" t="str">
        <f>PROPER(TRIM(Table1[[#This Row],[ReferralSource]]))</f>
        <v>Facebook</v>
      </c>
      <c r="S452" s="5">
        <f>Table1[[#This Row],[TotalPrice]]/Table1[[#This Row],[ItemsInCart]]</f>
        <v>349.29999999999995</v>
      </c>
    </row>
    <row r="453" spans="1:19" x14ac:dyDescent="0.3">
      <c r="A453" t="s">
        <v>949</v>
      </c>
      <c r="B453" s="1">
        <v>45254</v>
      </c>
      <c r="C453" t="s">
        <v>2145</v>
      </c>
      <c r="D453" t="s">
        <v>2404</v>
      </c>
      <c r="E453">
        <v>3</v>
      </c>
      <c r="F453">
        <v>692.71</v>
      </c>
      <c r="G453" t="s">
        <v>2692</v>
      </c>
      <c r="H453" t="s">
        <v>3067</v>
      </c>
      <c r="I453" t="s">
        <v>3073</v>
      </c>
      <c r="J453" t="s">
        <v>4010</v>
      </c>
      <c r="K453">
        <v>3</v>
      </c>
      <c r="L453" t="s">
        <v>4276</v>
      </c>
      <c r="M453" t="s">
        <v>4278</v>
      </c>
      <c r="N453" s="5">
        <v>2078.13</v>
      </c>
      <c r="O453" t="str">
        <f>IF(ABS(Table1[[#This Row],[TotalPrice]]-Table1[[#This Row],[Quantity]]*Table1[[#This Row],[UnitPrice]]) &lt;0.01, "ok",)</f>
        <v>ok</v>
      </c>
      <c r="P453" t="str">
        <f>PROPER(TRIM(Table1[[#This Row],[ShippingAddress]]))</f>
        <v>398 Main St</v>
      </c>
      <c r="Q453" t="str">
        <f>PROPER(TRIM((Table1[[#This Row],[PaymentMethod]])))</f>
        <v>Credit Card</v>
      </c>
      <c r="R453" t="str">
        <f>PROPER(TRIM(Table1[[#This Row],[ReferralSource]]))</f>
        <v>Instagram</v>
      </c>
      <c r="S453" s="5">
        <f>Table1[[#This Row],[TotalPrice]]/Table1[[#This Row],[ItemsInCart]]</f>
        <v>692.71</v>
      </c>
    </row>
    <row r="454" spans="1:19" x14ac:dyDescent="0.3">
      <c r="A454" t="s">
        <v>115</v>
      </c>
      <c r="B454" s="1">
        <v>45255</v>
      </c>
      <c r="C454" t="s">
        <v>1315</v>
      </c>
      <c r="D454" t="s">
        <v>2407</v>
      </c>
      <c r="E454">
        <v>1</v>
      </c>
      <c r="F454">
        <v>381.02</v>
      </c>
      <c r="G454" t="s">
        <v>2504</v>
      </c>
      <c r="H454" t="s">
        <v>3069</v>
      </c>
      <c r="I454" t="s">
        <v>3070</v>
      </c>
      <c r="J454" t="s">
        <v>3176</v>
      </c>
      <c r="K454">
        <v>6</v>
      </c>
      <c r="L454" t="s">
        <v>4283</v>
      </c>
      <c r="M454" t="s">
        <v>4282</v>
      </c>
      <c r="N454" s="5">
        <v>381.02</v>
      </c>
      <c r="O454" t="str">
        <f>IF(ABS(Table1[[#This Row],[TotalPrice]]-Table1[[#This Row],[Quantity]]*Table1[[#This Row],[UnitPrice]]) &lt;0.01, "ok",)</f>
        <v>ok</v>
      </c>
      <c r="P454" t="str">
        <f>PROPER(TRIM(Table1[[#This Row],[ShippingAddress]]))</f>
        <v>152 Main St</v>
      </c>
      <c r="Q454" t="str">
        <f>PROPER(TRIM((Table1[[#This Row],[PaymentMethod]])))</f>
        <v>Cash</v>
      </c>
      <c r="R454" t="str">
        <f>PROPER(TRIM(Table1[[#This Row],[ReferralSource]]))</f>
        <v>Google</v>
      </c>
      <c r="S454" s="5">
        <f>Table1[[#This Row],[TotalPrice]]/Table1[[#This Row],[ItemsInCart]]</f>
        <v>63.50333333333333</v>
      </c>
    </row>
    <row r="455" spans="1:19" x14ac:dyDescent="0.3">
      <c r="A455" t="s">
        <v>283</v>
      </c>
      <c r="B455" s="1">
        <v>45255</v>
      </c>
      <c r="C455" t="s">
        <v>1483</v>
      </c>
      <c r="D455" t="s">
        <v>2405</v>
      </c>
      <c r="E455">
        <v>4</v>
      </c>
      <c r="F455">
        <v>663.67</v>
      </c>
      <c r="G455" t="s">
        <v>2477</v>
      </c>
      <c r="H455" t="s">
        <v>3067</v>
      </c>
      <c r="I455" t="s">
        <v>3074</v>
      </c>
      <c r="J455" t="s">
        <v>3344</v>
      </c>
      <c r="K455">
        <v>7</v>
      </c>
      <c r="L455" t="s">
        <v>4276</v>
      </c>
      <c r="M455" t="s">
        <v>4282</v>
      </c>
      <c r="N455" s="5">
        <v>2654.68</v>
      </c>
      <c r="O455" t="str">
        <f>IF(ABS(Table1[[#This Row],[TotalPrice]]-Table1[[#This Row],[Quantity]]*Table1[[#This Row],[UnitPrice]]) &lt;0.01, "ok",)</f>
        <v>ok</v>
      </c>
      <c r="P455" t="str">
        <f>PROPER(TRIM(Table1[[#This Row],[ShippingAddress]]))</f>
        <v>129 Main St</v>
      </c>
      <c r="Q455" t="str">
        <f>PROPER(TRIM((Table1[[#This Row],[PaymentMethod]])))</f>
        <v>Credit Card</v>
      </c>
      <c r="R455" t="str">
        <f>PROPER(TRIM(Table1[[#This Row],[ReferralSource]]))</f>
        <v>Google</v>
      </c>
      <c r="S455" s="5">
        <f>Table1[[#This Row],[TotalPrice]]/Table1[[#This Row],[ItemsInCart]]</f>
        <v>379.23999999999995</v>
      </c>
    </row>
    <row r="456" spans="1:19" x14ac:dyDescent="0.3">
      <c r="A456" t="s">
        <v>319</v>
      </c>
      <c r="B456" s="1">
        <v>45255</v>
      </c>
      <c r="C456" t="s">
        <v>1519</v>
      </c>
      <c r="D456" t="s">
        <v>2408</v>
      </c>
      <c r="E456">
        <v>4</v>
      </c>
      <c r="F456">
        <v>126.89</v>
      </c>
      <c r="G456" t="s">
        <v>2668</v>
      </c>
      <c r="H456" t="s">
        <v>3069</v>
      </c>
      <c r="I456" t="s">
        <v>3074</v>
      </c>
      <c r="J456" t="s">
        <v>3380</v>
      </c>
      <c r="K456">
        <v>9</v>
      </c>
      <c r="L456" t="s">
        <v>4276</v>
      </c>
      <c r="M456" t="s">
        <v>4278</v>
      </c>
      <c r="N456" s="5">
        <v>507.56</v>
      </c>
      <c r="O456" t="str">
        <f>IF(ABS(Table1[[#This Row],[TotalPrice]]-Table1[[#This Row],[Quantity]]*Table1[[#This Row],[UnitPrice]]) &lt;0.01, "ok",)</f>
        <v>ok</v>
      </c>
      <c r="P456" t="str">
        <f>PROPER(TRIM(Table1[[#This Row],[ShippingAddress]]))</f>
        <v>235 Main St</v>
      </c>
      <c r="Q456" t="str">
        <f>PROPER(TRIM((Table1[[#This Row],[PaymentMethod]])))</f>
        <v>Cash</v>
      </c>
      <c r="R456" t="str">
        <f>PROPER(TRIM(Table1[[#This Row],[ReferralSource]]))</f>
        <v>Instagram</v>
      </c>
      <c r="S456" s="5">
        <f>Table1[[#This Row],[TotalPrice]]/Table1[[#This Row],[ItemsInCart]]</f>
        <v>56.395555555555553</v>
      </c>
    </row>
    <row r="457" spans="1:19" x14ac:dyDescent="0.3">
      <c r="A457" t="s">
        <v>483</v>
      </c>
      <c r="B457" s="1">
        <v>45256</v>
      </c>
      <c r="C457" t="s">
        <v>1683</v>
      </c>
      <c r="D457" t="s">
        <v>2406</v>
      </c>
      <c r="E457">
        <v>5</v>
      </c>
      <c r="F457">
        <v>676.98</v>
      </c>
      <c r="G457" t="s">
        <v>2546</v>
      </c>
      <c r="H457" t="s">
        <v>3069</v>
      </c>
      <c r="I457" t="s">
        <v>3071</v>
      </c>
      <c r="J457" t="s">
        <v>3544</v>
      </c>
      <c r="K457">
        <v>5</v>
      </c>
      <c r="L457" t="s">
        <v>4283</v>
      </c>
      <c r="M457" t="s">
        <v>4281</v>
      </c>
      <c r="N457" s="5">
        <v>3384.9</v>
      </c>
      <c r="O457" t="str">
        <f>IF(ABS(Table1[[#This Row],[TotalPrice]]-Table1[[#This Row],[Quantity]]*Table1[[#This Row],[UnitPrice]]) &lt;0.01, "ok",)</f>
        <v>ok</v>
      </c>
      <c r="P457" t="str">
        <f>PROPER(TRIM(Table1[[#This Row],[ShippingAddress]]))</f>
        <v>893 Main St</v>
      </c>
      <c r="Q457" t="str">
        <f>PROPER(TRIM((Table1[[#This Row],[PaymentMethod]])))</f>
        <v>Cash</v>
      </c>
      <c r="R457" t="str">
        <f>PROPER(TRIM(Table1[[#This Row],[ReferralSource]]))</f>
        <v>Facebook</v>
      </c>
      <c r="S457" s="5">
        <f>Table1[[#This Row],[TotalPrice]]/Table1[[#This Row],[ItemsInCart]]</f>
        <v>676.98</v>
      </c>
    </row>
    <row r="458" spans="1:19" x14ac:dyDescent="0.3">
      <c r="A458" t="s">
        <v>995</v>
      </c>
      <c r="B458" s="1">
        <v>45256</v>
      </c>
      <c r="C458" t="s">
        <v>2188</v>
      </c>
      <c r="D458" t="s">
        <v>2404</v>
      </c>
      <c r="E458">
        <v>4</v>
      </c>
      <c r="F458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>
        <v>8</v>
      </c>
      <c r="L458" t="s">
        <v>4275</v>
      </c>
      <c r="M458" t="s">
        <v>4280</v>
      </c>
      <c r="N458" s="5">
        <v>547.32000000000005</v>
      </c>
      <c r="O458" t="str">
        <f>IF(ABS(Table1[[#This Row],[TotalPrice]]-Table1[[#This Row],[Quantity]]*Table1[[#This Row],[UnitPrice]]) &lt;0.01, "ok",)</f>
        <v>ok</v>
      </c>
      <c r="P458" t="str">
        <f>PROPER(TRIM(Table1[[#This Row],[ShippingAddress]]))</f>
        <v>490 Main St</v>
      </c>
      <c r="Q458" t="str">
        <f>PROPER(TRIM((Table1[[#This Row],[PaymentMethod]])))</f>
        <v>Debit Card</v>
      </c>
      <c r="R458" t="str">
        <f>PROPER(TRIM(Table1[[#This Row],[ReferralSource]]))</f>
        <v>Email</v>
      </c>
      <c r="S458" s="5">
        <f>Table1[[#This Row],[TotalPrice]]/Table1[[#This Row],[ItemsInCart]]</f>
        <v>68.415000000000006</v>
      </c>
    </row>
    <row r="459" spans="1:19" x14ac:dyDescent="0.3">
      <c r="A459" t="s">
        <v>129</v>
      </c>
      <c r="B459" s="1">
        <v>45257</v>
      </c>
      <c r="C459" t="s">
        <v>1329</v>
      </c>
      <c r="D459" t="s">
        <v>2404</v>
      </c>
      <c r="E459">
        <v>5</v>
      </c>
      <c r="F459">
        <v>374.99</v>
      </c>
      <c r="G459" t="s">
        <v>2518</v>
      </c>
      <c r="H459" t="s">
        <v>3066</v>
      </c>
      <c r="I459" t="s">
        <v>3070</v>
      </c>
      <c r="J459" t="s">
        <v>3190</v>
      </c>
      <c r="K459">
        <v>9</v>
      </c>
      <c r="L459" t="s">
        <v>4275</v>
      </c>
      <c r="M459" t="s">
        <v>4281</v>
      </c>
      <c r="N459" s="5">
        <v>1874.95</v>
      </c>
      <c r="O459" t="str">
        <f>IF(ABS(Table1[[#This Row],[TotalPrice]]-Table1[[#This Row],[Quantity]]*Table1[[#This Row],[UnitPrice]]) &lt;0.01, "ok",)</f>
        <v>ok</v>
      </c>
      <c r="P459" t="str">
        <f>PROPER(TRIM(Table1[[#This Row],[ShippingAddress]]))</f>
        <v>122 Main St</v>
      </c>
      <c r="Q459" t="str">
        <f>PROPER(TRIM((Table1[[#This Row],[PaymentMethod]])))</f>
        <v>Online</v>
      </c>
      <c r="R459" t="str">
        <f>PROPER(TRIM(Table1[[#This Row],[ReferralSource]]))</f>
        <v>Facebook</v>
      </c>
      <c r="S459" s="5">
        <f>Table1[[#This Row],[TotalPrice]]/Table1[[#This Row],[ItemsInCart]]</f>
        <v>208.32777777777778</v>
      </c>
    </row>
    <row r="460" spans="1:19" x14ac:dyDescent="0.3">
      <c r="A460" t="s">
        <v>1011</v>
      </c>
      <c r="B460" s="1">
        <v>45257</v>
      </c>
      <c r="C460" t="s">
        <v>2204</v>
      </c>
      <c r="D460" t="s">
        <v>2408</v>
      </c>
      <c r="E460">
        <v>3</v>
      </c>
      <c r="F460">
        <v>444.75</v>
      </c>
      <c r="G460" t="s">
        <v>2795</v>
      </c>
      <c r="H460" t="s">
        <v>3069</v>
      </c>
      <c r="I460" t="s">
        <v>3073</v>
      </c>
      <c r="J460" t="s">
        <v>4072</v>
      </c>
      <c r="K460">
        <v>6</v>
      </c>
      <c r="L460" t="s">
        <v>4275</v>
      </c>
      <c r="M460" t="s">
        <v>4281</v>
      </c>
      <c r="N460" s="5">
        <v>1334.25</v>
      </c>
      <c r="O460" t="str">
        <f>IF(ABS(Table1[[#This Row],[TotalPrice]]-Table1[[#This Row],[Quantity]]*Table1[[#This Row],[UnitPrice]]) &lt;0.01, "ok",)</f>
        <v>ok</v>
      </c>
      <c r="P460" t="str">
        <f>PROPER(TRIM(Table1[[#This Row],[ShippingAddress]]))</f>
        <v>805 Main St</v>
      </c>
      <c r="Q460" t="str">
        <f>PROPER(TRIM((Table1[[#This Row],[PaymentMethod]])))</f>
        <v>Cash</v>
      </c>
      <c r="R460" t="str">
        <f>PROPER(TRIM(Table1[[#This Row],[ReferralSource]]))</f>
        <v>Facebook</v>
      </c>
      <c r="S460" s="5">
        <f>Table1[[#This Row],[TotalPrice]]/Table1[[#This Row],[ItemsInCart]]</f>
        <v>222.375</v>
      </c>
    </row>
    <row r="461" spans="1:19" x14ac:dyDescent="0.3">
      <c r="A461" t="s">
        <v>1188</v>
      </c>
      <c r="B461" s="1">
        <v>45257</v>
      </c>
      <c r="C461" t="s">
        <v>2377</v>
      </c>
      <c r="D461" t="s">
        <v>2407</v>
      </c>
      <c r="E461">
        <v>3</v>
      </c>
      <c r="F461">
        <v>222.34</v>
      </c>
      <c r="G461" t="s">
        <v>3055</v>
      </c>
      <c r="H461" t="s">
        <v>3067</v>
      </c>
      <c r="I461" t="s">
        <v>3072</v>
      </c>
      <c r="J461" t="s">
        <v>4249</v>
      </c>
      <c r="K461">
        <v>5</v>
      </c>
      <c r="L461" t="s">
        <v>4277</v>
      </c>
      <c r="M461" t="s">
        <v>4280</v>
      </c>
      <c r="N461" s="5">
        <v>667.02</v>
      </c>
      <c r="O461" t="str">
        <f>IF(ABS(Table1[[#This Row],[TotalPrice]]-Table1[[#This Row],[Quantity]]*Table1[[#This Row],[UnitPrice]]) &lt;0.01, "ok",)</f>
        <v>ok</v>
      </c>
      <c r="P461" t="str">
        <f>PROPER(TRIM(Table1[[#This Row],[ShippingAddress]]))</f>
        <v>105 Main St</v>
      </c>
      <c r="Q461" t="str">
        <f>PROPER(TRIM((Table1[[#This Row],[PaymentMethod]])))</f>
        <v>Credit Card</v>
      </c>
      <c r="R461" t="str">
        <f>PROPER(TRIM(Table1[[#This Row],[ReferralSource]]))</f>
        <v>Email</v>
      </c>
      <c r="S461" s="5">
        <f>Table1[[#This Row],[TotalPrice]]/Table1[[#This Row],[ItemsInCart]]</f>
        <v>133.404</v>
      </c>
    </row>
    <row r="462" spans="1:19" x14ac:dyDescent="0.3">
      <c r="A462" t="s">
        <v>1068</v>
      </c>
      <c r="B462" s="1">
        <v>45259</v>
      </c>
      <c r="C462" t="s">
        <v>2260</v>
      </c>
      <c r="D462" t="s">
        <v>2407</v>
      </c>
      <c r="E462">
        <v>1</v>
      </c>
      <c r="F462">
        <v>660.66</v>
      </c>
      <c r="G462" t="s">
        <v>2490</v>
      </c>
      <c r="H462" t="s">
        <v>3065</v>
      </c>
      <c r="I462" t="s">
        <v>3073</v>
      </c>
      <c r="J462" t="s">
        <v>4129</v>
      </c>
      <c r="K462">
        <v>3</v>
      </c>
      <c r="L462" t="s">
        <v>4277</v>
      </c>
      <c r="M462" t="s">
        <v>4278</v>
      </c>
      <c r="N462" s="5">
        <v>660.66</v>
      </c>
      <c r="O462" t="str">
        <f>IF(ABS(Table1[[#This Row],[TotalPrice]]-Table1[[#This Row],[Quantity]]*Table1[[#This Row],[UnitPrice]]) &lt;0.01, "ok",)</f>
        <v>ok</v>
      </c>
      <c r="P462" t="str">
        <f>PROPER(TRIM(Table1[[#This Row],[ShippingAddress]]))</f>
        <v>447 Main St</v>
      </c>
      <c r="Q462" t="str">
        <f>PROPER(TRIM((Table1[[#This Row],[PaymentMethod]])))</f>
        <v>Debit Card</v>
      </c>
      <c r="R462" t="str">
        <f>PROPER(TRIM(Table1[[#This Row],[ReferralSource]]))</f>
        <v>Instagram</v>
      </c>
      <c r="S462" s="5">
        <f>Table1[[#This Row],[TotalPrice]]/Table1[[#This Row],[ItemsInCart]]</f>
        <v>220.22</v>
      </c>
    </row>
    <row r="463" spans="1:19" x14ac:dyDescent="0.3">
      <c r="A463" t="s">
        <v>135</v>
      </c>
      <c r="B463" s="1">
        <v>45260</v>
      </c>
      <c r="C463" t="s">
        <v>1335</v>
      </c>
      <c r="D463" t="s">
        <v>2409</v>
      </c>
      <c r="E463">
        <v>1</v>
      </c>
      <c r="F463">
        <v>410.78</v>
      </c>
      <c r="G463" t="s">
        <v>2523</v>
      </c>
      <c r="H463" t="s">
        <v>3069</v>
      </c>
      <c r="I463" t="s">
        <v>3071</v>
      </c>
      <c r="J463" t="s">
        <v>3196</v>
      </c>
      <c r="K463">
        <v>1</v>
      </c>
      <c r="L463" t="s">
        <v>4276</v>
      </c>
      <c r="M463" t="s">
        <v>4278</v>
      </c>
      <c r="N463" s="5">
        <v>410.78</v>
      </c>
      <c r="O463" t="str">
        <f>IF(ABS(Table1[[#This Row],[TotalPrice]]-Table1[[#This Row],[Quantity]]*Table1[[#This Row],[UnitPrice]]) &lt;0.01, "ok",)</f>
        <v>ok</v>
      </c>
      <c r="P463" t="str">
        <f>PROPER(TRIM(Table1[[#This Row],[ShippingAddress]]))</f>
        <v>673 Main St</v>
      </c>
      <c r="Q463" t="str">
        <f>PROPER(TRIM((Table1[[#This Row],[PaymentMethod]])))</f>
        <v>Cash</v>
      </c>
      <c r="R463" t="str">
        <f>PROPER(TRIM(Table1[[#This Row],[ReferralSource]]))</f>
        <v>Instagram</v>
      </c>
      <c r="S463" s="5">
        <f>Table1[[#This Row],[TotalPrice]]/Table1[[#This Row],[ItemsInCart]]</f>
        <v>410.78</v>
      </c>
    </row>
    <row r="464" spans="1:19" x14ac:dyDescent="0.3">
      <c r="A464" t="s">
        <v>363</v>
      </c>
      <c r="B464" s="1">
        <v>45260</v>
      </c>
      <c r="C464" t="s">
        <v>1563</v>
      </c>
      <c r="D464" t="s">
        <v>2406</v>
      </c>
      <c r="E464">
        <v>1</v>
      </c>
      <c r="F464">
        <v>465.33</v>
      </c>
      <c r="G464" t="s">
        <v>2702</v>
      </c>
      <c r="H464" t="s">
        <v>3068</v>
      </c>
      <c r="I464" t="s">
        <v>3073</v>
      </c>
      <c r="J464" t="s">
        <v>3424</v>
      </c>
      <c r="K464">
        <v>2</v>
      </c>
      <c r="L464" t="s">
        <v>4276</v>
      </c>
      <c r="M464" t="s">
        <v>4282</v>
      </c>
      <c r="N464" s="5">
        <v>465.33</v>
      </c>
      <c r="O464" t="str">
        <f>IF(ABS(Table1[[#This Row],[TotalPrice]]-Table1[[#This Row],[Quantity]]*Table1[[#This Row],[UnitPrice]]) &lt;0.01, "ok",)</f>
        <v>ok</v>
      </c>
      <c r="P464" t="str">
        <f>PROPER(TRIM(Table1[[#This Row],[ShippingAddress]]))</f>
        <v>824 Main St</v>
      </c>
      <c r="Q464" t="str">
        <f>PROPER(TRIM((Table1[[#This Row],[PaymentMethod]])))</f>
        <v>Gift Card</v>
      </c>
      <c r="R464" t="str">
        <f>PROPER(TRIM(Table1[[#This Row],[ReferralSource]]))</f>
        <v>Google</v>
      </c>
      <c r="S464" s="5">
        <f>Table1[[#This Row],[TotalPrice]]/Table1[[#This Row],[ItemsInCart]]</f>
        <v>232.66499999999999</v>
      </c>
    </row>
    <row r="465" spans="1:19" x14ac:dyDescent="0.3">
      <c r="A465" t="s">
        <v>1102</v>
      </c>
      <c r="B465" s="1">
        <v>45260</v>
      </c>
      <c r="C465" t="s">
        <v>2294</v>
      </c>
      <c r="D465" t="s">
        <v>2409</v>
      </c>
      <c r="E465">
        <v>3</v>
      </c>
      <c r="F465">
        <v>491.43</v>
      </c>
      <c r="G465" t="s">
        <v>3025</v>
      </c>
      <c r="H465" t="s">
        <v>3068</v>
      </c>
      <c r="I465" t="s">
        <v>3070</v>
      </c>
      <c r="J465" t="s">
        <v>4163</v>
      </c>
      <c r="K465">
        <v>6</v>
      </c>
      <c r="L465" t="s">
        <v>4277</v>
      </c>
      <c r="M465" t="s">
        <v>4278</v>
      </c>
      <c r="N465" s="5">
        <v>1474.29</v>
      </c>
      <c r="O465" t="str">
        <f>IF(ABS(Table1[[#This Row],[TotalPrice]]-Table1[[#This Row],[Quantity]]*Table1[[#This Row],[UnitPrice]]) &lt;0.01, "ok",)</f>
        <v>ok</v>
      </c>
      <c r="P465" t="str">
        <f>PROPER(TRIM(Table1[[#This Row],[ShippingAddress]]))</f>
        <v>213 Main St</v>
      </c>
      <c r="Q465" t="str">
        <f>PROPER(TRIM((Table1[[#This Row],[PaymentMethod]])))</f>
        <v>Gift Card</v>
      </c>
      <c r="R465" t="str">
        <f>PROPER(TRIM(Table1[[#This Row],[ReferralSource]]))</f>
        <v>Instagram</v>
      </c>
      <c r="S465" s="5">
        <f>Table1[[#This Row],[TotalPrice]]/Table1[[#This Row],[ItemsInCart]]</f>
        <v>245.715</v>
      </c>
    </row>
    <row r="466" spans="1:19" x14ac:dyDescent="0.3">
      <c r="A466" t="s">
        <v>165</v>
      </c>
      <c r="B466" s="1">
        <v>45261</v>
      </c>
      <c r="C466" t="s">
        <v>1365</v>
      </c>
      <c r="D466" t="s">
        <v>2407</v>
      </c>
      <c r="E466">
        <v>5</v>
      </c>
      <c r="F466">
        <v>444.76</v>
      </c>
      <c r="G466" t="s">
        <v>2550</v>
      </c>
      <c r="H466" t="s">
        <v>3065</v>
      </c>
      <c r="I466" t="s">
        <v>3072</v>
      </c>
      <c r="J466" t="s">
        <v>3226</v>
      </c>
      <c r="K466">
        <v>7</v>
      </c>
      <c r="L466" t="s">
        <v>4283</v>
      </c>
      <c r="M466" t="s">
        <v>4280</v>
      </c>
      <c r="N466" s="5">
        <v>2223.8000000000002</v>
      </c>
      <c r="O466" t="str">
        <f>IF(ABS(Table1[[#This Row],[TotalPrice]]-Table1[[#This Row],[Quantity]]*Table1[[#This Row],[UnitPrice]]) &lt;0.01, "ok",)</f>
        <v>ok</v>
      </c>
      <c r="P466" t="str">
        <f>PROPER(TRIM(Table1[[#This Row],[ShippingAddress]]))</f>
        <v>947 Main St</v>
      </c>
      <c r="Q466" t="str">
        <f>PROPER(TRIM((Table1[[#This Row],[PaymentMethod]])))</f>
        <v>Debit Card</v>
      </c>
      <c r="R466" t="str">
        <f>PROPER(TRIM(Table1[[#This Row],[ReferralSource]]))</f>
        <v>Email</v>
      </c>
      <c r="S466" s="5">
        <f>Table1[[#This Row],[TotalPrice]]/Table1[[#This Row],[ItemsInCart]]</f>
        <v>317.68571428571431</v>
      </c>
    </row>
    <row r="467" spans="1:19" x14ac:dyDescent="0.3">
      <c r="A467" t="s">
        <v>410</v>
      </c>
      <c r="B467" s="1">
        <v>45261</v>
      </c>
      <c r="C467" t="s">
        <v>1610</v>
      </c>
      <c r="D467" t="s">
        <v>2405</v>
      </c>
      <c r="E467">
        <v>5</v>
      </c>
      <c r="F467">
        <v>287.13</v>
      </c>
      <c r="G467" t="s">
        <v>2730</v>
      </c>
      <c r="H467" t="s">
        <v>3066</v>
      </c>
      <c r="I467" t="s">
        <v>3070</v>
      </c>
      <c r="J467" t="s">
        <v>3471</v>
      </c>
      <c r="K467">
        <v>10</v>
      </c>
      <c r="L467" t="s">
        <v>4275</v>
      </c>
      <c r="M467" t="s">
        <v>4280</v>
      </c>
      <c r="N467" s="5">
        <v>1435.65</v>
      </c>
      <c r="O467" t="str">
        <f>IF(ABS(Table1[[#This Row],[TotalPrice]]-Table1[[#This Row],[Quantity]]*Table1[[#This Row],[UnitPrice]]) &lt;0.01, "ok",)</f>
        <v>ok</v>
      </c>
      <c r="P467" t="str">
        <f>PROPER(TRIM(Table1[[#This Row],[ShippingAddress]]))</f>
        <v>778 Main St</v>
      </c>
      <c r="Q467" t="str">
        <f>PROPER(TRIM((Table1[[#This Row],[PaymentMethod]])))</f>
        <v>Online</v>
      </c>
      <c r="R467" t="str">
        <f>PROPER(TRIM(Table1[[#This Row],[ReferralSource]]))</f>
        <v>Email</v>
      </c>
      <c r="S467" s="5">
        <f>Table1[[#This Row],[TotalPrice]]/Table1[[#This Row],[ItemsInCart]]</f>
        <v>143.565</v>
      </c>
    </row>
    <row r="468" spans="1:19" x14ac:dyDescent="0.3">
      <c r="A468" t="s">
        <v>793</v>
      </c>
      <c r="B468" s="1">
        <v>45261</v>
      </c>
      <c r="C468" t="s">
        <v>1990</v>
      </c>
      <c r="D468" t="s">
        <v>2404</v>
      </c>
      <c r="E468">
        <v>3</v>
      </c>
      <c r="F468">
        <v>588.74</v>
      </c>
      <c r="G468" t="s">
        <v>2919</v>
      </c>
      <c r="H468" t="s">
        <v>3065</v>
      </c>
      <c r="I468" t="s">
        <v>3074</v>
      </c>
      <c r="J468" t="s">
        <v>3854</v>
      </c>
      <c r="K468">
        <v>8</v>
      </c>
      <c r="L468" t="s">
        <v>4276</v>
      </c>
      <c r="M468" t="s">
        <v>4280</v>
      </c>
      <c r="N468" s="5">
        <v>1766.22</v>
      </c>
      <c r="O468" t="str">
        <f>IF(ABS(Table1[[#This Row],[TotalPrice]]-Table1[[#This Row],[Quantity]]*Table1[[#This Row],[UnitPrice]]) &lt;0.01, "ok",)</f>
        <v>ok</v>
      </c>
      <c r="P468" t="str">
        <f>PROPER(TRIM(Table1[[#This Row],[ShippingAddress]]))</f>
        <v>751 Main St</v>
      </c>
      <c r="Q468" t="str">
        <f>PROPER(TRIM((Table1[[#This Row],[PaymentMethod]])))</f>
        <v>Debit Card</v>
      </c>
      <c r="R468" t="str">
        <f>PROPER(TRIM(Table1[[#This Row],[ReferralSource]]))</f>
        <v>Email</v>
      </c>
      <c r="S468" s="5">
        <f>Table1[[#This Row],[TotalPrice]]/Table1[[#This Row],[ItemsInCart]]</f>
        <v>220.7775</v>
      </c>
    </row>
    <row r="469" spans="1:19" x14ac:dyDescent="0.3">
      <c r="A469" t="s">
        <v>333</v>
      </c>
      <c r="B469" s="1">
        <v>45262</v>
      </c>
      <c r="C469" t="s">
        <v>1533</v>
      </c>
      <c r="D469" t="s">
        <v>2408</v>
      </c>
      <c r="E469">
        <v>2</v>
      </c>
      <c r="F469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>
        <v>6</v>
      </c>
      <c r="L469" t="s">
        <v>4283</v>
      </c>
      <c r="M469" t="s">
        <v>4278</v>
      </c>
      <c r="N469" s="5">
        <v>1126.1199999999999</v>
      </c>
      <c r="O469" t="str">
        <f>IF(ABS(Table1[[#This Row],[TotalPrice]]-Table1[[#This Row],[Quantity]]*Table1[[#This Row],[UnitPrice]]) &lt;0.01, "ok",)</f>
        <v>ok</v>
      </c>
      <c r="P469" t="str">
        <f>PROPER(TRIM(Table1[[#This Row],[ShippingAddress]]))</f>
        <v>413 Main St</v>
      </c>
      <c r="Q469" t="str">
        <f>PROPER(TRIM((Table1[[#This Row],[PaymentMethod]])))</f>
        <v>Cash</v>
      </c>
      <c r="R469" t="str">
        <f>PROPER(TRIM(Table1[[#This Row],[ReferralSource]]))</f>
        <v>Instagram</v>
      </c>
      <c r="S469" s="5">
        <f>Table1[[#This Row],[TotalPrice]]/Table1[[#This Row],[ItemsInCart]]</f>
        <v>187.68666666666664</v>
      </c>
    </row>
    <row r="470" spans="1:19" x14ac:dyDescent="0.3">
      <c r="A470" t="s">
        <v>876</v>
      </c>
      <c r="B470" s="1">
        <v>45262</v>
      </c>
      <c r="C470" t="s">
        <v>2072</v>
      </c>
      <c r="D470" t="s">
        <v>2409</v>
      </c>
      <c r="E470">
        <v>3</v>
      </c>
      <c r="F470">
        <v>120.82</v>
      </c>
      <c r="G470" t="s">
        <v>2882</v>
      </c>
      <c r="H470" t="s">
        <v>3067</v>
      </c>
      <c r="I470" t="s">
        <v>3070</v>
      </c>
      <c r="J470" t="s">
        <v>3937</v>
      </c>
      <c r="K470">
        <v>5</v>
      </c>
      <c r="L470" t="s">
        <v>4275</v>
      </c>
      <c r="M470" t="s">
        <v>4279</v>
      </c>
      <c r="N470" s="5">
        <v>362.46</v>
      </c>
      <c r="O470" t="str">
        <f>IF(ABS(Table1[[#This Row],[TotalPrice]]-Table1[[#This Row],[Quantity]]*Table1[[#This Row],[UnitPrice]]) &lt;0.01, "ok",)</f>
        <v>ok</v>
      </c>
      <c r="P470" t="str">
        <f>PROPER(TRIM(Table1[[#This Row],[ShippingAddress]]))</f>
        <v>799 Main St</v>
      </c>
      <c r="Q470" t="str">
        <f>PROPER(TRIM((Table1[[#This Row],[PaymentMethod]])))</f>
        <v>Credit Card</v>
      </c>
      <c r="R470" t="str">
        <f>PROPER(TRIM(Table1[[#This Row],[ReferralSource]]))</f>
        <v>Referral</v>
      </c>
      <c r="S470" s="5">
        <f>Table1[[#This Row],[TotalPrice]]/Table1[[#This Row],[ItemsInCart]]</f>
        <v>72.49199999999999</v>
      </c>
    </row>
    <row r="471" spans="1:19" x14ac:dyDescent="0.3">
      <c r="A471" t="s">
        <v>539</v>
      </c>
      <c r="B471" s="1">
        <v>45263</v>
      </c>
      <c r="C471" t="s">
        <v>1739</v>
      </c>
      <c r="D471" t="s">
        <v>2403</v>
      </c>
      <c r="E471">
        <v>1</v>
      </c>
      <c r="F471">
        <v>668.48</v>
      </c>
      <c r="G471" t="s">
        <v>2762</v>
      </c>
      <c r="H471" t="s">
        <v>3065</v>
      </c>
      <c r="I471" t="s">
        <v>3070</v>
      </c>
      <c r="J471" t="s">
        <v>3600</v>
      </c>
      <c r="K471">
        <v>1</v>
      </c>
      <c r="L471" t="s">
        <v>4275</v>
      </c>
      <c r="M471" t="s">
        <v>4280</v>
      </c>
      <c r="N471" s="5">
        <v>668.48</v>
      </c>
      <c r="O471" t="str">
        <f>IF(ABS(Table1[[#This Row],[TotalPrice]]-Table1[[#This Row],[Quantity]]*Table1[[#This Row],[UnitPrice]]) &lt;0.01, "ok",)</f>
        <v>ok</v>
      </c>
      <c r="P471" t="str">
        <f>PROPER(TRIM(Table1[[#This Row],[ShippingAddress]]))</f>
        <v>160 Main St</v>
      </c>
      <c r="Q471" t="str">
        <f>PROPER(TRIM((Table1[[#This Row],[PaymentMethod]])))</f>
        <v>Debit Card</v>
      </c>
      <c r="R471" t="str">
        <f>PROPER(TRIM(Table1[[#This Row],[ReferralSource]]))</f>
        <v>Email</v>
      </c>
      <c r="S471" s="5">
        <f>Table1[[#This Row],[TotalPrice]]/Table1[[#This Row],[ItemsInCart]]</f>
        <v>668.48</v>
      </c>
    </row>
    <row r="472" spans="1:19" x14ac:dyDescent="0.3">
      <c r="A472" t="s">
        <v>747</v>
      </c>
      <c r="B472" s="1">
        <v>45264</v>
      </c>
      <c r="C472" t="s">
        <v>1944</v>
      </c>
      <c r="D472" t="s">
        <v>2405</v>
      </c>
      <c r="E472">
        <v>4</v>
      </c>
      <c r="F472">
        <v>494.84</v>
      </c>
      <c r="G472" t="s">
        <v>2869</v>
      </c>
      <c r="H472" t="s">
        <v>3069</v>
      </c>
      <c r="I472" t="s">
        <v>3072</v>
      </c>
      <c r="J472" t="s">
        <v>3808</v>
      </c>
      <c r="K472">
        <v>8</v>
      </c>
      <c r="L472" t="s">
        <v>4275</v>
      </c>
      <c r="M472" t="s">
        <v>4280</v>
      </c>
      <c r="N472" s="5">
        <v>1979.36</v>
      </c>
      <c r="O472" t="str">
        <f>IF(ABS(Table1[[#This Row],[TotalPrice]]-Table1[[#This Row],[Quantity]]*Table1[[#This Row],[UnitPrice]]) &lt;0.01, "ok",)</f>
        <v>ok</v>
      </c>
      <c r="P472" t="str">
        <f>PROPER(TRIM(Table1[[#This Row],[ShippingAddress]]))</f>
        <v>694 Main St</v>
      </c>
      <c r="Q472" t="str">
        <f>PROPER(TRIM((Table1[[#This Row],[PaymentMethod]])))</f>
        <v>Cash</v>
      </c>
      <c r="R472" t="str">
        <f>PROPER(TRIM(Table1[[#This Row],[ReferralSource]]))</f>
        <v>Email</v>
      </c>
      <c r="S472" s="5">
        <f>Table1[[#This Row],[TotalPrice]]/Table1[[#This Row],[ItemsInCart]]</f>
        <v>247.42</v>
      </c>
    </row>
    <row r="473" spans="1:19" x14ac:dyDescent="0.3">
      <c r="A473" t="s">
        <v>55</v>
      </c>
      <c r="B473" s="1">
        <v>45265</v>
      </c>
      <c r="C473" t="s">
        <v>1255</v>
      </c>
      <c r="D473" t="s">
        <v>2403</v>
      </c>
      <c r="E473">
        <v>3</v>
      </c>
      <c r="F473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>
        <v>4</v>
      </c>
      <c r="L473" t="s">
        <v>4276</v>
      </c>
      <c r="M473" t="s">
        <v>4278</v>
      </c>
      <c r="N473" s="5">
        <v>1834.35</v>
      </c>
      <c r="O473" t="str">
        <f>IF(ABS(Table1[[#This Row],[TotalPrice]]-Table1[[#This Row],[Quantity]]*Table1[[#This Row],[UnitPrice]]) &lt;0.01, "ok",)</f>
        <v>ok</v>
      </c>
      <c r="P473" t="str">
        <f>PROPER(TRIM(Table1[[#This Row],[ShippingAddress]]))</f>
        <v>657 Main St</v>
      </c>
      <c r="Q473" t="str">
        <f>PROPER(TRIM((Table1[[#This Row],[PaymentMethod]])))</f>
        <v>Gift Card</v>
      </c>
      <c r="R473" t="str">
        <f>PROPER(TRIM(Table1[[#This Row],[ReferralSource]]))</f>
        <v>Instagram</v>
      </c>
      <c r="S473" s="5">
        <f>Table1[[#This Row],[TotalPrice]]/Table1[[#This Row],[ItemsInCart]]</f>
        <v>458.58749999999998</v>
      </c>
    </row>
    <row r="474" spans="1:19" x14ac:dyDescent="0.3">
      <c r="A474" t="s">
        <v>200</v>
      </c>
      <c r="B474" s="1">
        <v>45267</v>
      </c>
      <c r="C474" t="s">
        <v>1400</v>
      </c>
      <c r="D474" t="s">
        <v>2404</v>
      </c>
      <c r="E474">
        <v>2</v>
      </c>
      <c r="F474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>
        <v>7</v>
      </c>
      <c r="L474" t="s">
        <v>4276</v>
      </c>
      <c r="M474" t="s">
        <v>4281</v>
      </c>
      <c r="N474" s="5">
        <v>267.10000000000002</v>
      </c>
      <c r="O474" t="str">
        <f>IF(ABS(Table1[[#This Row],[TotalPrice]]-Table1[[#This Row],[Quantity]]*Table1[[#This Row],[UnitPrice]]) &lt;0.01, "ok",)</f>
        <v>ok</v>
      </c>
      <c r="P474" t="str">
        <f>PROPER(TRIM(Table1[[#This Row],[ShippingAddress]]))</f>
        <v>322 Main St</v>
      </c>
      <c r="Q474" t="str">
        <f>PROPER(TRIM((Table1[[#This Row],[PaymentMethod]])))</f>
        <v>Cash</v>
      </c>
      <c r="R474" t="str">
        <f>PROPER(TRIM(Table1[[#This Row],[ReferralSource]]))</f>
        <v>Facebook</v>
      </c>
      <c r="S474" s="5">
        <f>Table1[[#This Row],[TotalPrice]]/Table1[[#This Row],[ItemsInCart]]</f>
        <v>38.157142857142858</v>
      </c>
    </row>
    <row r="475" spans="1:19" x14ac:dyDescent="0.3">
      <c r="A475" t="s">
        <v>359</v>
      </c>
      <c r="B475" s="1">
        <v>45267</v>
      </c>
      <c r="C475" t="s">
        <v>1559</v>
      </c>
      <c r="D475" t="s">
        <v>2405</v>
      </c>
      <c r="E475">
        <v>5</v>
      </c>
      <c r="F475">
        <v>501.26</v>
      </c>
      <c r="G475" t="s">
        <v>2698</v>
      </c>
      <c r="H475" t="s">
        <v>3068</v>
      </c>
      <c r="I475" t="s">
        <v>3070</v>
      </c>
      <c r="J475" t="s">
        <v>3420</v>
      </c>
      <c r="K475">
        <v>10</v>
      </c>
      <c r="L475" t="s">
        <v>4276</v>
      </c>
      <c r="M475" t="s">
        <v>4279</v>
      </c>
      <c r="N475" s="5">
        <v>2506.3000000000002</v>
      </c>
      <c r="O475" t="str">
        <f>IF(ABS(Table1[[#This Row],[TotalPrice]]-Table1[[#This Row],[Quantity]]*Table1[[#This Row],[UnitPrice]]) &lt;0.01, "ok",)</f>
        <v>ok</v>
      </c>
      <c r="P475" t="str">
        <f>PROPER(TRIM(Table1[[#This Row],[ShippingAddress]]))</f>
        <v>259 Main St</v>
      </c>
      <c r="Q475" t="str">
        <f>PROPER(TRIM((Table1[[#This Row],[PaymentMethod]])))</f>
        <v>Gift Card</v>
      </c>
      <c r="R475" t="str">
        <f>PROPER(TRIM(Table1[[#This Row],[ReferralSource]]))</f>
        <v>Referral</v>
      </c>
      <c r="S475" s="5">
        <f>Table1[[#This Row],[TotalPrice]]/Table1[[#This Row],[ItemsInCart]]</f>
        <v>250.63000000000002</v>
      </c>
    </row>
    <row r="476" spans="1:19" x14ac:dyDescent="0.3">
      <c r="A476" t="s">
        <v>1015</v>
      </c>
      <c r="B476" s="1">
        <v>45268</v>
      </c>
      <c r="C476" t="s">
        <v>2208</v>
      </c>
      <c r="D476" t="s">
        <v>2407</v>
      </c>
      <c r="E476">
        <v>2</v>
      </c>
      <c r="F476">
        <v>253.68</v>
      </c>
      <c r="G476" t="s">
        <v>2518</v>
      </c>
      <c r="H476" t="s">
        <v>3068</v>
      </c>
      <c r="I476" t="s">
        <v>3070</v>
      </c>
      <c r="J476" t="s">
        <v>4076</v>
      </c>
      <c r="K476">
        <v>6</v>
      </c>
      <c r="L476" t="s">
        <v>4283</v>
      </c>
      <c r="M476" t="s">
        <v>4279</v>
      </c>
      <c r="N476" s="5">
        <v>507.36</v>
      </c>
      <c r="O476" t="str">
        <f>IF(ABS(Table1[[#This Row],[TotalPrice]]-Table1[[#This Row],[Quantity]]*Table1[[#This Row],[UnitPrice]]) &lt;0.01, "ok",)</f>
        <v>ok</v>
      </c>
      <c r="P476" t="str">
        <f>PROPER(TRIM(Table1[[#This Row],[ShippingAddress]]))</f>
        <v>122 Main St</v>
      </c>
      <c r="Q476" t="str">
        <f>PROPER(TRIM((Table1[[#This Row],[PaymentMethod]])))</f>
        <v>Gift Card</v>
      </c>
      <c r="R476" t="str">
        <f>PROPER(TRIM(Table1[[#This Row],[ReferralSource]]))</f>
        <v>Referral</v>
      </c>
      <c r="S476" s="5">
        <f>Table1[[#This Row],[TotalPrice]]/Table1[[#This Row],[ItemsInCart]]</f>
        <v>84.56</v>
      </c>
    </row>
    <row r="477" spans="1:19" x14ac:dyDescent="0.3">
      <c r="A477" t="s">
        <v>737</v>
      </c>
      <c r="B477" s="1">
        <v>45269</v>
      </c>
      <c r="C477" t="s">
        <v>1934</v>
      </c>
      <c r="D477" t="s">
        <v>2409</v>
      </c>
      <c r="E477">
        <v>3</v>
      </c>
      <c r="F477">
        <v>54.95</v>
      </c>
      <c r="G477" t="s">
        <v>2471</v>
      </c>
      <c r="H477" t="s">
        <v>3069</v>
      </c>
      <c r="I477" t="s">
        <v>3072</v>
      </c>
      <c r="J477" t="s">
        <v>3798</v>
      </c>
      <c r="K477">
        <v>8</v>
      </c>
      <c r="L477" t="s">
        <v>4275</v>
      </c>
      <c r="M477" t="s">
        <v>4279</v>
      </c>
      <c r="N477" s="5">
        <v>164.85</v>
      </c>
      <c r="O477" t="str">
        <f>IF(ABS(Table1[[#This Row],[TotalPrice]]-Table1[[#This Row],[Quantity]]*Table1[[#This Row],[UnitPrice]]) &lt;0.01, "ok",)</f>
        <v>ok</v>
      </c>
      <c r="P477" t="str">
        <f>PROPER(TRIM(Table1[[#This Row],[ShippingAddress]]))</f>
        <v>385 Main St</v>
      </c>
      <c r="Q477" t="str">
        <f>PROPER(TRIM((Table1[[#This Row],[PaymentMethod]])))</f>
        <v>Cash</v>
      </c>
      <c r="R477" t="str">
        <f>PROPER(TRIM(Table1[[#This Row],[ReferralSource]]))</f>
        <v>Referral</v>
      </c>
      <c r="S477" s="5">
        <f>Table1[[#This Row],[TotalPrice]]/Table1[[#This Row],[ItemsInCart]]</f>
        <v>20.606249999999999</v>
      </c>
    </row>
    <row r="478" spans="1:19" x14ac:dyDescent="0.3">
      <c r="A478" t="s">
        <v>420</v>
      </c>
      <c r="B478" s="1">
        <v>45270</v>
      </c>
      <c r="C478" t="s">
        <v>1620</v>
      </c>
      <c r="D478" t="s">
        <v>2405</v>
      </c>
      <c r="E478">
        <v>4</v>
      </c>
      <c r="F478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>
        <v>9</v>
      </c>
      <c r="L478" t="s">
        <v>4277</v>
      </c>
      <c r="M478" t="s">
        <v>4282</v>
      </c>
      <c r="N478" s="5">
        <v>264.39999999999998</v>
      </c>
      <c r="O478" t="str">
        <f>IF(ABS(Table1[[#This Row],[TotalPrice]]-Table1[[#This Row],[Quantity]]*Table1[[#This Row],[UnitPrice]]) &lt;0.01, "ok",)</f>
        <v>ok</v>
      </c>
      <c r="P478" t="str">
        <f>PROPER(TRIM(Table1[[#This Row],[ShippingAddress]]))</f>
        <v>572 Main St</v>
      </c>
      <c r="Q478" t="str">
        <f>PROPER(TRIM((Table1[[#This Row],[PaymentMethod]])))</f>
        <v>Cash</v>
      </c>
      <c r="R478" t="str">
        <f>PROPER(TRIM(Table1[[#This Row],[ReferralSource]]))</f>
        <v>Google</v>
      </c>
      <c r="S478" s="5">
        <f>Table1[[#This Row],[TotalPrice]]/Table1[[#This Row],[ItemsInCart]]</f>
        <v>29.377777777777776</v>
      </c>
    </row>
    <row r="479" spans="1:19" x14ac:dyDescent="0.3">
      <c r="A479" t="s">
        <v>82</v>
      </c>
      <c r="B479" s="1">
        <v>45271</v>
      </c>
      <c r="C479" t="s">
        <v>1282</v>
      </c>
      <c r="D479" t="s">
        <v>2406</v>
      </c>
      <c r="E479">
        <v>3</v>
      </c>
      <c r="F479">
        <v>490.92</v>
      </c>
      <c r="G479" t="s">
        <v>2435</v>
      </c>
      <c r="H479" t="s">
        <v>3067</v>
      </c>
      <c r="I479" t="s">
        <v>3074</v>
      </c>
      <c r="J479" t="s">
        <v>3143</v>
      </c>
      <c r="K479">
        <v>5</v>
      </c>
      <c r="L479" t="s">
        <v>4276</v>
      </c>
      <c r="M479" t="s">
        <v>4280</v>
      </c>
      <c r="N479" s="5">
        <v>1472.76</v>
      </c>
      <c r="O479" t="str">
        <f>IF(ABS(Table1[[#This Row],[TotalPrice]]-Table1[[#This Row],[Quantity]]*Table1[[#This Row],[UnitPrice]]) &lt;0.01, "ok",)</f>
        <v>ok</v>
      </c>
      <c r="P479" t="str">
        <f>PROPER(TRIM(Table1[[#This Row],[ShippingAddress]]))</f>
        <v>709 Main St</v>
      </c>
      <c r="Q479" t="str">
        <f>PROPER(TRIM((Table1[[#This Row],[PaymentMethod]])))</f>
        <v>Credit Card</v>
      </c>
      <c r="R479" t="str">
        <f>PROPER(TRIM(Table1[[#This Row],[ReferralSource]]))</f>
        <v>Email</v>
      </c>
      <c r="S479" s="5">
        <f>Table1[[#This Row],[TotalPrice]]/Table1[[#This Row],[ItemsInCart]]</f>
        <v>294.55200000000002</v>
      </c>
    </row>
    <row r="480" spans="1:19" x14ac:dyDescent="0.3">
      <c r="A480" t="s">
        <v>322</v>
      </c>
      <c r="B480" s="1">
        <v>45271</v>
      </c>
      <c r="C480" t="s">
        <v>1522</v>
      </c>
      <c r="D480" t="s">
        <v>2407</v>
      </c>
      <c r="E480">
        <v>3</v>
      </c>
      <c r="F480">
        <v>448.9</v>
      </c>
      <c r="G480" t="s">
        <v>2566</v>
      </c>
      <c r="H480" t="s">
        <v>3065</v>
      </c>
      <c r="I480" t="s">
        <v>3072</v>
      </c>
      <c r="J480" t="s">
        <v>3383</v>
      </c>
      <c r="K480">
        <v>7</v>
      </c>
      <c r="L480" t="s">
        <v>4275</v>
      </c>
      <c r="M480" t="s">
        <v>4278</v>
      </c>
      <c r="N480" s="5">
        <v>1346.7</v>
      </c>
      <c r="O480" t="str">
        <f>IF(ABS(Table1[[#This Row],[TotalPrice]]-Table1[[#This Row],[Quantity]]*Table1[[#This Row],[UnitPrice]]) &lt;0.01, "ok",)</f>
        <v>ok</v>
      </c>
      <c r="P480" t="str">
        <f>PROPER(TRIM(Table1[[#This Row],[ShippingAddress]]))</f>
        <v>790 Main St</v>
      </c>
      <c r="Q480" t="str">
        <f>PROPER(TRIM((Table1[[#This Row],[PaymentMethod]])))</f>
        <v>Debit Card</v>
      </c>
      <c r="R480" t="str">
        <f>PROPER(TRIM(Table1[[#This Row],[ReferralSource]]))</f>
        <v>Instagram</v>
      </c>
      <c r="S480" s="5">
        <f>Table1[[#This Row],[TotalPrice]]/Table1[[#This Row],[ItemsInCart]]</f>
        <v>192.3857142857143</v>
      </c>
    </row>
    <row r="481" spans="1:19" x14ac:dyDescent="0.3">
      <c r="A481" t="s">
        <v>974</v>
      </c>
      <c r="B481" s="1">
        <v>45271</v>
      </c>
      <c r="C481" t="s">
        <v>2167</v>
      </c>
      <c r="D481" t="s">
        <v>2408</v>
      </c>
      <c r="E481">
        <v>3</v>
      </c>
      <c r="F481">
        <v>379.07</v>
      </c>
      <c r="G481" t="s">
        <v>2714</v>
      </c>
      <c r="H481" t="s">
        <v>3068</v>
      </c>
      <c r="I481" t="s">
        <v>3074</v>
      </c>
      <c r="J481" t="s">
        <v>4035</v>
      </c>
      <c r="K481">
        <v>3</v>
      </c>
      <c r="L481" t="s">
        <v>4277</v>
      </c>
      <c r="M481" t="s">
        <v>4282</v>
      </c>
      <c r="N481" s="5">
        <v>1137.21</v>
      </c>
      <c r="O481" t="str">
        <f>IF(ABS(Table1[[#This Row],[TotalPrice]]-Table1[[#This Row],[Quantity]]*Table1[[#This Row],[UnitPrice]]) &lt;0.01, "ok",)</f>
        <v>ok</v>
      </c>
      <c r="P481" t="str">
        <f>PROPER(TRIM(Table1[[#This Row],[ShippingAddress]]))</f>
        <v>312 Main St</v>
      </c>
      <c r="Q481" t="str">
        <f>PROPER(TRIM((Table1[[#This Row],[PaymentMethod]])))</f>
        <v>Gift Card</v>
      </c>
      <c r="R481" t="str">
        <f>PROPER(TRIM(Table1[[#This Row],[ReferralSource]]))</f>
        <v>Google</v>
      </c>
      <c r="S481" s="5">
        <f>Table1[[#This Row],[TotalPrice]]/Table1[[#This Row],[ItemsInCart]]</f>
        <v>379.07</v>
      </c>
    </row>
    <row r="482" spans="1:19" x14ac:dyDescent="0.3">
      <c r="A482" t="s">
        <v>577</v>
      </c>
      <c r="B482" s="1">
        <v>45272</v>
      </c>
      <c r="C482" t="s">
        <v>1777</v>
      </c>
      <c r="D482" t="s">
        <v>2408</v>
      </c>
      <c r="E482">
        <v>1</v>
      </c>
      <c r="F482">
        <v>132.68</v>
      </c>
      <c r="G482" t="s">
        <v>2822</v>
      </c>
      <c r="H482" t="s">
        <v>3065</v>
      </c>
      <c r="I482" t="s">
        <v>3072</v>
      </c>
      <c r="J482" t="s">
        <v>3638</v>
      </c>
      <c r="K482">
        <v>1</v>
      </c>
      <c r="L482" t="s">
        <v>4275</v>
      </c>
      <c r="M482" t="s">
        <v>4279</v>
      </c>
      <c r="N482" s="5">
        <v>132.68</v>
      </c>
      <c r="O482" t="str">
        <f>IF(ABS(Table1[[#This Row],[TotalPrice]]-Table1[[#This Row],[Quantity]]*Table1[[#This Row],[UnitPrice]]) &lt;0.01, "ok",)</f>
        <v>ok</v>
      </c>
      <c r="P482" t="str">
        <f>PROPER(TRIM(Table1[[#This Row],[ShippingAddress]]))</f>
        <v>844 Main St</v>
      </c>
      <c r="Q482" t="str">
        <f>PROPER(TRIM((Table1[[#This Row],[PaymentMethod]])))</f>
        <v>Debit Card</v>
      </c>
      <c r="R482" t="str">
        <f>PROPER(TRIM(Table1[[#This Row],[ReferralSource]]))</f>
        <v>Referral</v>
      </c>
      <c r="S482" s="5">
        <f>Table1[[#This Row],[TotalPrice]]/Table1[[#This Row],[ItemsInCart]]</f>
        <v>132.68</v>
      </c>
    </row>
    <row r="483" spans="1:19" x14ac:dyDescent="0.3">
      <c r="A483" t="s">
        <v>865</v>
      </c>
      <c r="B483" s="1">
        <v>45272</v>
      </c>
      <c r="C483" t="s">
        <v>2061</v>
      </c>
      <c r="D483" t="s">
        <v>2408</v>
      </c>
      <c r="E483">
        <v>1</v>
      </c>
      <c r="F483">
        <v>365.57</v>
      </c>
      <c r="G483" t="s">
        <v>2482</v>
      </c>
      <c r="H483" t="s">
        <v>3066</v>
      </c>
      <c r="I483" t="s">
        <v>3071</v>
      </c>
      <c r="J483" t="s">
        <v>3926</v>
      </c>
      <c r="K483">
        <v>5</v>
      </c>
      <c r="L483" t="s">
        <v>4275</v>
      </c>
      <c r="M483" t="s">
        <v>4280</v>
      </c>
      <c r="N483" s="5">
        <v>365.57</v>
      </c>
      <c r="O483" t="str">
        <f>IF(ABS(Table1[[#This Row],[TotalPrice]]-Table1[[#This Row],[Quantity]]*Table1[[#This Row],[UnitPrice]]) &lt;0.01, "ok",)</f>
        <v>ok</v>
      </c>
      <c r="P483" t="str">
        <f>PROPER(TRIM(Table1[[#This Row],[ShippingAddress]]))</f>
        <v>146 Main St</v>
      </c>
      <c r="Q483" t="str">
        <f>PROPER(TRIM((Table1[[#This Row],[PaymentMethod]])))</f>
        <v>Online</v>
      </c>
      <c r="R483" t="str">
        <f>PROPER(TRIM(Table1[[#This Row],[ReferralSource]]))</f>
        <v>Email</v>
      </c>
      <c r="S483" s="5">
        <f>Table1[[#This Row],[TotalPrice]]/Table1[[#This Row],[ItemsInCart]]</f>
        <v>73.114000000000004</v>
      </c>
    </row>
    <row r="484" spans="1:19" x14ac:dyDescent="0.3">
      <c r="A484" t="s">
        <v>164</v>
      </c>
      <c r="B484" s="1">
        <v>45273</v>
      </c>
      <c r="C484" t="s">
        <v>1364</v>
      </c>
      <c r="D484" t="s">
        <v>2404</v>
      </c>
      <c r="E484">
        <v>2</v>
      </c>
      <c r="F484">
        <v>105.57</v>
      </c>
      <c r="G484" t="s">
        <v>2549</v>
      </c>
      <c r="H484" t="s">
        <v>3065</v>
      </c>
      <c r="I484" t="s">
        <v>3072</v>
      </c>
      <c r="J484" t="s">
        <v>3225</v>
      </c>
      <c r="K484">
        <v>5</v>
      </c>
      <c r="L484" t="s">
        <v>4277</v>
      </c>
      <c r="M484" t="s">
        <v>4282</v>
      </c>
      <c r="N484" s="5">
        <v>211.14</v>
      </c>
      <c r="O484" t="str">
        <f>IF(ABS(Table1[[#This Row],[TotalPrice]]-Table1[[#This Row],[Quantity]]*Table1[[#This Row],[UnitPrice]]) &lt;0.01, "ok",)</f>
        <v>ok</v>
      </c>
      <c r="P484" t="str">
        <f>PROPER(TRIM(Table1[[#This Row],[ShippingAddress]]))</f>
        <v>981 Main St</v>
      </c>
      <c r="Q484" t="str">
        <f>PROPER(TRIM((Table1[[#This Row],[PaymentMethod]])))</f>
        <v>Debit Card</v>
      </c>
      <c r="R484" t="str">
        <f>PROPER(TRIM(Table1[[#This Row],[ReferralSource]]))</f>
        <v>Google</v>
      </c>
      <c r="S484" s="5">
        <f>Table1[[#This Row],[TotalPrice]]/Table1[[#This Row],[ItemsInCart]]</f>
        <v>42.227999999999994</v>
      </c>
    </row>
    <row r="485" spans="1:19" x14ac:dyDescent="0.3">
      <c r="A485" t="s">
        <v>455</v>
      </c>
      <c r="B485" s="1">
        <v>45273</v>
      </c>
      <c r="C485" t="s">
        <v>1655</v>
      </c>
      <c r="D485" t="s">
        <v>2407</v>
      </c>
      <c r="E485">
        <v>2</v>
      </c>
      <c r="F485">
        <v>328.54</v>
      </c>
      <c r="G485" t="s">
        <v>2754</v>
      </c>
      <c r="H485" t="s">
        <v>3068</v>
      </c>
      <c r="I485" t="s">
        <v>3072</v>
      </c>
      <c r="J485" t="s">
        <v>3516</v>
      </c>
      <c r="K485">
        <v>6</v>
      </c>
      <c r="L485" t="s">
        <v>4276</v>
      </c>
      <c r="M485" t="s">
        <v>4280</v>
      </c>
      <c r="N485" s="5">
        <v>657.08</v>
      </c>
      <c r="O485" t="str">
        <f>IF(ABS(Table1[[#This Row],[TotalPrice]]-Table1[[#This Row],[Quantity]]*Table1[[#This Row],[UnitPrice]]) &lt;0.01, "ok",)</f>
        <v>ok</v>
      </c>
      <c r="P485" t="str">
        <f>PROPER(TRIM(Table1[[#This Row],[ShippingAddress]]))</f>
        <v>475 Main St</v>
      </c>
      <c r="Q485" t="str">
        <f>PROPER(TRIM((Table1[[#This Row],[PaymentMethod]])))</f>
        <v>Gift Card</v>
      </c>
      <c r="R485" t="str">
        <f>PROPER(TRIM(Table1[[#This Row],[ReferralSource]]))</f>
        <v>Email</v>
      </c>
      <c r="S485" s="5">
        <f>Table1[[#This Row],[TotalPrice]]/Table1[[#This Row],[ItemsInCart]]</f>
        <v>109.51333333333334</v>
      </c>
    </row>
    <row r="486" spans="1:19" x14ac:dyDescent="0.3">
      <c r="A486" t="s">
        <v>649</v>
      </c>
      <c r="B486" s="1">
        <v>45273</v>
      </c>
      <c r="C486" t="s">
        <v>1848</v>
      </c>
      <c r="D486" t="s">
        <v>2406</v>
      </c>
      <c r="E486">
        <v>3</v>
      </c>
      <c r="F486">
        <v>63.68</v>
      </c>
      <c r="G486" t="s">
        <v>2458</v>
      </c>
      <c r="H486" t="s">
        <v>3069</v>
      </c>
      <c r="I486" t="s">
        <v>3072</v>
      </c>
      <c r="J486" t="s">
        <v>3710</v>
      </c>
      <c r="K486">
        <v>6</v>
      </c>
      <c r="L486" t="s">
        <v>4283</v>
      </c>
      <c r="M486" t="s">
        <v>4281</v>
      </c>
      <c r="N486" s="5">
        <v>191.04</v>
      </c>
      <c r="O486" t="str">
        <f>IF(ABS(Table1[[#This Row],[TotalPrice]]-Table1[[#This Row],[Quantity]]*Table1[[#This Row],[UnitPrice]]) &lt;0.01, "ok",)</f>
        <v>ok</v>
      </c>
      <c r="P486" t="str">
        <f>PROPER(TRIM(Table1[[#This Row],[ShippingAddress]]))</f>
        <v>434 Main St</v>
      </c>
      <c r="Q486" t="str">
        <f>PROPER(TRIM((Table1[[#This Row],[PaymentMethod]])))</f>
        <v>Cash</v>
      </c>
      <c r="R486" t="str">
        <f>PROPER(TRIM(Table1[[#This Row],[ReferralSource]]))</f>
        <v>Facebook</v>
      </c>
      <c r="S486" s="5">
        <f>Table1[[#This Row],[TotalPrice]]/Table1[[#This Row],[ItemsInCart]]</f>
        <v>31.84</v>
      </c>
    </row>
    <row r="487" spans="1:19" x14ac:dyDescent="0.3">
      <c r="A487" t="s">
        <v>1051</v>
      </c>
      <c r="B487" s="1">
        <v>45273</v>
      </c>
      <c r="C487" t="s">
        <v>2243</v>
      </c>
      <c r="D487" t="s">
        <v>2407</v>
      </c>
      <c r="E487">
        <v>1</v>
      </c>
      <c r="F487">
        <v>249.81</v>
      </c>
      <c r="G487" t="s">
        <v>2875</v>
      </c>
      <c r="H487" t="s">
        <v>3069</v>
      </c>
      <c r="I487" t="s">
        <v>3074</v>
      </c>
      <c r="J487" t="s">
        <v>4112</v>
      </c>
      <c r="K487">
        <v>1</v>
      </c>
      <c r="L487" t="s">
        <v>4275</v>
      </c>
      <c r="M487" t="s">
        <v>4282</v>
      </c>
      <c r="N487" s="5">
        <v>249.81</v>
      </c>
      <c r="O487" t="str">
        <f>IF(ABS(Table1[[#This Row],[TotalPrice]]-Table1[[#This Row],[Quantity]]*Table1[[#This Row],[UnitPrice]]) &lt;0.01, "ok",)</f>
        <v>ok</v>
      </c>
      <c r="P487" t="str">
        <f>PROPER(TRIM(Table1[[#This Row],[ShippingAddress]]))</f>
        <v>408 Main St</v>
      </c>
      <c r="Q487" t="str">
        <f>PROPER(TRIM((Table1[[#This Row],[PaymentMethod]])))</f>
        <v>Cash</v>
      </c>
      <c r="R487" t="str">
        <f>PROPER(TRIM(Table1[[#This Row],[ReferralSource]]))</f>
        <v>Google</v>
      </c>
      <c r="S487" s="5">
        <f>Table1[[#This Row],[TotalPrice]]/Table1[[#This Row],[ItemsInCart]]</f>
        <v>249.81</v>
      </c>
    </row>
    <row r="488" spans="1:19" x14ac:dyDescent="0.3">
      <c r="A488" t="s">
        <v>57</v>
      </c>
      <c r="B488" s="1">
        <v>45274</v>
      </c>
      <c r="C488" t="s">
        <v>1257</v>
      </c>
      <c r="D488" t="s">
        <v>2406</v>
      </c>
      <c r="E488">
        <v>3</v>
      </c>
      <c r="F488">
        <v>499.21</v>
      </c>
      <c r="G488" t="s">
        <v>2452</v>
      </c>
      <c r="H488" t="s">
        <v>3066</v>
      </c>
      <c r="I488" t="s">
        <v>3071</v>
      </c>
      <c r="J488" t="s">
        <v>3118</v>
      </c>
      <c r="K488">
        <v>8</v>
      </c>
      <c r="L488" t="s">
        <v>4283</v>
      </c>
      <c r="M488" t="s">
        <v>4278</v>
      </c>
      <c r="N488" s="5">
        <v>1497.63</v>
      </c>
      <c r="O488" t="str">
        <f>IF(ABS(Table1[[#This Row],[TotalPrice]]-Table1[[#This Row],[Quantity]]*Table1[[#This Row],[UnitPrice]]) &lt;0.01, "ok",)</f>
        <v>ok</v>
      </c>
      <c r="P488" t="str">
        <f>PROPER(TRIM(Table1[[#This Row],[ShippingAddress]]))</f>
        <v>871 Main St</v>
      </c>
      <c r="Q488" t="str">
        <f>PROPER(TRIM((Table1[[#This Row],[PaymentMethod]])))</f>
        <v>Online</v>
      </c>
      <c r="R488" t="str">
        <f>PROPER(TRIM(Table1[[#This Row],[ReferralSource]]))</f>
        <v>Instagram</v>
      </c>
      <c r="S488" s="5">
        <f>Table1[[#This Row],[TotalPrice]]/Table1[[#This Row],[ItemsInCart]]</f>
        <v>187.20375000000001</v>
      </c>
    </row>
    <row r="489" spans="1:19" x14ac:dyDescent="0.3">
      <c r="A489" t="s">
        <v>244</v>
      </c>
      <c r="B489" s="1">
        <v>45276</v>
      </c>
      <c r="C489" t="s">
        <v>1444</v>
      </c>
      <c r="D489" t="s">
        <v>2409</v>
      </c>
      <c r="E489">
        <v>4</v>
      </c>
      <c r="F489">
        <v>61.91</v>
      </c>
      <c r="G489" t="s">
        <v>2608</v>
      </c>
      <c r="H489" t="s">
        <v>3068</v>
      </c>
      <c r="I489" t="s">
        <v>3073</v>
      </c>
      <c r="J489" t="s">
        <v>3305</v>
      </c>
      <c r="K489">
        <v>6</v>
      </c>
      <c r="L489" t="s">
        <v>4277</v>
      </c>
      <c r="M489" t="s">
        <v>4280</v>
      </c>
      <c r="N489" s="5">
        <v>247.64</v>
      </c>
      <c r="O489" t="str">
        <f>IF(ABS(Table1[[#This Row],[TotalPrice]]-Table1[[#This Row],[Quantity]]*Table1[[#This Row],[UnitPrice]]) &lt;0.01, "ok",)</f>
        <v>ok</v>
      </c>
      <c r="P489" t="str">
        <f>PROPER(TRIM(Table1[[#This Row],[ShippingAddress]]))</f>
        <v>948 Main St</v>
      </c>
      <c r="Q489" t="str">
        <f>PROPER(TRIM((Table1[[#This Row],[PaymentMethod]])))</f>
        <v>Gift Card</v>
      </c>
      <c r="R489" t="str">
        <f>PROPER(TRIM(Table1[[#This Row],[ReferralSource]]))</f>
        <v>Email</v>
      </c>
      <c r="S489" s="5">
        <f>Table1[[#This Row],[TotalPrice]]/Table1[[#This Row],[ItemsInCart]]</f>
        <v>41.273333333333333</v>
      </c>
    </row>
    <row r="490" spans="1:19" x14ac:dyDescent="0.3">
      <c r="A490" t="s">
        <v>403</v>
      </c>
      <c r="B490" s="1">
        <v>45277</v>
      </c>
      <c r="C490" t="s">
        <v>1603</v>
      </c>
      <c r="D490" t="s">
        <v>2409</v>
      </c>
      <c r="E490">
        <v>4</v>
      </c>
      <c r="F490">
        <v>697.5</v>
      </c>
      <c r="G490" t="s">
        <v>2727</v>
      </c>
      <c r="H490" t="s">
        <v>3069</v>
      </c>
      <c r="I490" t="s">
        <v>3070</v>
      </c>
      <c r="J490" t="s">
        <v>3464</v>
      </c>
      <c r="K490">
        <v>7</v>
      </c>
      <c r="L490" t="s">
        <v>4276</v>
      </c>
      <c r="M490" t="s">
        <v>4279</v>
      </c>
      <c r="N490" s="5">
        <v>2790</v>
      </c>
      <c r="O490" t="str">
        <f>IF(ABS(Table1[[#This Row],[TotalPrice]]-Table1[[#This Row],[Quantity]]*Table1[[#This Row],[UnitPrice]]) &lt;0.01, "ok",)</f>
        <v>ok</v>
      </c>
      <c r="P490" t="str">
        <f>PROPER(TRIM(Table1[[#This Row],[ShippingAddress]]))</f>
        <v>558 Main St</v>
      </c>
      <c r="Q490" t="str">
        <f>PROPER(TRIM((Table1[[#This Row],[PaymentMethod]])))</f>
        <v>Cash</v>
      </c>
      <c r="R490" t="str">
        <f>PROPER(TRIM(Table1[[#This Row],[ReferralSource]]))</f>
        <v>Referral</v>
      </c>
      <c r="S490" s="5">
        <f>Table1[[#This Row],[TotalPrice]]/Table1[[#This Row],[ItemsInCart]]</f>
        <v>398.57142857142856</v>
      </c>
    </row>
    <row r="491" spans="1:19" x14ac:dyDescent="0.3">
      <c r="A491" t="s">
        <v>845</v>
      </c>
      <c r="B491" s="1">
        <v>45278</v>
      </c>
      <c r="C491" t="s">
        <v>2041</v>
      </c>
      <c r="D491" t="s">
        <v>2407</v>
      </c>
      <c r="E491">
        <v>2</v>
      </c>
      <c r="F491">
        <v>88.73</v>
      </c>
      <c r="G491" t="s">
        <v>2851</v>
      </c>
      <c r="H491" t="s">
        <v>3066</v>
      </c>
      <c r="I491" t="s">
        <v>3074</v>
      </c>
      <c r="J491" t="s">
        <v>3906</v>
      </c>
      <c r="K491">
        <v>5</v>
      </c>
      <c r="L491" t="s">
        <v>4283</v>
      </c>
      <c r="M491" t="s">
        <v>4282</v>
      </c>
      <c r="N491" s="5">
        <v>177.46</v>
      </c>
      <c r="O491" t="str">
        <f>IF(ABS(Table1[[#This Row],[TotalPrice]]-Table1[[#This Row],[Quantity]]*Table1[[#This Row],[UnitPrice]]) &lt;0.01, "ok",)</f>
        <v>ok</v>
      </c>
      <c r="P491" t="str">
        <f>PROPER(TRIM(Table1[[#This Row],[ShippingAddress]]))</f>
        <v>140 Main St</v>
      </c>
      <c r="Q491" t="str">
        <f>PROPER(TRIM((Table1[[#This Row],[PaymentMethod]])))</f>
        <v>Online</v>
      </c>
      <c r="R491" t="str">
        <f>PROPER(TRIM(Table1[[#This Row],[ReferralSource]]))</f>
        <v>Google</v>
      </c>
      <c r="S491" s="5">
        <f>Table1[[#This Row],[TotalPrice]]/Table1[[#This Row],[ItemsInCart]]</f>
        <v>35.492000000000004</v>
      </c>
    </row>
    <row r="492" spans="1:19" x14ac:dyDescent="0.3">
      <c r="A492" t="s">
        <v>1152</v>
      </c>
      <c r="B492" s="1">
        <v>45278</v>
      </c>
      <c r="C492" t="s">
        <v>2342</v>
      </c>
      <c r="D492" t="s">
        <v>2409</v>
      </c>
      <c r="E492">
        <v>4</v>
      </c>
      <c r="F492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>
        <v>4</v>
      </c>
      <c r="L492" t="s">
        <v>4283</v>
      </c>
      <c r="M492" t="s">
        <v>4278</v>
      </c>
      <c r="N492" s="5">
        <v>1177.6400000000001</v>
      </c>
      <c r="O492" t="str">
        <f>IF(ABS(Table1[[#This Row],[TotalPrice]]-Table1[[#This Row],[Quantity]]*Table1[[#This Row],[UnitPrice]]) &lt;0.01, "ok",)</f>
        <v>ok</v>
      </c>
      <c r="P492" t="str">
        <f>PROPER(TRIM(Table1[[#This Row],[ShippingAddress]]))</f>
        <v>188 Main St</v>
      </c>
      <c r="Q492" t="str">
        <f>PROPER(TRIM((Table1[[#This Row],[PaymentMethod]])))</f>
        <v>Debit Card</v>
      </c>
      <c r="R492" t="str">
        <f>PROPER(TRIM(Table1[[#This Row],[ReferralSource]]))</f>
        <v>Instagram</v>
      </c>
      <c r="S492" s="5">
        <f>Table1[[#This Row],[TotalPrice]]/Table1[[#This Row],[ItemsInCart]]</f>
        <v>294.41000000000003</v>
      </c>
    </row>
    <row r="493" spans="1:19" x14ac:dyDescent="0.3">
      <c r="A493" t="s">
        <v>312</v>
      </c>
      <c r="B493" s="1">
        <v>45279</v>
      </c>
      <c r="C493" t="s">
        <v>1512</v>
      </c>
      <c r="D493" t="s">
        <v>2407</v>
      </c>
      <c r="E493">
        <v>4</v>
      </c>
      <c r="F493">
        <v>301.17</v>
      </c>
      <c r="G493" t="s">
        <v>2450</v>
      </c>
      <c r="H493" t="s">
        <v>3066</v>
      </c>
      <c r="I493" t="s">
        <v>3071</v>
      </c>
      <c r="J493" t="s">
        <v>3373</v>
      </c>
      <c r="K493">
        <v>6</v>
      </c>
      <c r="L493" t="s">
        <v>4283</v>
      </c>
      <c r="M493" t="s">
        <v>4280</v>
      </c>
      <c r="N493" s="5">
        <v>1204.68</v>
      </c>
      <c r="O493" t="str">
        <f>IF(ABS(Table1[[#This Row],[TotalPrice]]-Table1[[#This Row],[Quantity]]*Table1[[#This Row],[UnitPrice]]) &lt;0.01, "ok",)</f>
        <v>ok</v>
      </c>
      <c r="P493" t="str">
        <f>PROPER(TRIM(Table1[[#This Row],[ShippingAddress]]))</f>
        <v>267 Main St</v>
      </c>
      <c r="Q493" t="str">
        <f>PROPER(TRIM((Table1[[#This Row],[PaymentMethod]])))</f>
        <v>Online</v>
      </c>
      <c r="R493" t="str">
        <f>PROPER(TRIM(Table1[[#This Row],[ReferralSource]]))</f>
        <v>Email</v>
      </c>
      <c r="S493" s="5">
        <f>Table1[[#This Row],[TotalPrice]]/Table1[[#This Row],[ItemsInCart]]</f>
        <v>200.78</v>
      </c>
    </row>
    <row r="494" spans="1:19" x14ac:dyDescent="0.3">
      <c r="A494" t="s">
        <v>559</v>
      </c>
      <c r="B494" s="1">
        <v>45279</v>
      </c>
      <c r="C494" t="s">
        <v>1759</v>
      </c>
      <c r="D494" t="s">
        <v>2403</v>
      </c>
      <c r="E494">
        <v>2</v>
      </c>
      <c r="F494">
        <v>98.47</v>
      </c>
      <c r="G494" t="s">
        <v>2813</v>
      </c>
      <c r="H494" t="s">
        <v>3069</v>
      </c>
      <c r="I494" t="s">
        <v>3072</v>
      </c>
      <c r="J494" t="s">
        <v>3620</v>
      </c>
      <c r="K494">
        <v>3</v>
      </c>
      <c r="L494" t="s">
        <v>4283</v>
      </c>
      <c r="M494" t="s">
        <v>4278</v>
      </c>
      <c r="N494" s="5">
        <v>196.94</v>
      </c>
      <c r="O494" t="str">
        <f>IF(ABS(Table1[[#This Row],[TotalPrice]]-Table1[[#This Row],[Quantity]]*Table1[[#This Row],[UnitPrice]]) &lt;0.01, "ok",)</f>
        <v>ok</v>
      </c>
      <c r="P494" t="str">
        <f>PROPER(TRIM(Table1[[#This Row],[ShippingAddress]]))</f>
        <v>964 Main St</v>
      </c>
      <c r="Q494" t="str">
        <f>PROPER(TRIM((Table1[[#This Row],[PaymentMethod]])))</f>
        <v>Cash</v>
      </c>
      <c r="R494" t="str">
        <f>PROPER(TRIM(Table1[[#This Row],[ReferralSource]]))</f>
        <v>Instagram</v>
      </c>
      <c r="S494" s="5">
        <f>Table1[[#This Row],[TotalPrice]]/Table1[[#This Row],[ItemsInCart]]</f>
        <v>65.646666666666661</v>
      </c>
    </row>
    <row r="495" spans="1:19" x14ac:dyDescent="0.3">
      <c r="A495" t="s">
        <v>1080</v>
      </c>
      <c r="B495" s="1">
        <v>45280</v>
      </c>
      <c r="C495" t="s">
        <v>2272</v>
      </c>
      <c r="D495" t="s">
        <v>2409</v>
      </c>
      <c r="E495">
        <v>1</v>
      </c>
      <c r="F495">
        <v>355.09</v>
      </c>
      <c r="G495" t="s">
        <v>2878</v>
      </c>
      <c r="H495" t="s">
        <v>3065</v>
      </c>
      <c r="I495" t="s">
        <v>3071</v>
      </c>
      <c r="J495" t="s">
        <v>4141</v>
      </c>
      <c r="K495">
        <v>5</v>
      </c>
      <c r="L495" t="s">
        <v>4275</v>
      </c>
      <c r="M495" t="s">
        <v>4278</v>
      </c>
      <c r="N495" s="5">
        <v>355.09</v>
      </c>
      <c r="O495" t="str">
        <f>IF(ABS(Table1[[#This Row],[TotalPrice]]-Table1[[#This Row],[Quantity]]*Table1[[#This Row],[UnitPrice]]) &lt;0.01, "ok",)</f>
        <v>ok</v>
      </c>
      <c r="P495" t="str">
        <f>PROPER(TRIM(Table1[[#This Row],[ShippingAddress]]))</f>
        <v>674 Main St</v>
      </c>
      <c r="Q495" t="str">
        <f>PROPER(TRIM((Table1[[#This Row],[PaymentMethod]])))</f>
        <v>Debit Card</v>
      </c>
      <c r="R495" t="str">
        <f>PROPER(TRIM(Table1[[#This Row],[ReferralSource]]))</f>
        <v>Instagram</v>
      </c>
      <c r="S495" s="5">
        <f>Table1[[#This Row],[TotalPrice]]/Table1[[#This Row],[ItemsInCart]]</f>
        <v>71.018000000000001</v>
      </c>
    </row>
    <row r="496" spans="1:19" x14ac:dyDescent="0.3">
      <c r="A496" t="s">
        <v>152</v>
      </c>
      <c r="B496" s="1">
        <v>45281</v>
      </c>
      <c r="C496" t="s">
        <v>1352</v>
      </c>
      <c r="D496" t="s">
        <v>2405</v>
      </c>
      <c r="E496">
        <v>1</v>
      </c>
      <c r="F496">
        <v>298.06</v>
      </c>
      <c r="G496" t="s">
        <v>2539</v>
      </c>
      <c r="H496" t="s">
        <v>3065</v>
      </c>
      <c r="I496" t="s">
        <v>3074</v>
      </c>
      <c r="J496" t="s">
        <v>3213</v>
      </c>
      <c r="K496">
        <v>3</v>
      </c>
      <c r="L496" t="s">
        <v>4277</v>
      </c>
      <c r="M496" t="s">
        <v>4282</v>
      </c>
      <c r="N496" s="5">
        <v>298.06</v>
      </c>
      <c r="O496" t="str">
        <f>IF(ABS(Table1[[#This Row],[TotalPrice]]-Table1[[#This Row],[Quantity]]*Table1[[#This Row],[UnitPrice]]) &lt;0.01, "ok",)</f>
        <v>ok</v>
      </c>
      <c r="P496" t="str">
        <f>PROPER(TRIM(Table1[[#This Row],[ShippingAddress]]))</f>
        <v>478 Main St</v>
      </c>
      <c r="Q496" t="str">
        <f>PROPER(TRIM((Table1[[#This Row],[PaymentMethod]])))</f>
        <v>Debit Card</v>
      </c>
      <c r="R496" t="str">
        <f>PROPER(TRIM(Table1[[#This Row],[ReferralSource]]))</f>
        <v>Google</v>
      </c>
      <c r="S496" s="5">
        <f>Table1[[#This Row],[TotalPrice]]/Table1[[#This Row],[ItemsInCart]]</f>
        <v>99.353333333333339</v>
      </c>
    </row>
    <row r="497" spans="1:19" x14ac:dyDescent="0.3">
      <c r="A497" t="s">
        <v>279</v>
      </c>
      <c r="B497" s="1">
        <v>45282</v>
      </c>
      <c r="C497" t="s">
        <v>1479</v>
      </c>
      <c r="D497" t="s">
        <v>2407</v>
      </c>
      <c r="E497">
        <v>1</v>
      </c>
      <c r="F497">
        <v>572.13</v>
      </c>
      <c r="G497" t="s">
        <v>2636</v>
      </c>
      <c r="H497" t="s">
        <v>3065</v>
      </c>
      <c r="I497" t="s">
        <v>3071</v>
      </c>
      <c r="J497" t="s">
        <v>3340</v>
      </c>
      <c r="K497">
        <v>4</v>
      </c>
      <c r="L497" t="s">
        <v>4275</v>
      </c>
      <c r="M497" t="s">
        <v>4282</v>
      </c>
      <c r="N497" s="5">
        <v>572.13</v>
      </c>
      <c r="O497" t="str">
        <f>IF(ABS(Table1[[#This Row],[TotalPrice]]-Table1[[#This Row],[Quantity]]*Table1[[#This Row],[UnitPrice]]) &lt;0.01, "ok",)</f>
        <v>ok</v>
      </c>
      <c r="P497" t="str">
        <f>PROPER(TRIM(Table1[[#This Row],[ShippingAddress]]))</f>
        <v>150 Main St</v>
      </c>
      <c r="Q497" t="str">
        <f>PROPER(TRIM((Table1[[#This Row],[PaymentMethod]])))</f>
        <v>Debit Card</v>
      </c>
      <c r="R497" t="str">
        <f>PROPER(TRIM(Table1[[#This Row],[ReferralSource]]))</f>
        <v>Google</v>
      </c>
      <c r="S497" s="5">
        <f>Table1[[#This Row],[TotalPrice]]/Table1[[#This Row],[ItemsInCart]]</f>
        <v>143.0325</v>
      </c>
    </row>
    <row r="498" spans="1:19" x14ac:dyDescent="0.3">
      <c r="A498" t="s">
        <v>663</v>
      </c>
      <c r="B498" s="1">
        <v>45283</v>
      </c>
      <c r="C498" t="s">
        <v>1862</v>
      </c>
      <c r="D498" t="s">
        <v>2403</v>
      </c>
      <c r="E498">
        <v>2</v>
      </c>
      <c r="F498">
        <v>642.98</v>
      </c>
      <c r="G498" t="s">
        <v>2632</v>
      </c>
      <c r="H498" t="s">
        <v>3065</v>
      </c>
      <c r="I498" t="s">
        <v>3072</v>
      </c>
      <c r="J498" t="s">
        <v>3724</v>
      </c>
      <c r="K498">
        <v>7</v>
      </c>
      <c r="L498" t="s">
        <v>4276</v>
      </c>
      <c r="M498" t="s">
        <v>4280</v>
      </c>
      <c r="N498" s="5">
        <v>1285.96</v>
      </c>
      <c r="O498" t="str">
        <f>IF(ABS(Table1[[#This Row],[TotalPrice]]-Table1[[#This Row],[Quantity]]*Table1[[#This Row],[UnitPrice]]) &lt;0.01, "ok",)</f>
        <v>ok</v>
      </c>
      <c r="P498" t="str">
        <f>PROPER(TRIM(Table1[[#This Row],[ShippingAddress]]))</f>
        <v>153 Main St</v>
      </c>
      <c r="Q498" t="str">
        <f>PROPER(TRIM((Table1[[#This Row],[PaymentMethod]])))</f>
        <v>Debit Card</v>
      </c>
      <c r="R498" t="str">
        <f>PROPER(TRIM(Table1[[#This Row],[ReferralSource]]))</f>
        <v>Email</v>
      </c>
      <c r="S498" s="5">
        <f>Table1[[#This Row],[TotalPrice]]/Table1[[#This Row],[ItemsInCart]]</f>
        <v>183.70857142857145</v>
      </c>
    </row>
    <row r="499" spans="1:19" x14ac:dyDescent="0.3">
      <c r="A499" t="s">
        <v>1100</v>
      </c>
      <c r="B499" s="1">
        <v>45283</v>
      </c>
      <c r="C499" t="s">
        <v>2292</v>
      </c>
      <c r="D499" t="s">
        <v>2405</v>
      </c>
      <c r="E499">
        <v>2</v>
      </c>
      <c r="F499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>
        <v>5</v>
      </c>
      <c r="L499" t="s">
        <v>4277</v>
      </c>
      <c r="M499" t="s">
        <v>4278</v>
      </c>
      <c r="N499" s="5">
        <v>1026.8399999999999</v>
      </c>
      <c r="O499" t="str">
        <f>IF(ABS(Table1[[#This Row],[TotalPrice]]-Table1[[#This Row],[Quantity]]*Table1[[#This Row],[UnitPrice]]) &lt;0.01, "ok",)</f>
        <v>ok</v>
      </c>
      <c r="P499" t="str">
        <f>PROPER(TRIM(Table1[[#This Row],[ShippingAddress]]))</f>
        <v>401 Main St</v>
      </c>
      <c r="Q499" t="str">
        <f>PROPER(TRIM((Table1[[#This Row],[PaymentMethod]])))</f>
        <v>Online</v>
      </c>
      <c r="R499" t="str">
        <f>PROPER(TRIM(Table1[[#This Row],[ReferralSource]]))</f>
        <v>Instagram</v>
      </c>
      <c r="S499" s="5">
        <f>Table1[[#This Row],[TotalPrice]]/Table1[[#This Row],[ItemsInCart]]</f>
        <v>205.36799999999999</v>
      </c>
    </row>
    <row r="500" spans="1:19" x14ac:dyDescent="0.3">
      <c r="A500" t="s">
        <v>671</v>
      </c>
      <c r="B500" s="1">
        <v>45284</v>
      </c>
      <c r="C500" t="s">
        <v>1870</v>
      </c>
      <c r="D500" t="s">
        <v>2405</v>
      </c>
      <c r="E500">
        <v>4</v>
      </c>
      <c r="F500">
        <v>87.79</v>
      </c>
      <c r="G500" t="s">
        <v>2685</v>
      </c>
      <c r="H500" t="s">
        <v>3069</v>
      </c>
      <c r="I500" t="s">
        <v>3071</v>
      </c>
      <c r="J500" t="s">
        <v>3732</v>
      </c>
      <c r="K500">
        <v>6</v>
      </c>
      <c r="L500" t="s">
        <v>4276</v>
      </c>
      <c r="M500" t="s">
        <v>4278</v>
      </c>
      <c r="N500" s="5">
        <v>351.16</v>
      </c>
      <c r="O500" t="str">
        <f>IF(ABS(Table1[[#This Row],[TotalPrice]]-Table1[[#This Row],[Quantity]]*Table1[[#This Row],[UnitPrice]]) &lt;0.01, "ok",)</f>
        <v>ok</v>
      </c>
      <c r="P500" t="str">
        <f>PROPER(TRIM(Table1[[#This Row],[ShippingAddress]]))</f>
        <v>532 Main St</v>
      </c>
      <c r="Q500" t="str">
        <f>PROPER(TRIM((Table1[[#This Row],[PaymentMethod]])))</f>
        <v>Cash</v>
      </c>
      <c r="R500" t="str">
        <f>PROPER(TRIM(Table1[[#This Row],[ReferralSource]]))</f>
        <v>Instagram</v>
      </c>
      <c r="S500" s="5">
        <f>Table1[[#This Row],[TotalPrice]]/Table1[[#This Row],[ItemsInCart]]</f>
        <v>58.526666666666671</v>
      </c>
    </row>
    <row r="501" spans="1:19" x14ac:dyDescent="0.3">
      <c r="A501" t="s">
        <v>1013</v>
      </c>
      <c r="B501" s="1">
        <v>45284</v>
      </c>
      <c r="C501" t="s">
        <v>2206</v>
      </c>
      <c r="D501" t="s">
        <v>2407</v>
      </c>
      <c r="E501">
        <v>1</v>
      </c>
      <c r="F501">
        <v>483.38</v>
      </c>
      <c r="G501" t="s">
        <v>2741</v>
      </c>
      <c r="H501" t="s">
        <v>3069</v>
      </c>
      <c r="I501" t="s">
        <v>3074</v>
      </c>
      <c r="J501" t="s">
        <v>4074</v>
      </c>
      <c r="K501">
        <v>6</v>
      </c>
      <c r="L501" t="s">
        <v>4276</v>
      </c>
      <c r="M501" t="s">
        <v>4282</v>
      </c>
      <c r="N501" s="5">
        <v>483.38</v>
      </c>
      <c r="O501" t="str">
        <f>IF(ABS(Table1[[#This Row],[TotalPrice]]-Table1[[#This Row],[Quantity]]*Table1[[#This Row],[UnitPrice]]) &lt;0.01, "ok",)</f>
        <v>ok</v>
      </c>
      <c r="P501" t="str">
        <f>PROPER(TRIM(Table1[[#This Row],[ShippingAddress]]))</f>
        <v>652 Main St</v>
      </c>
      <c r="Q501" t="str">
        <f>PROPER(TRIM((Table1[[#This Row],[PaymentMethod]])))</f>
        <v>Cash</v>
      </c>
      <c r="R501" t="str">
        <f>PROPER(TRIM(Table1[[#This Row],[ReferralSource]]))</f>
        <v>Google</v>
      </c>
      <c r="S501" s="5">
        <f>Table1[[#This Row],[TotalPrice]]/Table1[[#This Row],[ItemsInCart]]</f>
        <v>80.563333333333333</v>
      </c>
    </row>
    <row r="502" spans="1:19" x14ac:dyDescent="0.3">
      <c r="A502" t="s">
        <v>268</v>
      </c>
      <c r="B502" s="1">
        <v>45286</v>
      </c>
      <c r="C502" t="s">
        <v>1468</v>
      </c>
      <c r="D502" t="s">
        <v>2403</v>
      </c>
      <c r="E502">
        <v>3</v>
      </c>
      <c r="F502">
        <v>263.19</v>
      </c>
      <c r="G502" t="s">
        <v>2615</v>
      </c>
      <c r="H502" t="s">
        <v>3066</v>
      </c>
      <c r="I502" t="s">
        <v>3073</v>
      </c>
      <c r="J502" t="s">
        <v>3329</v>
      </c>
      <c r="K502">
        <v>5</v>
      </c>
      <c r="L502" t="s">
        <v>4283</v>
      </c>
      <c r="M502" t="s">
        <v>4278</v>
      </c>
      <c r="N502" s="5">
        <v>789.56999999999994</v>
      </c>
      <c r="O502" t="str">
        <f>IF(ABS(Table1[[#This Row],[TotalPrice]]-Table1[[#This Row],[Quantity]]*Table1[[#This Row],[UnitPrice]]) &lt;0.01, "ok",)</f>
        <v>ok</v>
      </c>
      <c r="P502" t="str">
        <f>PROPER(TRIM(Table1[[#This Row],[ShippingAddress]]))</f>
        <v>770 Main St</v>
      </c>
      <c r="Q502" t="str">
        <f>PROPER(TRIM((Table1[[#This Row],[PaymentMethod]])))</f>
        <v>Online</v>
      </c>
      <c r="R502" t="str">
        <f>PROPER(TRIM(Table1[[#This Row],[ReferralSource]]))</f>
        <v>Instagram</v>
      </c>
      <c r="S502" s="5">
        <f>Table1[[#This Row],[TotalPrice]]/Table1[[#This Row],[ItemsInCart]]</f>
        <v>157.91399999999999</v>
      </c>
    </row>
    <row r="503" spans="1:19" x14ac:dyDescent="0.3">
      <c r="A503" t="s">
        <v>163</v>
      </c>
      <c r="B503" s="1">
        <v>45287</v>
      </c>
      <c r="C503" t="s">
        <v>1363</v>
      </c>
      <c r="D503" t="s">
        <v>2408</v>
      </c>
      <c r="E503">
        <v>1</v>
      </c>
      <c r="F503">
        <v>217.56</v>
      </c>
      <c r="G503" t="s">
        <v>2548</v>
      </c>
      <c r="H503" t="s">
        <v>3065</v>
      </c>
      <c r="I503" t="s">
        <v>3073</v>
      </c>
      <c r="J503" t="s">
        <v>3224</v>
      </c>
      <c r="K503">
        <v>3</v>
      </c>
      <c r="L503" t="s">
        <v>4283</v>
      </c>
      <c r="M503" t="s">
        <v>4281</v>
      </c>
      <c r="N503" s="5">
        <v>217.56</v>
      </c>
      <c r="O503" t="str">
        <f>IF(ABS(Table1[[#This Row],[TotalPrice]]-Table1[[#This Row],[Quantity]]*Table1[[#This Row],[UnitPrice]]) &lt;0.01, "ok",)</f>
        <v>ok</v>
      </c>
      <c r="P503" t="str">
        <f>PROPER(TRIM(Table1[[#This Row],[ShippingAddress]]))</f>
        <v>174 Main St</v>
      </c>
      <c r="Q503" t="str">
        <f>PROPER(TRIM((Table1[[#This Row],[PaymentMethod]])))</f>
        <v>Debit Card</v>
      </c>
      <c r="R503" t="str">
        <f>PROPER(TRIM(Table1[[#This Row],[ReferralSource]]))</f>
        <v>Facebook</v>
      </c>
      <c r="S503" s="5">
        <f>Table1[[#This Row],[TotalPrice]]/Table1[[#This Row],[ItemsInCart]]</f>
        <v>72.52</v>
      </c>
    </row>
    <row r="504" spans="1:19" x14ac:dyDescent="0.3">
      <c r="A504" t="s">
        <v>957</v>
      </c>
      <c r="B504" s="1">
        <v>45287</v>
      </c>
      <c r="C504" t="s">
        <v>2152</v>
      </c>
      <c r="D504" t="s">
        <v>2403</v>
      </c>
      <c r="E504">
        <v>3</v>
      </c>
      <c r="F504">
        <v>193.49</v>
      </c>
      <c r="G504" t="s">
        <v>2985</v>
      </c>
      <c r="H504" t="s">
        <v>3068</v>
      </c>
      <c r="I504" t="s">
        <v>3072</v>
      </c>
      <c r="J504" t="s">
        <v>4018</v>
      </c>
      <c r="K504">
        <v>6</v>
      </c>
      <c r="L504" t="s">
        <v>4276</v>
      </c>
      <c r="M504" t="s">
        <v>4281</v>
      </c>
      <c r="N504" s="5">
        <v>580.47</v>
      </c>
      <c r="O504" t="str">
        <f>IF(ABS(Table1[[#This Row],[TotalPrice]]-Table1[[#This Row],[Quantity]]*Table1[[#This Row],[UnitPrice]]) &lt;0.01, "ok",)</f>
        <v>ok</v>
      </c>
      <c r="P504" t="str">
        <f>PROPER(TRIM(Table1[[#This Row],[ShippingAddress]]))</f>
        <v>355 Main St</v>
      </c>
      <c r="Q504" t="str">
        <f>PROPER(TRIM((Table1[[#This Row],[PaymentMethod]])))</f>
        <v>Gift Card</v>
      </c>
      <c r="R504" t="str">
        <f>PROPER(TRIM(Table1[[#This Row],[ReferralSource]]))</f>
        <v>Facebook</v>
      </c>
      <c r="S504" s="5">
        <f>Table1[[#This Row],[TotalPrice]]/Table1[[#This Row],[ItemsInCart]]</f>
        <v>96.745000000000005</v>
      </c>
    </row>
    <row r="505" spans="1:19" x14ac:dyDescent="0.3">
      <c r="A505" t="s">
        <v>178</v>
      </c>
      <c r="B505" s="1">
        <v>45288</v>
      </c>
      <c r="C505" t="s">
        <v>1378</v>
      </c>
      <c r="D505" t="s">
        <v>2409</v>
      </c>
      <c r="E505">
        <v>5</v>
      </c>
      <c r="F505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>
        <v>5</v>
      </c>
      <c r="L505" t="s">
        <v>4275</v>
      </c>
      <c r="M505" t="s">
        <v>4282</v>
      </c>
      <c r="N505" s="5">
        <v>2682.9</v>
      </c>
      <c r="O505" t="str">
        <f>IF(ABS(Table1[[#This Row],[TotalPrice]]-Table1[[#This Row],[Quantity]]*Table1[[#This Row],[UnitPrice]]) &lt;0.01, "ok",)</f>
        <v>ok</v>
      </c>
      <c r="P505" t="str">
        <f>PROPER(TRIM(Table1[[#This Row],[ShippingAddress]]))</f>
        <v>667 Main St</v>
      </c>
      <c r="Q505" t="str">
        <f>PROPER(TRIM((Table1[[#This Row],[PaymentMethod]])))</f>
        <v>Gift Card</v>
      </c>
      <c r="R505" t="str">
        <f>PROPER(TRIM(Table1[[#This Row],[ReferralSource]]))</f>
        <v>Google</v>
      </c>
      <c r="S505" s="5">
        <f>Table1[[#This Row],[TotalPrice]]/Table1[[#This Row],[ItemsInCart]]</f>
        <v>536.58000000000004</v>
      </c>
    </row>
    <row r="506" spans="1:19" x14ac:dyDescent="0.3">
      <c r="A506" t="s">
        <v>402</v>
      </c>
      <c r="B506" s="1">
        <v>45288</v>
      </c>
      <c r="C506" t="s">
        <v>1602</v>
      </c>
      <c r="D506" t="s">
        <v>2407</v>
      </c>
      <c r="E506">
        <v>3</v>
      </c>
      <c r="F506">
        <v>633.97</v>
      </c>
      <c r="G506" t="s">
        <v>2504</v>
      </c>
      <c r="H506" t="s">
        <v>3069</v>
      </c>
      <c r="I506" t="s">
        <v>3074</v>
      </c>
      <c r="J506" t="s">
        <v>3463</v>
      </c>
      <c r="K506">
        <v>7</v>
      </c>
      <c r="L506" t="s">
        <v>4277</v>
      </c>
      <c r="M506" t="s">
        <v>4281</v>
      </c>
      <c r="N506" s="5">
        <v>1901.91</v>
      </c>
      <c r="O506" t="str">
        <f>IF(ABS(Table1[[#This Row],[TotalPrice]]-Table1[[#This Row],[Quantity]]*Table1[[#This Row],[UnitPrice]]) &lt;0.01, "ok",)</f>
        <v>ok</v>
      </c>
      <c r="P506" t="str">
        <f>PROPER(TRIM(Table1[[#This Row],[ShippingAddress]]))</f>
        <v>152 Main St</v>
      </c>
      <c r="Q506" t="str">
        <f>PROPER(TRIM((Table1[[#This Row],[PaymentMethod]])))</f>
        <v>Cash</v>
      </c>
      <c r="R506" t="str">
        <f>PROPER(TRIM(Table1[[#This Row],[ReferralSource]]))</f>
        <v>Facebook</v>
      </c>
      <c r="S506" s="5">
        <f>Table1[[#This Row],[TotalPrice]]/Table1[[#This Row],[ItemsInCart]]</f>
        <v>271.70142857142861</v>
      </c>
    </row>
    <row r="507" spans="1:19" x14ac:dyDescent="0.3">
      <c r="A507" t="s">
        <v>1149</v>
      </c>
      <c r="B507" s="1">
        <v>45288</v>
      </c>
      <c r="C507" t="s">
        <v>2339</v>
      </c>
      <c r="D507" t="s">
        <v>2407</v>
      </c>
      <c r="E507">
        <v>2</v>
      </c>
      <c r="F507">
        <v>73.41</v>
      </c>
      <c r="G507" t="s">
        <v>2613</v>
      </c>
      <c r="H507" t="s">
        <v>3066</v>
      </c>
      <c r="I507" t="s">
        <v>3070</v>
      </c>
      <c r="J507" t="s">
        <v>4210</v>
      </c>
      <c r="K507">
        <v>2</v>
      </c>
      <c r="L507" t="s">
        <v>4275</v>
      </c>
      <c r="M507" t="s">
        <v>4282</v>
      </c>
      <c r="N507" s="5">
        <v>146.82</v>
      </c>
      <c r="O507" t="str">
        <f>IF(ABS(Table1[[#This Row],[TotalPrice]]-Table1[[#This Row],[Quantity]]*Table1[[#This Row],[UnitPrice]]) &lt;0.01, "ok",)</f>
        <v>ok</v>
      </c>
      <c r="P507" t="str">
        <f>PROPER(TRIM(Table1[[#This Row],[ShippingAddress]]))</f>
        <v>562 Main St</v>
      </c>
      <c r="Q507" t="str">
        <f>PROPER(TRIM((Table1[[#This Row],[PaymentMethod]])))</f>
        <v>Online</v>
      </c>
      <c r="R507" t="str">
        <f>PROPER(TRIM(Table1[[#This Row],[ReferralSource]]))</f>
        <v>Google</v>
      </c>
      <c r="S507" s="5">
        <f>Table1[[#This Row],[TotalPrice]]/Table1[[#This Row],[ItemsInCart]]</f>
        <v>73.41</v>
      </c>
    </row>
    <row r="508" spans="1:19" x14ac:dyDescent="0.3">
      <c r="A508" t="s">
        <v>24</v>
      </c>
      <c r="B508" s="1">
        <v>45289</v>
      </c>
      <c r="C508" t="s">
        <v>1224</v>
      </c>
      <c r="D508" t="s">
        <v>2405</v>
      </c>
      <c r="E508">
        <v>5</v>
      </c>
      <c r="F508">
        <v>625.97</v>
      </c>
      <c r="G508" t="s">
        <v>2420</v>
      </c>
      <c r="H508" t="s">
        <v>3067</v>
      </c>
      <c r="I508" t="s">
        <v>3072</v>
      </c>
      <c r="J508" t="s">
        <v>3085</v>
      </c>
      <c r="K508">
        <v>9</v>
      </c>
      <c r="L508" t="s">
        <v>4277</v>
      </c>
      <c r="M508" t="s">
        <v>4278</v>
      </c>
      <c r="N508" s="5">
        <v>3129.85</v>
      </c>
      <c r="O508" t="str">
        <f>IF(ABS(Table1[[#This Row],[TotalPrice]]-Table1[[#This Row],[Quantity]]*Table1[[#This Row],[UnitPrice]]) &lt;0.01, "ok",)</f>
        <v>ok</v>
      </c>
      <c r="P508" t="str">
        <f>PROPER(TRIM(Table1[[#This Row],[ShippingAddress]]))</f>
        <v>333 Main St</v>
      </c>
      <c r="Q508" t="str">
        <f>PROPER(TRIM((Table1[[#This Row],[PaymentMethod]])))</f>
        <v>Credit Card</v>
      </c>
      <c r="R508" t="str">
        <f>PROPER(TRIM(Table1[[#This Row],[ReferralSource]]))</f>
        <v>Instagram</v>
      </c>
      <c r="S508" s="5">
        <f>Table1[[#This Row],[TotalPrice]]/Table1[[#This Row],[ItemsInCart]]</f>
        <v>347.76111111111112</v>
      </c>
    </row>
    <row r="509" spans="1:19" x14ac:dyDescent="0.3">
      <c r="A509" t="s">
        <v>350</v>
      </c>
      <c r="B509" s="1">
        <v>45289</v>
      </c>
      <c r="C509" t="s">
        <v>1550</v>
      </c>
      <c r="D509" t="s">
        <v>2408</v>
      </c>
      <c r="E509">
        <v>1</v>
      </c>
      <c r="F509">
        <v>18.2</v>
      </c>
      <c r="G509" t="s">
        <v>2689</v>
      </c>
      <c r="H509" t="s">
        <v>3065</v>
      </c>
      <c r="I509" t="s">
        <v>3074</v>
      </c>
      <c r="J509" t="s">
        <v>3411</v>
      </c>
      <c r="K509">
        <v>4</v>
      </c>
      <c r="L509" t="s">
        <v>4275</v>
      </c>
      <c r="M509" t="s">
        <v>4278</v>
      </c>
      <c r="N509" s="5">
        <v>18.2</v>
      </c>
      <c r="O509" t="str">
        <f>IF(ABS(Table1[[#This Row],[TotalPrice]]-Table1[[#This Row],[Quantity]]*Table1[[#This Row],[UnitPrice]]) &lt;0.01, "ok",)</f>
        <v>ok</v>
      </c>
      <c r="P509" t="str">
        <f>PROPER(TRIM(Table1[[#This Row],[ShippingAddress]]))</f>
        <v>441 Main St</v>
      </c>
      <c r="Q509" t="str">
        <f>PROPER(TRIM((Table1[[#This Row],[PaymentMethod]])))</f>
        <v>Debit Card</v>
      </c>
      <c r="R509" t="str">
        <f>PROPER(TRIM(Table1[[#This Row],[ReferralSource]]))</f>
        <v>Instagram</v>
      </c>
      <c r="S509" s="5">
        <f>Table1[[#This Row],[TotalPrice]]/Table1[[#This Row],[ItemsInCart]]</f>
        <v>4.55</v>
      </c>
    </row>
    <row r="510" spans="1:19" x14ac:dyDescent="0.3">
      <c r="A510" t="s">
        <v>1030</v>
      </c>
      <c r="B510" s="1">
        <v>45289</v>
      </c>
      <c r="C510" t="s">
        <v>2222</v>
      </c>
      <c r="D510" t="s">
        <v>2405</v>
      </c>
      <c r="E510">
        <v>5</v>
      </c>
      <c r="F510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>
        <v>7</v>
      </c>
      <c r="L510" t="s">
        <v>4277</v>
      </c>
      <c r="M510" t="s">
        <v>4280</v>
      </c>
      <c r="N510" s="5">
        <v>1343.9</v>
      </c>
      <c r="O510" t="str">
        <f>IF(ABS(Table1[[#This Row],[TotalPrice]]-Table1[[#This Row],[Quantity]]*Table1[[#This Row],[UnitPrice]]) &lt;0.01, "ok",)</f>
        <v>ok</v>
      </c>
      <c r="P510" t="str">
        <f>PROPER(TRIM(Table1[[#This Row],[ShippingAddress]]))</f>
        <v>669 Main St</v>
      </c>
      <c r="Q510" t="str">
        <f>PROPER(TRIM((Table1[[#This Row],[PaymentMethod]])))</f>
        <v>Debit Card</v>
      </c>
      <c r="R510" t="str">
        <f>PROPER(TRIM(Table1[[#This Row],[ReferralSource]]))</f>
        <v>Email</v>
      </c>
      <c r="S510" s="5">
        <f>Table1[[#This Row],[TotalPrice]]/Table1[[#This Row],[ItemsInCart]]</f>
        <v>191.98571428571429</v>
      </c>
    </row>
    <row r="511" spans="1:19" x14ac:dyDescent="0.3">
      <c r="A511" t="s">
        <v>79</v>
      </c>
      <c r="B511" s="1">
        <v>45290</v>
      </c>
      <c r="C511" t="s">
        <v>1279</v>
      </c>
      <c r="D511" t="s">
        <v>2403</v>
      </c>
      <c r="E511">
        <v>5</v>
      </c>
      <c r="F511">
        <v>81.7</v>
      </c>
      <c r="G511" t="s">
        <v>2471</v>
      </c>
      <c r="H511" t="s">
        <v>3067</v>
      </c>
      <c r="I511" t="s">
        <v>3073</v>
      </c>
      <c r="J511" t="s">
        <v>3140</v>
      </c>
      <c r="K511">
        <v>6</v>
      </c>
      <c r="L511" t="s">
        <v>4283</v>
      </c>
      <c r="M511" t="s">
        <v>4278</v>
      </c>
      <c r="N511" s="5">
        <v>408.5</v>
      </c>
      <c r="O511" t="str">
        <f>IF(ABS(Table1[[#This Row],[TotalPrice]]-Table1[[#This Row],[Quantity]]*Table1[[#This Row],[UnitPrice]]) &lt;0.01, "ok",)</f>
        <v>ok</v>
      </c>
      <c r="P511" t="str">
        <f>PROPER(TRIM(Table1[[#This Row],[ShippingAddress]]))</f>
        <v>385 Main St</v>
      </c>
      <c r="Q511" t="str">
        <f>PROPER(TRIM((Table1[[#This Row],[PaymentMethod]])))</f>
        <v>Credit Card</v>
      </c>
      <c r="R511" t="str">
        <f>PROPER(TRIM(Table1[[#This Row],[ReferralSource]]))</f>
        <v>Instagram</v>
      </c>
      <c r="S511" s="5">
        <f>Table1[[#This Row],[TotalPrice]]/Table1[[#This Row],[ItemsInCart]]</f>
        <v>68.083333333333329</v>
      </c>
    </row>
    <row r="512" spans="1:19" x14ac:dyDescent="0.3">
      <c r="A512" t="s">
        <v>818</v>
      </c>
      <c r="B512" s="1">
        <v>45292</v>
      </c>
      <c r="C512" t="s">
        <v>2014</v>
      </c>
      <c r="D512" t="s">
        <v>2406</v>
      </c>
      <c r="E512">
        <v>3</v>
      </c>
      <c r="F512">
        <v>236.5</v>
      </c>
      <c r="G512" t="s">
        <v>2933</v>
      </c>
      <c r="H512" t="s">
        <v>3066</v>
      </c>
      <c r="I512" t="s">
        <v>3073</v>
      </c>
      <c r="J512" t="s">
        <v>3879</v>
      </c>
      <c r="K512">
        <v>8</v>
      </c>
      <c r="L512" t="s">
        <v>4276</v>
      </c>
      <c r="M512" t="s">
        <v>4280</v>
      </c>
      <c r="N512" s="5">
        <v>709.5</v>
      </c>
      <c r="O512" t="str">
        <f>IF(ABS(Table1[[#This Row],[TotalPrice]]-Table1[[#This Row],[Quantity]]*Table1[[#This Row],[UnitPrice]]) &lt;0.01, "ok",)</f>
        <v>ok</v>
      </c>
      <c r="P512" t="str">
        <f>PROPER(TRIM(Table1[[#This Row],[ShippingAddress]]))</f>
        <v>916 Main St</v>
      </c>
      <c r="Q512" t="str">
        <f>PROPER(TRIM((Table1[[#This Row],[PaymentMethod]])))</f>
        <v>Online</v>
      </c>
      <c r="R512" t="str">
        <f>PROPER(TRIM(Table1[[#This Row],[ReferralSource]]))</f>
        <v>Email</v>
      </c>
      <c r="S512" s="5">
        <f>Table1[[#This Row],[TotalPrice]]/Table1[[#This Row],[ItemsInCart]]</f>
        <v>88.6875</v>
      </c>
    </row>
    <row r="513" spans="1:19" x14ac:dyDescent="0.3">
      <c r="A513" t="s">
        <v>945</v>
      </c>
      <c r="B513" s="1">
        <v>45292</v>
      </c>
      <c r="C513" t="s">
        <v>2141</v>
      </c>
      <c r="D513" t="s">
        <v>2407</v>
      </c>
      <c r="E513">
        <v>2</v>
      </c>
      <c r="F513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>
        <v>4</v>
      </c>
      <c r="L513" t="s">
        <v>4275</v>
      </c>
      <c r="M513" t="s">
        <v>4282</v>
      </c>
      <c r="N513" s="5">
        <v>80.459999999999994</v>
      </c>
      <c r="O513" t="str">
        <f>IF(ABS(Table1[[#This Row],[TotalPrice]]-Table1[[#This Row],[Quantity]]*Table1[[#This Row],[UnitPrice]]) &lt;0.01, "ok",)</f>
        <v>ok</v>
      </c>
      <c r="P513" t="str">
        <f>PROPER(TRIM(Table1[[#This Row],[ShippingAddress]]))</f>
        <v>623 Main St</v>
      </c>
      <c r="Q513" t="str">
        <f>PROPER(TRIM((Table1[[#This Row],[PaymentMethod]])))</f>
        <v>Credit Card</v>
      </c>
      <c r="R513" t="str">
        <f>PROPER(TRIM(Table1[[#This Row],[ReferralSource]]))</f>
        <v>Google</v>
      </c>
      <c r="S513" s="5">
        <f>Table1[[#This Row],[TotalPrice]]/Table1[[#This Row],[ItemsInCart]]</f>
        <v>20.114999999999998</v>
      </c>
    </row>
    <row r="514" spans="1:19" x14ac:dyDescent="0.3">
      <c r="A514" t="s">
        <v>751</v>
      </c>
      <c r="B514" s="1">
        <v>45294</v>
      </c>
      <c r="C514" t="s">
        <v>1948</v>
      </c>
      <c r="D514" t="s">
        <v>2404</v>
      </c>
      <c r="E514">
        <v>4</v>
      </c>
      <c r="F514">
        <v>532.87</v>
      </c>
      <c r="G514" t="s">
        <v>2897</v>
      </c>
      <c r="H514" t="s">
        <v>3069</v>
      </c>
      <c r="I514" t="s">
        <v>3074</v>
      </c>
      <c r="J514" t="s">
        <v>3812</v>
      </c>
      <c r="K514">
        <v>9</v>
      </c>
      <c r="L514" t="s">
        <v>4276</v>
      </c>
      <c r="M514" t="s">
        <v>4278</v>
      </c>
      <c r="N514" s="5">
        <v>2131.48</v>
      </c>
      <c r="O514" t="str">
        <f>IF(ABS(Table1[[#This Row],[TotalPrice]]-Table1[[#This Row],[Quantity]]*Table1[[#This Row],[UnitPrice]]) &lt;0.01, "ok",)</f>
        <v>ok</v>
      </c>
      <c r="P514" t="str">
        <f>PROPER(TRIM(Table1[[#This Row],[ShippingAddress]]))</f>
        <v>972 Main St</v>
      </c>
      <c r="Q514" t="str">
        <f>PROPER(TRIM((Table1[[#This Row],[PaymentMethod]])))</f>
        <v>Cash</v>
      </c>
      <c r="R514" t="str">
        <f>PROPER(TRIM(Table1[[#This Row],[ReferralSource]]))</f>
        <v>Instagram</v>
      </c>
      <c r="S514" s="5">
        <f>Table1[[#This Row],[TotalPrice]]/Table1[[#This Row],[ItemsInCart]]</f>
        <v>236.83111111111111</v>
      </c>
    </row>
    <row r="515" spans="1:19" x14ac:dyDescent="0.3">
      <c r="A515" t="s">
        <v>96</v>
      </c>
      <c r="B515" s="1">
        <v>45296</v>
      </c>
      <c r="C515" t="s">
        <v>1296</v>
      </c>
      <c r="D515" t="s">
        <v>2405</v>
      </c>
      <c r="E515">
        <v>4</v>
      </c>
      <c r="F515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>
        <v>9</v>
      </c>
      <c r="L515" t="s">
        <v>4275</v>
      </c>
      <c r="M515" t="s">
        <v>4282</v>
      </c>
      <c r="N515" s="5">
        <v>2260.8000000000002</v>
      </c>
      <c r="O515" t="str">
        <f>IF(ABS(Table1[[#This Row],[TotalPrice]]-Table1[[#This Row],[Quantity]]*Table1[[#This Row],[UnitPrice]]) &lt;0.01, "ok",)</f>
        <v>ok</v>
      </c>
      <c r="P515" t="str">
        <f>PROPER(TRIM(Table1[[#This Row],[ShippingAddress]]))</f>
        <v>971 Main St</v>
      </c>
      <c r="Q515" t="str">
        <f>PROPER(TRIM((Table1[[#This Row],[PaymentMethod]])))</f>
        <v>Debit Card</v>
      </c>
      <c r="R515" t="str">
        <f>PROPER(TRIM(Table1[[#This Row],[ReferralSource]]))</f>
        <v>Google</v>
      </c>
      <c r="S515" s="5">
        <f>Table1[[#This Row],[TotalPrice]]/Table1[[#This Row],[ItemsInCart]]</f>
        <v>251.20000000000002</v>
      </c>
    </row>
    <row r="516" spans="1:19" x14ac:dyDescent="0.3">
      <c r="A516" t="s">
        <v>562</v>
      </c>
      <c r="B516" s="1">
        <v>45296</v>
      </c>
      <c r="C516" t="s">
        <v>1762</v>
      </c>
      <c r="D516" t="s">
        <v>2407</v>
      </c>
      <c r="E516">
        <v>3</v>
      </c>
      <c r="F516">
        <v>426.12</v>
      </c>
      <c r="G516" t="s">
        <v>2500</v>
      </c>
      <c r="H516" t="s">
        <v>3066</v>
      </c>
      <c r="I516" t="s">
        <v>3073</v>
      </c>
      <c r="J516" t="s">
        <v>3623</v>
      </c>
      <c r="K516">
        <v>5</v>
      </c>
      <c r="L516" t="s">
        <v>4277</v>
      </c>
      <c r="M516" t="s">
        <v>4278</v>
      </c>
      <c r="N516" s="5">
        <v>1278.3599999999999</v>
      </c>
      <c r="O516" t="str">
        <f>IF(ABS(Table1[[#This Row],[TotalPrice]]-Table1[[#This Row],[Quantity]]*Table1[[#This Row],[UnitPrice]]) &lt;0.01, "ok",)</f>
        <v>ok</v>
      </c>
      <c r="P516" t="str">
        <f>PROPER(TRIM(Table1[[#This Row],[ShippingAddress]]))</f>
        <v>922 Main St</v>
      </c>
      <c r="Q516" t="str">
        <f>PROPER(TRIM((Table1[[#This Row],[PaymentMethod]])))</f>
        <v>Online</v>
      </c>
      <c r="R516" t="str">
        <f>PROPER(TRIM(Table1[[#This Row],[ReferralSource]]))</f>
        <v>Instagram</v>
      </c>
      <c r="S516" s="5">
        <f>Table1[[#This Row],[TotalPrice]]/Table1[[#This Row],[ItemsInCart]]</f>
        <v>255.67199999999997</v>
      </c>
    </row>
    <row r="517" spans="1:19" x14ac:dyDescent="0.3">
      <c r="A517" t="s">
        <v>413</v>
      </c>
      <c r="B517" s="1">
        <v>45298</v>
      </c>
      <c r="C517" t="s">
        <v>1613</v>
      </c>
      <c r="D517" t="s">
        <v>2405</v>
      </c>
      <c r="E517">
        <v>5</v>
      </c>
      <c r="F517">
        <v>423.93</v>
      </c>
      <c r="G517" t="s">
        <v>2732</v>
      </c>
      <c r="H517" t="s">
        <v>3065</v>
      </c>
      <c r="I517" t="s">
        <v>3072</v>
      </c>
      <c r="J517" t="s">
        <v>3474</v>
      </c>
      <c r="K517">
        <v>5</v>
      </c>
      <c r="L517" t="s">
        <v>4276</v>
      </c>
      <c r="M517" t="s">
        <v>4281</v>
      </c>
      <c r="N517" s="5">
        <v>2119.65</v>
      </c>
      <c r="O517" t="str">
        <f>IF(ABS(Table1[[#This Row],[TotalPrice]]-Table1[[#This Row],[Quantity]]*Table1[[#This Row],[UnitPrice]]) &lt;0.01, "ok",)</f>
        <v>ok</v>
      </c>
      <c r="P517" t="str">
        <f>PROPER(TRIM(Table1[[#This Row],[ShippingAddress]]))</f>
        <v>319 Main St</v>
      </c>
      <c r="Q517" t="str">
        <f>PROPER(TRIM((Table1[[#This Row],[PaymentMethod]])))</f>
        <v>Debit Card</v>
      </c>
      <c r="R517" t="str">
        <f>PROPER(TRIM(Table1[[#This Row],[ReferralSource]]))</f>
        <v>Facebook</v>
      </c>
      <c r="S517" s="5">
        <f>Table1[[#This Row],[TotalPrice]]/Table1[[#This Row],[ItemsInCart]]</f>
        <v>423.93</v>
      </c>
    </row>
    <row r="518" spans="1:19" x14ac:dyDescent="0.3">
      <c r="A518" t="s">
        <v>1119</v>
      </c>
      <c r="B518" s="1">
        <v>45299</v>
      </c>
      <c r="C518" t="s">
        <v>2310</v>
      </c>
      <c r="D518" t="s">
        <v>2405</v>
      </c>
      <c r="E518">
        <v>3</v>
      </c>
      <c r="F518">
        <v>475.69</v>
      </c>
      <c r="G518" t="s">
        <v>2644</v>
      </c>
      <c r="H518" t="s">
        <v>3068</v>
      </c>
      <c r="I518" t="s">
        <v>3071</v>
      </c>
      <c r="J518" t="s">
        <v>4180</v>
      </c>
      <c r="K518">
        <v>3</v>
      </c>
      <c r="L518" t="s">
        <v>4276</v>
      </c>
      <c r="M518" t="s">
        <v>4282</v>
      </c>
      <c r="N518" s="5">
        <v>1427.07</v>
      </c>
      <c r="O518" t="str">
        <f>IF(ABS(Table1[[#This Row],[TotalPrice]]-Table1[[#This Row],[Quantity]]*Table1[[#This Row],[UnitPrice]]) &lt;0.01, "ok",)</f>
        <v>ok</v>
      </c>
      <c r="P518" t="str">
        <f>PROPER(TRIM(Table1[[#This Row],[ShippingAddress]]))</f>
        <v>884 Main St</v>
      </c>
      <c r="Q518" t="str">
        <f>PROPER(TRIM((Table1[[#This Row],[PaymentMethod]])))</f>
        <v>Gift Card</v>
      </c>
      <c r="R518" t="str">
        <f>PROPER(TRIM(Table1[[#This Row],[ReferralSource]]))</f>
        <v>Google</v>
      </c>
      <c r="S518" s="5">
        <f>Table1[[#This Row],[TotalPrice]]/Table1[[#This Row],[ItemsInCart]]</f>
        <v>475.69</v>
      </c>
    </row>
    <row r="519" spans="1:19" x14ac:dyDescent="0.3">
      <c r="A519" t="s">
        <v>1178</v>
      </c>
      <c r="B519" s="1">
        <v>45299</v>
      </c>
      <c r="C519" t="s">
        <v>2367</v>
      </c>
      <c r="D519" t="s">
        <v>2405</v>
      </c>
      <c r="E519">
        <v>5</v>
      </c>
      <c r="F519">
        <v>315.57</v>
      </c>
      <c r="G519" t="s">
        <v>2826</v>
      </c>
      <c r="H519" t="s">
        <v>3065</v>
      </c>
      <c r="I519" t="s">
        <v>3073</v>
      </c>
      <c r="J519" t="s">
        <v>4239</v>
      </c>
      <c r="K519">
        <v>6</v>
      </c>
      <c r="L519" t="s">
        <v>4277</v>
      </c>
      <c r="M519" t="s">
        <v>4280</v>
      </c>
      <c r="N519" s="5">
        <v>1577.85</v>
      </c>
      <c r="O519" t="str">
        <f>IF(ABS(Table1[[#This Row],[TotalPrice]]-Table1[[#This Row],[Quantity]]*Table1[[#This Row],[UnitPrice]]) &lt;0.01, "ok",)</f>
        <v>ok</v>
      </c>
      <c r="P519" t="str">
        <f>PROPER(TRIM(Table1[[#This Row],[ShippingAddress]]))</f>
        <v>340 Main St</v>
      </c>
      <c r="Q519" t="str">
        <f>PROPER(TRIM((Table1[[#This Row],[PaymentMethod]])))</f>
        <v>Debit Card</v>
      </c>
      <c r="R519" t="str">
        <f>PROPER(TRIM(Table1[[#This Row],[ReferralSource]]))</f>
        <v>Email</v>
      </c>
      <c r="S519" s="5">
        <f>Table1[[#This Row],[TotalPrice]]/Table1[[#This Row],[ItemsInCart]]</f>
        <v>262.97499999999997</v>
      </c>
    </row>
    <row r="520" spans="1:19" x14ac:dyDescent="0.3">
      <c r="A520" t="s">
        <v>688</v>
      </c>
      <c r="B520" s="1">
        <v>45300</v>
      </c>
      <c r="C520" t="s">
        <v>1886</v>
      </c>
      <c r="D520" t="s">
        <v>2408</v>
      </c>
      <c r="E520">
        <v>4</v>
      </c>
      <c r="F520">
        <v>358.75</v>
      </c>
      <c r="G520" t="s">
        <v>2868</v>
      </c>
      <c r="H520" t="s">
        <v>3068</v>
      </c>
      <c r="I520" t="s">
        <v>3073</v>
      </c>
      <c r="J520" t="s">
        <v>3749</v>
      </c>
      <c r="K520">
        <v>9</v>
      </c>
      <c r="L520" t="s">
        <v>4275</v>
      </c>
      <c r="M520" t="s">
        <v>4281</v>
      </c>
      <c r="N520" s="5">
        <v>1435</v>
      </c>
      <c r="O520" t="str">
        <f>IF(ABS(Table1[[#This Row],[TotalPrice]]-Table1[[#This Row],[Quantity]]*Table1[[#This Row],[UnitPrice]]) &lt;0.01, "ok",)</f>
        <v>ok</v>
      </c>
      <c r="P520" t="str">
        <f>PROPER(TRIM(Table1[[#This Row],[ShippingAddress]]))</f>
        <v>860 Main St</v>
      </c>
      <c r="Q520" t="str">
        <f>PROPER(TRIM((Table1[[#This Row],[PaymentMethod]])))</f>
        <v>Gift Card</v>
      </c>
      <c r="R520" t="str">
        <f>PROPER(TRIM(Table1[[#This Row],[ReferralSource]]))</f>
        <v>Facebook</v>
      </c>
      <c r="S520" s="5">
        <f>Table1[[#This Row],[TotalPrice]]/Table1[[#This Row],[ItemsInCart]]</f>
        <v>159.44444444444446</v>
      </c>
    </row>
    <row r="521" spans="1:19" x14ac:dyDescent="0.3">
      <c r="A521" t="s">
        <v>726</v>
      </c>
      <c r="B521" s="1">
        <v>45300</v>
      </c>
      <c r="C521" t="s">
        <v>1771</v>
      </c>
      <c r="D521" t="s">
        <v>2405</v>
      </c>
      <c r="E521">
        <v>2</v>
      </c>
      <c r="F521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>
        <v>7</v>
      </c>
      <c r="L521" t="s">
        <v>4276</v>
      </c>
      <c r="M521" t="s">
        <v>4280</v>
      </c>
      <c r="N521" s="5">
        <v>136.80000000000001</v>
      </c>
      <c r="O521" t="str">
        <f>IF(ABS(Table1[[#This Row],[TotalPrice]]-Table1[[#This Row],[Quantity]]*Table1[[#This Row],[UnitPrice]]) &lt;0.01, "ok",)</f>
        <v>ok</v>
      </c>
      <c r="P521" t="str">
        <f>PROPER(TRIM(Table1[[#This Row],[ShippingAddress]]))</f>
        <v>993 Main St</v>
      </c>
      <c r="Q521" t="str">
        <f>PROPER(TRIM((Table1[[#This Row],[PaymentMethod]])))</f>
        <v>Gift Card</v>
      </c>
      <c r="R521" t="str">
        <f>PROPER(TRIM(Table1[[#This Row],[ReferralSource]]))</f>
        <v>Email</v>
      </c>
      <c r="S521" s="5">
        <f>Table1[[#This Row],[TotalPrice]]/Table1[[#This Row],[ItemsInCart]]</f>
        <v>19.542857142857144</v>
      </c>
    </row>
    <row r="522" spans="1:19" x14ac:dyDescent="0.3">
      <c r="A522" t="s">
        <v>795</v>
      </c>
      <c r="B522" s="1">
        <v>45301</v>
      </c>
      <c r="C522" t="s">
        <v>1992</v>
      </c>
      <c r="D522" t="s">
        <v>2404</v>
      </c>
      <c r="E522">
        <v>5</v>
      </c>
      <c r="F522">
        <v>524.26</v>
      </c>
      <c r="G522" t="s">
        <v>2415</v>
      </c>
      <c r="H522" t="s">
        <v>3068</v>
      </c>
      <c r="I522" t="s">
        <v>3073</v>
      </c>
      <c r="J522" t="s">
        <v>3856</v>
      </c>
      <c r="K522">
        <v>5</v>
      </c>
      <c r="L522" t="s">
        <v>4276</v>
      </c>
      <c r="M522" t="s">
        <v>4279</v>
      </c>
      <c r="N522" s="5">
        <v>2621.3000000000002</v>
      </c>
      <c r="O522" t="str">
        <f>IF(ABS(Table1[[#This Row],[TotalPrice]]-Table1[[#This Row],[Quantity]]*Table1[[#This Row],[UnitPrice]]) &lt;0.01, "ok",)</f>
        <v>ok</v>
      </c>
      <c r="P522" t="str">
        <f>PROPER(TRIM(Table1[[#This Row],[ShippingAddress]]))</f>
        <v>934 Main St</v>
      </c>
      <c r="Q522" t="str">
        <f>PROPER(TRIM((Table1[[#This Row],[PaymentMethod]])))</f>
        <v>Gift Card</v>
      </c>
      <c r="R522" t="str">
        <f>PROPER(TRIM(Table1[[#This Row],[ReferralSource]]))</f>
        <v>Referral</v>
      </c>
      <c r="S522" s="5">
        <f>Table1[[#This Row],[TotalPrice]]/Table1[[#This Row],[ItemsInCart]]</f>
        <v>524.26</v>
      </c>
    </row>
    <row r="523" spans="1:19" x14ac:dyDescent="0.3">
      <c r="A523" t="s">
        <v>950</v>
      </c>
      <c r="B523" s="1">
        <v>45303</v>
      </c>
      <c r="C523" t="s">
        <v>2146</v>
      </c>
      <c r="D523" t="s">
        <v>2406</v>
      </c>
      <c r="E523">
        <v>4</v>
      </c>
      <c r="F523">
        <v>56.66</v>
      </c>
      <c r="G523" t="s">
        <v>2554</v>
      </c>
      <c r="H523" t="s">
        <v>3066</v>
      </c>
      <c r="I523" t="s">
        <v>3073</v>
      </c>
      <c r="J523" t="s">
        <v>4011</v>
      </c>
      <c r="K523">
        <v>4</v>
      </c>
      <c r="L523" t="s">
        <v>4275</v>
      </c>
      <c r="M523" t="s">
        <v>4278</v>
      </c>
      <c r="N523" s="5">
        <v>226.64</v>
      </c>
      <c r="O523" t="str">
        <f>IF(ABS(Table1[[#This Row],[TotalPrice]]-Table1[[#This Row],[Quantity]]*Table1[[#This Row],[UnitPrice]]) &lt;0.01, "ok",)</f>
        <v>ok</v>
      </c>
      <c r="P523" t="str">
        <f>PROPER(TRIM(Table1[[#This Row],[ShippingAddress]]))</f>
        <v>737 Main St</v>
      </c>
      <c r="Q523" t="str">
        <f>PROPER(TRIM((Table1[[#This Row],[PaymentMethod]])))</f>
        <v>Online</v>
      </c>
      <c r="R523" t="str">
        <f>PROPER(TRIM(Table1[[#This Row],[ReferralSource]]))</f>
        <v>Instagram</v>
      </c>
      <c r="S523" s="5">
        <f>Table1[[#This Row],[TotalPrice]]/Table1[[#This Row],[ItemsInCart]]</f>
        <v>56.66</v>
      </c>
    </row>
    <row r="524" spans="1:19" x14ac:dyDescent="0.3">
      <c r="A524" t="s">
        <v>805</v>
      </c>
      <c r="B524" s="1">
        <v>45304</v>
      </c>
      <c r="C524" t="s">
        <v>2002</v>
      </c>
      <c r="D524" t="s">
        <v>2406</v>
      </c>
      <c r="E524">
        <v>4</v>
      </c>
      <c r="F524">
        <v>409.28</v>
      </c>
      <c r="G524" t="s">
        <v>2434</v>
      </c>
      <c r="H524" t="s">
        <v>3069</v>
      </c>
      <c r="I524" t="s">
        <v>3074</v>
      </c>
      <c r="J524" t="s">
        <v>3866</v>
      </c>
      <c r="K524">
        <v>8</v>
      </c>
      <c r="L524" t="s">
        <v>4283</v>
      </c>
      <c r="M524" t="s">
        <v>4280</v>
      </c>
      <c r="N524" s="5">
        <v>1637.12</v>
      </c>
      <c r="O524" t="str">
        <f>IF(ABS(Table1[[#This Row],[TotalPrice]]-Table1[[#This Row],[Quantity]]*Table1[[#This Row],[UnitPrice]]) &lt;0.01, "ok",)</f>
        <v>ok</v>
      </c>
      <c r="P524" t="str">
        <f>PROPER(TRIM(Table1[[#This Row],[ShippingAddress]]))</f>
        <v>956 Main St</v>
      </c>
      <c r="Q524" t="str">
        <f>PROPER(TRIM((Table1[[#This Row],[PaymentMethod]])))</f>
        <v>Cash</v>
      </c>
      <c r="R524" t="str">
        <f>PROPER(TRIM(Table1[[#This Row],[ReferralSource]]))</f>
        <v>Email</v>
      </c>
      <c r="S524" s="5">
        <f>Table1[[#This Row],[TotalPrice]]/Table1[[#This Row],[ItemsInCart]]</f>
        <v>204.64</v>
      </c>
    </row>
    <row r="525" spans="1:19" x14ac:dyDescent="0.3">
      <c r="A525" t="s">
        <v>854</v>
      </c>
      <c r="B525" s="1">
        <v>45305</v>
      </c>
      <c r="C525" t="s">
        <v>2050</v>
      </c>
      <c r="D525" t="s">
        <v>2406</v>
      </c>
      <c r="E525">
        <v>3</v>
      </c>
      <c r="F525">
        <v>411.95</v>
      </c>
      <c r="G525" t="s">
        <v>2774</v>
      </c>
      <c r="H525" t="s">
        <v>3067</v>
      </c>
      <c r="I525" t="s">
        <v>3073</v>
      </c>
      <c r="J525" t="s">
        <v>3915</v>
      </c>
      <c r="K525">
        <v>7</v>
      </c>
      <c r="L525" t="s">
        <v>4276</v>
      </c>
      <c r="M525" t="s">
        <v>4279</v>
      </c>
      <c r="N525" s="5">
        <v>1235.8499999999999</v>
      </c>
      <c r="O525" t="str">
        <f>IF(ABS(Table1[[#This Row],[TotalPrice]]-Table1[[#This Row],[Quantity]]*Table1[[#This Row],[UnitPrice]]) &lt;0.01, "ok",)</f>
        <v>ok</v>
      </c>
      <c r="P525" t="str">
        <f>PROPER(TRIM(Table1[[#This Row],[ShippingAddress]]))</f>
        <v>672 Main St</v>
      </c>
      <c r="Q525" t="str">
        <f>PROPER(TRIM((Table1[[#This Row],[PaymentMethod]])))</f>
        <v>Credit Card</v>
      </c>
      <c r="R525" t="str">
        <f>PROPER(TRIM(Table1[[#This Row],[ReferralSource]]))</f>
        <v>Referral</v>
      </c>
      <c r="S525" s="5">
        <f>Table1[[#This Row],[TotalPrice]]/Table1[[#This Row],[ItemsInCart]]</f>
        <v>176.54999999999998</v>
      </c>
    </row>
    <row r="526" spans="1:19" x14ac:dyDescent="0.3">
      <c r="A526" t="s">
        <v>464</v>
      </c>
      <c r="B526" s="1">
        <v>45306</v>
      </c>
      <c r="C526" t="s">
        <v>1664</v>
      </c>
      <c r="D526" t="s">
        <v>2403</v>
      </c>
      <c r="E526">
        <v>5</v>
      </c>
      <c r="F526">
        <v>615.1</v>
      </c>
      <c r="G526" t="s">
        <v>2762</v>
      </c>
      <c r="H526" t="s">
        <v>3068</v>
      </c>
      <c r="I526" t="s">
        <v>3072</v>
      </c>
      <c r="J526" t="s">
        <v>3525</v>
      </c>
      <c r="K526">
        <v>10</v>
      </c>
      <c r="L526" t="s">
        <v>4277</v>
      </c>
      <c r="M526" t="s">
        <v>4278</v>
      </c>
      <c r="N526" s="5">
        <v>3075.5</v>
      </c>
      <c r="O526" t="str">
        <f>IF(ABS(Table1[[#This Row],[TotalPrice]]-Table1[[#This Row],[Quantity]]*Table1[[#This Row],[UnitPrice]]) &lt;0.01, "ok",)</f>
        <v>ok</v>
      </c>
      <c r="P526" t="str">
        <f>PROPER(TRIM(Table1[[#This Row],[ShippingAddress]]))</f>
        <v>160 Main St</v>
      </c>
      <c r="Q526" t="str">
        <f>PROPER(TRIM((Table1[[#This Row],[PaymentMethod]])))</f>
        <v>Gift Card</v>
      </c>
      <c r="R526" t="str">
        <f>PROPER(TRIM(Table1[[#This Row],[ReferralSource]]))</f>
        <v>Instagram</v>
      </c>
      <c r="S526" s="5">
        <f>Table1[[#This Row],[TotalPrice]]/Table1[[#This Row],[ItemsInCart]]</f>
        <v>307.55</v>
      </c>
    </row>
    <row r="527" spans="1:19" x14ac:dyDescent="0.3">
      <c r="A527" t="s">
        <v>490</v>
      </c>
      <c r="B527" s="1">
        <v>45306</v>
      </c>
      <c r="C527" t="s">
        <v>1690</v>
      </c>
      <c r="D527" t="s">
        <v>2404</v>
      </c>
      <c r="E527">
        <v>2</v>
      </c>
      <c r="F527">
        <v>513.59</v>
      </c>
      <c r="G527" t="s">
        <v>2779</v>
      </c>
      <c r="H527" t="s">
        <v>3066</v>
      </c>
      <c r="I527" t="s">
        <v>3072</v>
      </c>
      <c r="J527" t="s">
        <v>3551</v>
      </c>
      <c r="K527">
        <v>4</v>
      </c>
      <c r="L527" t="s">
        <v>4276</v>
      </c>
      <c r="M527" t="s">
        <v>4279</v>
      </c>
      <c r="N527" s="5">
        <v>1027.18</v>
      </c>
      <c r="O527" t="str">
        <f>IF(ABS(Table1[[#This Row],[TotalPrice]]-Table1[[#This Row],[Quantity]]*Table1[[#This Row],[UnitPrice]]) &lt;0.01, "ok",)</f>
        <v>ok</v>
      </c>
      <c r="P527" t="str">
        <f>PROPER(TRIM(Table1[[#This Row],[ShippingAddress]]))</f>
        <v>867 Main St</v>
      </c>
      <c r="Q527" t="str">
        <f>PROPER(TRIM((Table1[[#This Row],[PaymentMethod]])))</f>
        <v>Online</v>
      </c>
      <c r="R527" t="str">
        <f>PROPER(TRIM(Table1[[#This Row],[ReferralSource]]))</f>
        <v>Referral</v>
      </c>
      <c r="S527" s="5">
        <f>Table1[[#This Row],[TotalPrice]]/Table1[[#This Row],[ItemsInCart]]</f>
        <v>256.79500000000002</v>
      </c>
    </row>
    <row r="528" spans="1:19" x14ac:dyDescent="0.3">
      <c r="A528" t="s">
        <v>638</v>
      </c>
      <c r="B528" s="1">
        <v>45307</v>
      </c>
      <c r="C528" t="s">
        <v>1837</v>
      </c>
      <c r="D528" t="s">
        <v>2405</v>
      </c>
      <c r="E528">
        <v>5</v>
      </c>
      <c r="F528">
        <v>341.96</v>
      </c>
      <c r="G528" t="s">
        <v>2710</v>
      </c>
      <c r="H528" t="s">
        <v>3065</v>
      </c>
      <c r="I528" t="s">
        <v>3073</v>
      </c>
      <c r="J528" t="s">
        <v>3699</v>
      </c>
      <c r="K528">
        <v>6</v>
      </c>
      <c r="L528" t="s">
        <v>4283</v>
      </c>
      <c r="M528" t="s">
        <v>4280</v>
      </c>
      <c r="N528" s="5">
        <v>1709.8</v>
      </c>
      <c r="O528" t="str">
        <f>IF(ABS(Table1[[#This Row],[TotalPrice]]-Table1[[#This Row],[Quantity]]*Table1[[#This Row],[UnitPrice]]) &lt;0.01, "ok",)</f>
        <v>ok</v>
      </c>
      <c r="P528" t="str">
        <f>PROPER(TRIM(Table1[[#This Row],[ShippingAddress]]))</f>
        <v>747 Main St</v>
      </c>
      <c r="Q528" t="str">
        <f>PROPER(TRIM((Table1[[#This Row],[PaymentMethod]])))</f>
        <v>Debit Card</v>
      </c>
      <c r="R528" t="str">
        <f>PROPER(TRIM(Table1[[#This Row],[ReferralSource]]))</f>
        <v>Email</v>
      </c>
      <c r="S528" s="5">
        <f>Table1[[#This Row],[TotalPrice]]/Table1[[#This Row],[ItemsInCart]]</f>
        <v>284.96666666666664</v>
      </c>
    </row>
    <row r="529" spans="1:19" x14ac:dyDescent="0.3">
      <c r="A529" t="s">
        <v>951</v>
      </c>
      <c r="B529" s="1">
        <v>45307</v>
      </c>
      <c r="C529" t="s">
        <v>2147</v>
      </c>
      <c r="D529" t="s">
        <v>2406</v>
      </c>
      <c r="E529">
        <v>2</v>
      </c>
      <c r="F529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>
        <v>5</v>
      </c>
      <c r="L529" t="s">
        <v>4277</v>
      </c>
      <c r="M529" t="s">
        <v>4280</v>
      </c>
      <c r="N529" s="5">
        <v>597.05999999999995</v>
      </c>
      <c r="O529" t="str">
        <f>IF(ABS(Table1[[#This Row],[TotalPrice]]-Table1[[#This Row],[Quantity]]*Table1[[#This Row],[UnitPrice]]) &lt;0.01, "ok",)</f>
        <v>ok</v>
      </c>
      <c r="P529" t="str">
        <f>PROPER(TRIM(Table1[[#This Row],[ShippingAddress]]))</f>
        <v>536 Main St</v>
      </c>
      <c r="Q529" t="str">
        <f>PROPER(TRIM((Table1[[#This Row],[PaymentMethod]])))</f>
        <v>Debit Card</v>
      </c>
      <c r="R529" t="str">
        <f>PROPER(TRIM(Table1[[#This Row],[ReferralSource]]))</f>
        <v>Email</v>
      </c>
      <c r="S529" s="5">
        <f>Table1[[#This Row],[TotalPrice]]/Table1[[#This Row],[ItemsInCart]]</f>
        <v>119.41199999999999</v>
      </c>
    </row>
    <row r="530" spans="1:19" x14ac:dyDescent="0.3">
      <c r="A530" t="s">
        <v>127</v>
      </c>
      <c r="B530" s="1">
        <v>45308</v>
      </c>
      <c r="C530" t="s">
        <v>1327</v>
      </c>
      <c r="D530" t="s">
        <v>2408</v>
      </c>
      <c r="E530">
        <v>5</v>
      </c>
      <c r="F530">
        <v>190.08</v>
      </c>
      <c r="G530" t="s">
        <v>2516</v>
      </c>
      <c r="H530" t="s">
        <v>3069</v>
      </c>
      <c r="I530" t="s">
        <v>3070</v>
      </c>
      <c r="J530" t="s">
        <v>3188</v>
      </c>
      <c r="K530">
        <v>9</v>
      </c>
      <c r="L530" t="s">
        <v>4276</v>
      </c>
      <c r="M530" t="s">
        <v>4278</v>
      </c>
      <c r="N530" s="5">
        <v>950.40000000000009</v>
      </c>
      <c r="O530" t="str">
        <f>IF(ABS(Table1[[#This Row],[TotalPrice]]-Table1[[#This Row],[Quantity]]*Table1[[#This Row],[UnitPrice]]) &lt;0.01, "ok",)</f>
        <v>ok</v>
      </c>
      <c r="P530" t="str">
        <f>PROPER(TRIM(Table1[[#This Row],[ShippingAddress]]))</f>
        <v>605 Main St</v>
      </c>
      <c r="Q530" t="str">
        <f>PROPER(TRIM((Table1[[#This Row],[PaymentMethod]])))</f>
        <v>Cash</v>
      </c>
      <c r="R530" t="str">
        <f>PROPER(TRIM(Table1[[#This Row],[ReferralSource]]))</f>
        <v>Instagram</v>
      </c>
      <c r="S530" s="5">
        <f>Table1[[#This Row],[TotalPrice]]/Table1[[#This Row],[ItemsInCart]]</f>
        <v>105.60000000000001</v>
      </c>
    </row>
    <row r="531" spans="1:19" x14ac:dyDescent="0.3">
      <c r="A531" t="s">
        <v>424</v>
      </c>
      <c r="B531" s="1">
        <v>45309</v>
      </c>
      <c r="C531" t="s">
        <v>1624</v>
      </c>
      <c r="D531" t="s">
        <v>2405</v>
      </c>
      <c r="E531">
        <v>2</v>
      </c>
      <c r="F531">
        <v>518.23</v>
      </c>
      <c r="G531" t="s">
        <v>2737</v>
      </c>
      <c r="H531" t="s">
        <v>3065</v>
      </c>
      <c r="I531" t="s">
        <v>3070</v>
      </c>
      <c r="J531" t="s">
        <v>3485</v>
      </c>
      <c r="K531">
        <v>5</v>
      </c>
      <c r="L531" t="s">
        <v>4283</v>
      </c>
      <c r="M531" t="s">
        <v>4280</v>
      </c>
      <c r="N531" s="5">
        <v>1036.46</v>
      </c>
      <c r="O531" t="str">
        <f>IF(ABS(Table1[[#This Row],[TotalPrice]]-Table1[[#This Row],[Quantity]]*Table1[[#This Row],[UnitPrice]]) &lt;0.01, "ok",)</f>
        <v>ok</v>
      </c>
      <c r="P531" t="str">
        <f>PROPER(TRIM(Table1[[#This Row],[ShippingAddress]]))</f>
        <v>184 Main St</v>
      </c>
      <c r="Q531" t="str">
        <f>PROPER(TRIM((Table1[[#This Row],[PaymentMethod]])))</f>
        <v>Debit Card</v>
      </c>
      <c r="R531" t="str">
        <f>PROPER(TRIM(Table1[[#This Row],[ReferralSource]]))</f>
        <v>Email</v>
      </c>
      <c r="S531" s="5">
        <f>Table1[[#This Row],[TotalPrice]]/Table1[[#This Row],[ItemsInCart]]</f>
        <v>207.292</v>
      </c>
    </row>
    <row r="532" spans="1:19" x14ac:dyDescent="0.3">
      <c r="A532" t="s">
        <v>670</v>
      </c>
      <c r="B532" s="1">
        <v>45309</v>
      </c>
      <c r="C532" t="s">
        <v>1869</v>
      </c>
      <c r="D532" t="s">
        <v>2403</v>
      </c>
      <c r="E532">
        <v>2</v>
      </c>
      <c r="F532">
        <v>189.06</v>
      </c>
      <c r="G532" t="s">
        <v>2862</v>
      </c>
      <c r="H532" t="s">
        <v>3068</v>
      </c>
      <c r="I532" t="s">
        <v>3070</v>
      </c>
      <c r="J532" t="s">
        <v>3731</v>
      </c>
      <c r="K532">
        <v>7</v>
      </c>
      <c r="L532" t="s">
        <v>4275</v>
      </c>
      <c r="M532" t="s">
        <v>4281</v>
      </c>
      <c r="N532" s="5">
        <v>378.12</v>
      </c>
      <c r="O532" t="str">
        <f>IF(ABS(Table1[[#This Row],[TotalPrice]]-Table1[[#This Row],[Quantity]]*Table1[[#This Row],[UnitPrice]]) &lt;0.01, "ok",)</f>
        <v>ok</v>
      </c>
      <c r="P532" t="str">
        <f>PROPER(TRIM(Table1[[#This Row],[ShippingAddress]]))</f>
        <v>835 Main St</v>
      </c>
      <c r="Q532" t="str">
        <f>PROPER(TRIM((Table1[[#This Row],[PaymentMethod]])))</f>
        <v>Gift Card</v>
      </c>
      <c r="R532" t="str">
        <f>PROPER(TRIM(Table1[[#This Row],[ReferralSource]]))</f>
        <v>Facebook</v>
      </c>
      <c r="S532" s="5">
        <f>Table1[[#This Row],[TotalPrice]]/Table1[[#This Row],[ItemsInCart]]</f>
        <v>54.017142857142858</v>
      </c>
    </row>
    <row r="533" spans="1:19" x14ac:dyDescent="0.3">
      <c r="A533" t="s">
        <v>313</v>
      </c>
      <c r="B533" s="1">
        <v>45311</v>
      </c>
      <c r="C533" t="s">
        <v>1513</v>
      </c>
      <c r="D533" t="s">
        <v>2403</v>
      </c>
      <c r="E533">
        <v>1</v>
      </c>
      <c r="F533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>
        <v>2</v>
      </c>
      <c r="L533" t="s">
        <v>4276</v>
      </c>
      <c r="M533" t="s">
        <v>4278</v>
      </c>
      <c r="N533" s="5">
        <v>278.66000000000003</v>
      </c>
      <c r="O533" t="str">
        <f>IF(ABS(Table1[[#This Row],[TotalPrice]]-Table1[[#This Row],[Quantity]]*Table1[[#This Row],[UnitPrice]]) &lt;0.01, "ok",)</f>
        <v>ok</v>
      </c>
      <c r="P533" t="str">
        <f>PROPER(TRIM(Table1[[#This Row],[ShippingAddress]]))</f>
        <v>856 Main St</v>
      </c>
      <c r="Q533" t="str">
        <f>PROPER(TRIM((Table1[[#This Row],[PaymentMethod]])))</f>
        <v>Gift Card</v>
      </c>
      <c r="R533" t="str">
        <f>PROPER(TRIM(Table1[[#This Row],[ReferralSource]]))</f>
        <v>Instagram</v>
      </c>
      <c r="S533" s="5">
        <f>Table1[[#This Row],[TotalPrice]]/Table1[[#This Row],[ItemsInCart]]</f>
        <v>139.33000000000001</v>
      </c>
    </row>
    <row r="534" spans="1:19" x14ac:dyDescent="0.3">
      <c r="A534" t="s">
        <v>733</v>
      </c>
      <c r="B534" s="1">
        <v>45312</v>
      </c>
      <c r="C534" t="s">
        <v>1930</v>
      </c>
      <c r="D534" t="s">
        <v>2408</v>
      </c>
      <c r="E534">
        <v>2</v>
      </c>
      <c r="F534">
        <v>681.06</v>
      </c>
      <c r="G534" t="s">
        <v>2891</v>
      </c>
      <c r="H534" t="s">
        <v>3065</v>
      </c>
      <c r="I534" t="s">
        <v>3070</v>
      </c>
      <c r="J534" t="s">
        <v>3794</v>
      </c>
      <c r="K534">
        <v>3</v>
      </c>
      <c r="L534" t="s">
        <v>4276</v>
      </c>
      <c r="M534" t="s">
        <v>4281</v>
      </c>
      <c r="N534" s="5">
        <v>1362.12</v>
      </c>
      <c r="O534" t="str">
        <f>IF(ABS(Table1[[#This Row],[TotalPrice]]-Table1[[#This Row],[Quantity]]*Table1[[#This Row],[UnitPrice]]) &lt;0.01, "ok",)</f>
        <v>ok</v>
      </c>
      <c r="P534" t="str">
        <f>PROPER(TRIM(Table1[[#This Row],[ShippingAddress]]))</f>
        <v>703 Main St</v>
      </c>
      <c r="Q534" t="str">
        <f>PROPER(TRIM((Table1[[#This Row],[PaymentMethod]])))</f>
        <v>Debit Card</v>
      </c>
      <c r="R534" t="str">
        <f>PROPER(TRIM(Table1[[#This Row],[ReferralSource]]))</f>
        <v>Facebook</v>
      </c>
      <c r="S534" s="5">
        <f>Table1[[#This Row],[TotalPrice]]/Table1[[#This Row],[ItemsInCart]]</f>
        <v>454.03999999999996</v>
      </c>
    </row>
    <row r="535" spans="1:19" x14ac:dyDescent="0.3">
      <c r="A535" t="s">
        <v>926</v>
      </c>
      <c r="B535" s="1">
        <v>45313</v>
      </c>
      <c r="C535" t="s">
        <v>2122</v>
      </c>
      <c r="D535" t="s">
        <v>2409</v>
      </c>
      <c r="E535">
        <v>2</v>
      </c>
      <c r="F535">
        <v>139.69</v>
      </c>
      <c r="G535" t="s">
        <v>2492</v>
      </c>
      <c r="H535" t="s">
        <v>3066</v>
      </c>
      <c r="I535" t="s">
        <v>3072</v>
      </c>
      <c r="J535" t="s">
        <v>3987</v>
      </c>
      <c r="K535">
        <v>7</v>
      </c>
      <c r="L535" t="s">
        <v>4276</v>
      </c>
      <c r="M535" t="s">
        <v>4280</v>
      </c>
      <c r="N535" s="5">
        <v>279.38</v>
      </c>
      <c r="O535" t="str">
        <f>IF(ABS(Table1[[#This Row],[TotalPrice]]-Table1[[#This Row],[Quantity]]*Table1[[#This Row],[UnitPrice]]) &lt;0.01, "ok",)</f>
        <v>ok</v>
      </c>
      <c r="P535" t="str">
        <f>PROPER(TRIM(Table1[[#This Row],[ShippingAddress]]))</f>
        <v>318 Main St</v>
      </c>
      <c r="Q535" t="str">
        <f>PROPER(TRIM((Table1[[#This Row],[PaymentMethod]])))</f>
        <v>Online</v>
      </c>
      <c r="R535" t="str">
        <f>PROPER(TRIM(Table1[[#This Row],[ReferralSource]]))</f>
        <v>Email</v>
      </c>
      <c r="S535" s="5">
        <f>Table1[[#This Row],[TotalPrice]]/Table1[[#This Row],[ItemsInCart]]</f>
        <v>39.911428571428573</v>
      </c>
    </row>
    <row r="536" spans="1:19" x14ac:dyDescent="0.3">
      <c r="A536" t="s">
        <v>748</v>
      </c>
      <c r="B536" s="1">
        <v>45314</v>
      </c>
      <c r="C536" t="s">
        <v>1945</v>
      </c>
      <c r="D536" t="s">
        <v>2407</v>
      </c>
      <c r="E536">
        <v>4</v>
      </c>
      <c r="F536">
        <v>224.61</v>
      </c>
      <c r="G536" t="s">
        <v>2655</v>
      </c>
      <c r="H536" t="s">
        <v>3067</v>
      </c>
      <c r="I536" t="s">
        <v>3072</v>
      </c>
      <c r="J536" t="s">
        <v>3809</v>
      </c>
      <c r="K536">
        <v>6</v>
      </c>
      <c r="L536" t="s">
        <v>4277</v>
      </c>
      <c r="M536" t="s">
        <v>4281</v>
      </c>
      <c r="N536" s="5">
        <v>898.44</v>
      </c>
      <c r="O536" t="str">
        <f>IF(ABS(Table1[[#This Row],[TotalPrice]]-Table1[[#This Row],[Quantity]]*Table1[[#This Row],[UnitPrice]]) &lt;0.01, "ok",)</f>
        <v>ok</v>
      </c>
      <c r="P536" t="str">
        <f>PROPER(TRIM(Table1[[#This Row],[ShippingAddress]]))</f>
        <v>630 Main St</v>
      </c>
      <c r="Q536" t="str">
        <f>PROPER(TRIM((Table1[[#This Row],[PaymentMethod]])))</f>
        <v>Credit Card</v>
      </c>
      <c r="R536" t="str">
        <f>PROPER(TRIM(Table1[[#This Row],[ReferralSource]]))</f>
        <v>Facebook</v>
      </c>
      <c r="S536" s="5">
        <f>Table1[[#This Row],[TotalPrice]]/Table1[[#This Row],[ItemsInCart]]</f>
        <v>149.74</v>
      </c>
    </row>
    <row r="537" spans="1:19" x14ac:dyDescent="0.3">
      <c r="A537" t="s">
        <v>874</v>
      </c>
      <c r="B537" s="1">
        <v>45314</v>
      </c>
      <c r="C537" t="s">
        <v>2070</v>
      </c>
      <c r="D537" t="s">
        <v>2407</v>
      </c>
      <c r="E537">
        <v>1</v>
      </c>
      <c r="F537">
        <v>422.54</v>
      </c>
      <c r="G537" t="s">
        <v>2699</v>
      </c>
      <c r="H537" t="s">
        <v>3069</v>
      </c>
      <c r="I537" t="s">
        <v>3073</v>
      </c>
      <c r="J537" t="s">
        <v>3935</v>
      </c>
      <c r="K537">
        <v>1</v>
      </c>
      <c r="L537" t="s">
        <v>4275</v>
      </c>
      <c r="M537" t="s">
        <v>4282</v>
      </c>
      <c r="N537" s="5">
        <v>422.54</v>
      </c>
      <c r="O537" t="str">
        <f>IF(ABS(Table1[[#This Row],[TotalPrice]]-Table1[[#This Row],[Quantity]]*Table1[[#This Row],[UnitPrice]]) &lt;0.01, "ok",)</f>
        <v>ok</v>
      </c>
      <c r="P537" t="str">
        <f>PROPER(TRIM(Table1[[#This Row],[ShippingAddress]]))</f>
        <v>876 Main St</v>
      </c>
      <c r="Q537" t="str">
        <f>PROPER(TRIM((Table1[[#This Row],[PaymentMethod]])))</f>
        <v>Cash</v>
      </c>
      <c r="R537" t="str">
        <f>PROPER(TRIM(Table1[[#This Row],[ReferralSource]]))</f>
        <v>Google</v>
      </c>
      <c r="S537" s="5">
        <f>Table1[[#This Row],[TotalPrice]]/Table1[[#This Row],[ItemsInCart]]</f>
        <v>422.54</v>
      </c>
    </row>
    <row r="538" spans="1:19" x14ac:dyDescent="0.3">
      <c r="A538" t="s">
        <v>588</v>
      </c>
      <c r="B538" s="1">
        <v>45315</v>
      </c>
      <c r="C538" t="s">
        <v>1788</v>
      </c>
      <c r="D538" t="s">
        <v>2406</v>
      </c>
      <c r="E538">
        <v>5</v>
      </c>
      <c r="F538">
        <v>384.69</v>
      </c>
      <c r="G538" t="s">
        <v>2413</v>
      </c>
      <c r="H538" t="s">
        <v>3067</v>
      </c>
      <c r="I538" t="s">
        <v>3074</v>
      </c>
      <c r="J538" t="s">
        <v>3649</v>
      </c>
      <c r="K538">
        <v>6</v>
      </c>
      <c r="L538" t="s">
        <v>4276</v>
      </c>
      <c r="M538" t="s">
        <v>4280</v>
      </c>
      <c r="N538" s="5">
        <v>1923.45</v>
      </c>
      <c r="O538" t="str">
        <f>IF(ABS(Table1[[#This Row],[TotalPrice]]-Table1[[#This Row],[Quantity]]*Table1[[#This Row],[UnitPrice]]) &lt;0.01, "ok",)</f>
        <v>ok</v>
      </c>
      <c r="P538" t="str">
        <f>PROPER(TRIM(Table1[[#This Row],[ShippingAddress]]))</f>
        <v>275 Main St</v>
      </c>
      <c r="Q538" t="str">
        <f>PROPER(TRIM((Table1[[#This Row],[PaymentMethod]])))</f>
        <v>Credit Card</v>
      </c>
      <c r="R538" t="str">
        <f>PROPER(TRIM(Table1[[#This Row],[ReferralSource]]))</f>
        <v>Email</v>
      </c>
      <c r="S538" s="5">
        <f>Table1[[#This Row],[TotalPrice]]/Table1[[#This Row],[ItemsInCart]]</f>
        <v>320.57499999999999</v>
      </c>
    </row>
    <row r="539" spans="1:19" x14ac:dyDescent="0.3">
      <c r="A539" t="s">
        <v>826</v>
      </c>
      <c r="B539" s="1">
        <v>45317</v>
      </c>
      <c r="C539" t="s">
        <v>2022</v>
      </c>
      <c r="D539" t="s">
        <v>2404</v>
      </c>
      <c r="E539">
        <v>2</v>
      </c>
      <c r="F539">
        <v>255.26</v>
      </c>
      <c r="G539" t="s">
        <v>2638</v>
      </c>
      <c r="H539" t="s">
        <v>3067</v>
      </c>
      <c r="I539" t="s">
        <v>3071</v>
      </c>
      <c r="J539" t="s">
        <v>3887</v>
      </c>
      <c r="K539">
        <v>6</v>
      </c>
      <c r="L539" t="s">
        <v>4276</v>
      </c>
      <c r="M539" t="s">
        <v>4282</v>
      </c>
      <c r="N539" s="5">
        <v>510.52</v>
      </c>
      <c r="O539" t="str">
        <f>IF(ABS(Table1[[#This Row],[TotalPrice]]-Table1[[#This Row],[Quantity]]*Table1[[#This Row],[UnitPrice]]) &lt;0.01, "ok",)</f>
        <v>ok</v>
      </c>
      <c r="P539" t="str">
        <f>PROPER(TRIM(Table1[[#This Row],[ShippingAddress]]))</f>
        <v>803 Main St</v>
      </c>
      <c r="Q539" t="str">
        <f>PROPER(TRIM((Table1[[#This Row],[PaymentMethod]])))</f>
        <v>Credit Card</v>
      </c>
      <c r="R539" t="str">
        <f>PROPER(TRIM(Table1[[#This Row],[ReferralSource]]))</f>
        <v>Google</v>
      </c>
      <c r="S539" s="5">
        <f>Table1[[#This Row],[TotalPrice]]/Table1[[#This Row],[ItemsInCart]]</f>
        <v>85.086666666666659</v>
      </c>
    </row>
    <row r="540" spans="1:19" x14ac:dyDescent="0.3">
      <c r="A540" t="s">
        <v>1029</v>
      </c>
      <c r="B540" s="1">
        <v>45317</v>
      </c>
      <c r="C540" t="s">
        <v>2221</v>
      </c>
      <c r="D540" t="s">
        <v>2407</v>
      </c>
      <c r="E540">
        <v>2</v>
      </c>
      <c r="F540">
        <v>349.4</v>
      </c>
      <c r="G540" t="s">
        <v>2838</v>
      </c>
      <c r="H540" t="s">
        <v>3066</v>
      </c>
      <c r="I540" t="s">
        <v>3070</v>
      </c>
      <c r="J540" t="s">
        <v>4090</v>
      </c>
      <c r="K540">
        <v>2</v>
      </c>
      <c r="L540" t="s">
        <v>4275</v>
      </c>
      <c r="M540" t="s">
        <v>4278</v>
      </c>
      <c r="N540" s="5">
        <v>698.8</v>
      </c>
      <c r="O540" t="str">
        <f>IF(ABS(Table1[[#This Row],[TotalPrice]]-Table1[[#This Row],[Quantity]]*Table1[[#This Row],[UnitPrice]]) &lt;0.01, "ok",)</f>
        <v>ok</v>
      </c>
      <c r="P540" t="str">
        <f>PROPER(TRIM(Table1[[#This Row],[ShippingAddress]]))</f>
        <v>892 Main St</v>
      </c>
      <c r="Q540" t="str">
        <f>PROPER(TRIM((Table1[[#This Row],[PaymentMethod]])))</f>
        <v>Online</v>
      </c>
      <c r="R540" t="str">
        <f>PROPER(TRIM(Table1[[#This Row],[ReferralSource]]))</f>
        <v>Instagram</v>
      </c>
      <c r="S540" s="5">
        <f>Table1[[#This Row],[TotalPrice]]/Table1[[#This Row],[ItemsInCart]]</f>
        <v>349.4</v>
      </c>
    </row>
    <row r="541" spans="1:19" x14ac:dyDescent="0.3">
      <c r="A541" t="s">
        <v>554</v>
      </c>
      <c r="B541" s="1">
        <v>45320</v>
      </c>
      <c r="C541" t="s">
        <v>1754</v>
      </c>
      <c r="D541" t="s">
        <v>2408</v>
      </c>
      <c r="E541">
        <v>5</v>
      </c>
      <c r="F541">
        <v>648.65</v>
      </c>
      <c r="G541" t="s">
        <v>2811</v>
      </c>
      <c r="H541" t="s">
        <v>3066</v>
      </c>
      <c r="I541" t="s">
        <v>3074</v>
      </c>
      <c r="J541" t="s">
        <v>3615</v>
      </c>
      <c r="K541">
        <v>7</v>
      </c>
      <c r="L541" t="s">
        <v>4283</v>
      </c>
      <c r="M541" t="s">
        <v>4279</v>
      </c>
      <c r="N541" s="5">
        <v>3243.25</v>
      </c>
      <c r="O541" t="str">
        <f>IF(ABS(Table1[[#This Row],[TotalPrice]]-Table1[[#This Row],[Quantity]]*Table1[[#This Row],[UnitPrice]]) &lt;0.01, "ok",)</f>
        <v>ok</v>
      </c>
      <c r="P541" t="str">
        <f>PROPER(TRIM(Table1[[#This Row],[ShippingAddress]]))</f>
        <v>852 Main St</v>
      </c>
      <c r="Q541" t="str">
        <f>PROPER(TRIM((Table1[[#This Row],[PaymentMethod]])))</f>
        <v>Online</v>
      </c>
      <c r="R541" t="str">
        <f>PROPER(TRIM(Table1[[#This Row],[ReferralSource]]))</f>
        <v>Referral</v>
      </c>
      <c r="S541" s="5">
        <f>Table1[[#This Row],[TotalPrice]]/Table1[[#This Row],[ItemsInCart]]</f>
        <v>463.32142857142856</v>
      </c>
    </row>
    <row r="542" spans="1:19" x14ac:dyDescent="0.3">
      <c r="A542" t="s">
        <v>1038</v>
      </c>
      <c r="B542" s="1">
        <v>45320</v>
      </c>
      <c r="C542" t="s">
        <v>2230</v>
      </c>
      <c r="D542" t="s">
        <v>2406</v>
      </c>
      <c r="E542">
        <v>3</v>
      </c>
      <c r="F542">
        <v>367.75</v>
      </c>
      <c r="G542" t="s">
        <v>2769</v>
      </c>
      <c r="H542" t="s">
        <v>3069</v>
      </c>
      <c r="I542" t="s">
        <v>3074</v>
      </c>
      <c r="J542" t="s">
        <v>4099</v>
      </c>
      <c r="K542">
        <v>7</v>
      </c>
      <c r="L542" t="s">
        <v>4276</v>
      </c>
      <c r="M542" t="s">
        <v>4281</v>
      </c>
      <c r="N542" s="5">
        <v>1103.25</v>
      </c>
      <c r="O542" t="str">
        <f>IF(ABS(Table1[[#This Row],[TotalPrice]]-Table1[[#This Row],[Quantity]]*Table1[[#This Row],[UnitPrice]]) &lt;0.01, "ok",)</f>
        <v>ok</v>
      </c>
      <c r="P542" t="str">
        <f>PROPER(TRIM(Table1[[#This Row],[ShippingAddress]]))</f>
        <v>731 Main St</v>
      </c>
      <c r="Q542" t="str">
        <f>PROPER(TRIM((Table1[[#This Row],[PaymentMethod]])))</f>
        <v>Cash</v>
      </c>
      <c r="R542" t="str">
        <f>PROPER(TRIM(Table1[[#This Row],[ReferralSource]]))</f>
        <v>Facebook</v>
      </c>
      <c r="S542" s="5">
        <f>Table1[[#This Row],[TotalPrice]]/Table1[[#This Row],[ItemsInCart]]</f>
        <v>157.60714285714286</v>
      </c>
    </row>
    <row r="543" spans="1:19" x14ac:dyDescent="0.3">
      <c r="A543" t="s">
        <v>695</v>
      </c>
      <c r="B543" s="1">
        <v>45321</v>
      </c>
      <c r="C543" t="s">
        <v>1893</v>
      </c>
      <c r="D543" t="s">
        <v>2405</v>
      </c>
      <c r="E543">
        <v>1</v>
      </c>
      <c r="F543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>
        <v>6</v>
      </c>
      <c r="L543" t="s">
        <v>4283</v>
      </c>
      <c r="M543" t="s">
        <v>4280</v>
      </c>
      <c r="N543" s="5">
        <v>155.27000000000001</v>
      </c>
      <c r="O543" t="str">
        <f>IF(ABS(Table1[[#This Row],[TotalPrice]]-Table1[[#This Row],[Quantity]]*Table1[[#This Row],[UnitPrice]]) &lt;0.01, "ok",)</f>
        <v>ok</v>
      </c>
      <c r="P543" t="str">
        <f>PROPER(TRIM(Table1[[#This Row],[ShippingAddress]]))</f>
        <v>548 Main St</v>
      </c>
      <c r="Q543" t="str">
        <f>PROPER(TRIM((Table1[[#This Row],[PaymentMethod]])))</f>
        <v>Debit Card</v>
      </c>
      <c r="R543" t="str">
        <f>PROPER(TRIM(Table1[[#This Row],[ReferralSource]]))</f>
        <v>Email</v>
      </c>
      <c r="S543" s="5">
        <f>Table1[[#This Row],[TotalPrice]]/Table1[[#This Row],[ItemsInCart]]</f>
        <v>25.878333333333334</v>
      </c>
    </row>
    <row r="544" spans="1:19" x14ac:dyDescent="0.3">
      <c r="A544" t="s">
        <v>392</v>
      </c>
      <c r="B544" s="1">
        <v>45323</v>
      </c>
      <c r="C544" t="s">
        <v>1592</v>
      </c>
      <c r="D544" t="s">
        <v>2406</v>
      </c>
      <c r="E544">
        <v>5</v>
      </c>
      <c r="F544">
        <v>64.5</v>
      </c>
      <c r="G544" t="s">
        <v>2723</v>
      </c>
      <c r="H544" t="s">
        <v>3067</v>
      </c>
      <c r="I544" t="s">
        <v>3074</v>
      </c>
      <c r="J544" t="s">
        <v>3453</v>
      </c>
      <c r="K544">
        <v>8</v>
      </c>
      <c r="L544" t="s">
        <v>4277</v>
      </c>
      <c r="M544" t="s">
        <v>4278</v>
      </c>
      <c r="N544" s="5">
        <v>322.5</v>
      </c>
      <c r="O544" t="str">
        <f>IF(ABS(Table1[[#This Row],[TotalPrice]]-Table1[[#This Row],[Quantity]]*Table1[[#This Row],[UnitPrice]]) &lt;0.01, "ok",)</f>
        <v>ok</v>
      </c>
      <c r="P544" t="str">
        <f>PROPER(TRIM(Table1[[#This Row],[ShippingAddress]]))</f>
        <v>148 Main St</v>
      </c>
      <c r="Q544" t="str">
        <f>PROPER(TRIM((Table1[[#This Row],[PaymentMethod]])))</f>
        <v>Credit Card</v>
      </c>
      <c r="R544" t="str">
        <f>PROPER(TRIM(Table1[[#This Row],[ReferralSource]]))</f>
        <v>Instagram</v>
      </c>
      <c r="S544" s="5">
        <f>Table1[[#This Row],[TotalPrice]]/Table1[[#This Row],[ItemsInCart]]</f>
        <v>40.3125</v>
      </c>
    </row>
    <row r="545" spans="1:19" x14ac:dyDescent="0.3">
      <c r="A545" t="s">
        <v>361</v>
      </c>
      <c r="B545" s="1">
        <v>45325</v>
      </c>
      <c r="C545" t="s">
        <v>1561</v>
      </c>
      <c r="D545" t="s">
        <v>2407</v>
      </c>
      <c r="E545">
        <v>4</v>
      </c>
      <c r="F545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>
        <v>5</v>
      </c>
      <c r="L545" t="s">
        <v>4275</v>
      </c>
      <c r="M545" t="s">
        <v>4282</v>
      </c>
      <c r="N545" s="5">
        <v>1059.1600000000001</v>
      </c>
      <c r="O545" t="str">
        <f>IF(ABS(Table1[[#This Row],[TotalPrice]]-Table1[[#This Row],[Quantity]]*Table1[[#This Row],[UnitPrice]]) &lt;0.01, "ok",)</f>
        <v>ok</v>
      </c>
      <c r="P545" t="str">
        <f>PROPER(TRIM(Table1[[#This Row],[ShippingAddress]]))</f>
        <v>380 Main St</v>
      </c>
      <c r="Q545" t="str">
        <f>PROPER(TRIM((Table1[[#This Row],[PaymentMethod]])))</f>
        <v>Credit Card</v>
      </c>
      <c r="R545" t="str">
        <f>PROPER(TRIM(Table1[[#This Row],[ReferralSource]]))</f>
        <v>Google</v>
      </c>
      <c r="S545" s="5">
        <f>Table1[[#This Row],[TotalPrice]]/Table1[[#This Row],[ItemsInCart]]</f>
        <v>211.83200000000002</v>
      </c>
    </row>
    <row r="546" spans="1:19" x14ac:dyDescent="0.3">
      <c r="A546" t="s">
        <v>515</v>
      </c>
      <c r="B546" s="1">
        <v>45326</v>
      </c>
      <c r="C546" t="s">
        <v>1715</v>
      </c>
      <c r="D546" t="s">
        <v>2409</v>
      </c>
      <c r="E546">
        <v>4</v>
      </c>
      <c r="F546">
        <v>203.46</v>
      </c>
      <c r="G546" t="s">
        <v>2559</v>
      </c>
      <c r="H546" t="s">
        <v>3067</v>
      </c>
      <c r="I546" t="s">
        <v>3074</v>
      </c>
      <c r="J546" t="s">
        <v>3576</v>
      </c>
      <c r="K546">
        <v>7</v>
      </c>
      <c r="L546" t="s">
        <v>4275</v>
      </c>
      <c r="M546" t="s">
        <v>4279</v>
      </c>
      <c r="N546" s="5">
        <v>813.84</v>
      </c>
      <c r="O546" t="str">
        <f>IF(ABS(Table1[[#This Row],[TotalPrice]]-Table1[[#This Row],[Quantity]]*Table1[[#This Row],[UnitPrice]]) &lt;0.01, "ok",)</f>
        <v>ok</v>
      </c>
      <c r="P546" t="str">
        <f>PROPER(TRIM(Table1[[#This Row],[ShippingAddress]]))</f>
        <v>226 Main St</v>
      </c>
      <c r="Q546" t="str">
        <f>PROPER(TRIM((Table1[[#This Row],[PaymentMethod]])))</f>
        <v>Credit Card</v>
      </c>
      <c r="R546" t="str">
        <f>PROPER(TRIM(Table1[[#This Row],[ReferralSource]]))</f>
        <v>Referral</v>
      </c>
      <c r="S546" s="5">
        <f>Table1[[#This Row],[TotalPrice]]/Table1[[#This Row],[ItemsInCart]]</f>
        <v>116.26285714285714</v>
      </c>
    </row>
    <row r="547" spans="1:19" x14ac:dyDescent="0.3">
      <c r="A547" t="s">
        <v>1028</v>
      </c>
      <c r="B547" s="1">
        <v>45326</v>
      </c>
      <c r="C547" t="s">
        <v>2220</v>
      </c>
      <c r="D547" t="s">
        <v>2405</v>
      </c>
      <c r="E547">
        <v>5</v>
      </c>
      <c r="F547">
        <v>226.45</v>
      </c>
      <c r="G547" t="s">
        <v>2762</v>
      </c>
      <c r="H547" t="s">
        <v>3065</v>
      </c>
      <c r="I547" t="s">
        <v>3072</v>
      </c>
      <c r="J547" t="s">
        <v>4089</v>
      </c>
      <c r="K547">
        <v>6</v>
      </c>
      <c r="L547" t="s">
        <v>4276</v>
      </c>
      <c r="M547" t="s">
        <v>4280</v>
      </c>
      <c r="N547" s="5">
        <v>1132.25</v>
      </c>
      <c r="O547" t="str">
        <f>IF(ABS(Table1[[#This Row],[TotalPrice]]-Table1[[#This Row],[Quantity]]*Table1[[#This Row],[UnitPrice]]) &lt;0.01, "ok",)</f>
        <v>ok</v>
      </c>
      <c r="P547" t="str">
        <f>PROPER(TRIM(Table1[[#This Row],[ShippingAddress]]))</f>
        <v>160 Main St</v>
      </c>
      <c r="Q547" t="str">
        <f>PROPER(TRIM((Table1[[#This Row],[PaymentMethod]])))</f>
        <v>Debit Card</v>
      </c>
      <c r="R547" t="str">
        <f>PROPER(TRIM(Table1[[#This Row],[ReferralSource]]))</f>
        <v>Email</v>
      </c>
      <c r="S547" s="5">
        <f>Table1[[#This Row],[TotalPrice]]/Table1[[#This Row],[ItemsInCart]]</f>
        <v>188.70833333333334</v>
      </c>
    </row>
    <row r="548" spans="1:19" x14ac:dyDescent="0.3">
      <c r="A548" t="s">
        <v>263</v>
      </c>
      <c r="B548" s="1">
        <v>45329</v>
      </c>
      <c r="C548" t="s">
        <v>1463</v>
      </c>
      <c r="D548" t="s">
        <v>2407</v>
      </c>
      <c r="E548">
        <v>1</v>
      </c>
      <c r="F548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>
        <v>5</v>
      </c>
      <c r="L548" t="s">
        <v>4276</v>
      </c>
      <c r="M548" t="s">
        <v>4279</v>
      </c>
      <c r="N548" s="5">
        <v>546.19000000000005</v>
      </c>
      <c r="O548" t="str">
        <f>IF(ABS(Table1[[#This Row],[TotalPrice]]-Table1[[#This Row],[Quantity]]*Table1[[#This Row],[UnitPrice]]) &lt;0.01, "ok",)</f>
        <v>ok</v>
      </c>
      <c r="P548" t="str">
        <f>PROPER(TRIM(Table1[[#This Row],[ShippingAddress]]))</f>
        <v>245 Main St</v>
      </c>
      <c r="Q548" t="str">
        <f>PROPER(TRIM((Table1[[#This Row],[PaymentMethod]])))</f>
        <v>Cash</v>
      </c>
      <c r="R548" t="str">
        <f>PROPER(TRIM(Table1[[#This Row],[ReferralSource]]))</f>
        <v>Referral</v>
      </c>
      <c r="S548" s="5">
        <f>Table1[[#This Row],[TotalPrice]]/Table1[[#This Row],[ItemsInCart]]</f>
        <v>109.23800000000001</v>
      </c>
    </row>
    <row r="549" spans="1:19" x14ac:dyDescent="0.3">
      <c r="A549" t="s">
        <v>631</v>
      </c>
      <c r="B549" s="1">
        <v>45330</v>
      </c>
      <c r="C549" t="s">
        <v>1830</v>
      </c>
      <c r="D549" t="s">
        <v>2405</v>
      </c>
      <c r="E549">
        <v>3</v>
      </c>
      <c r="F549">
        <v>184.47</v>
      </c>
      <c r="G549" t="s">
        <v>2844</v>
      </c>
      <c r="H549" t="s">
        <v>3066</v>
      </c>
      <c r="I549" t="s">
        <v>3071</v>
      </c>
      <c r="J549" t="s">
        <v>3692</v>
      </c>
      <c r="K549">
        <v>4</v>
      </c>
      <c r="L549" t="s">
        <v>4283</v>
      </c>
      <c r="M549" t="s">
        <v>4279</v>
      </c>
      <c r="N549" s="5">
        <v>553.41</v>
      </c>
      <c r="O549" t="str">
        <f>IF(ABS(Table1[[#This Row],[TotalPrice]]-Table1[[#This Row],[Quantity]]*Table1[[#This Row],[UnitPrice]]) &lt;0.01, "ok",)</f>
        <v>ok</v>
      </c>
      <c r="P549" t="str">
        <f>PROPER(TRIM(Table1[[#This Row],[ShippingAddress]]))</f>
        <v>834 Main St</v>
      </c>
      <c r="Q549" t="str">
        <f>PROPER(TRIM((Table1[[#This Row],[PaymentMethod]])))</f>
        <v>Online</v>
      </c>
      <c r="R549" t="str">
        <f>PROPER(TRIM(Table1[[#This Row],[ReferralSource]]))</f>
        <v>Referral</v>
      </c>
      <c r="S549" s="5">
        <f>Table1[[#This Row],[TotalPrice]]/Table1[[#This Row],[ItemsInCart]]</f>
        <v>138.35249999999999</v>
      </c>
    </row>
    <row r="550" spans="1:19" x14ac:dyDescent="0.3">
      <c r="A550" t="s">
        <v>982</v>
      </c>
      <c r="B550" s="1">
        <v>45330</v>
      </c>
      <c r="C550" t="s">
        <v>2175</v>
      </c>
      <c r="D550" t="s">
        <v>2403</v>
      </c>
      <c r="E550">
        <v>4</v>
      </c>
      <c r="F550">
        <v>412.2</v>
      </c>
      <c r="G550" t="s">
        <v>2943</v>
      </c>
      <c r="H550" t="s">
        <v>3067</v>
      </c>
      <c r="I550" t="s">
        <v>3070</v>
      </c>
      <c r="J550" t="s">
        <v>4043</v>
      </c>
      <c r="K550">
        <v>6</v>
      </c>
      <c r="L550" t="s">
        <v>4277</v>
      </c>
      <c r="M550" t="s">
        <v>4279</v>
      </c>
      <c r="N550" s="5">
        <v>1648.8</v>
      </c>
      <c r="O550" t="str">
        <f>IF(ABS(Table1[[#This Row],[TotalPrice]]-Table1[[#This Row],[Quantity]]*Table1[[#This Row],[UnitPrice]]) &lt;0.01, "ok",)</f>
        <v>ok</v>
      </c>
      <c r="P550" t="str">
        <f>PROPER(TRIM(Table1[[#This Row],[ShippingAddress]]))</f>
        <v>664 Main St</v>
      </c>
      <c r="Q550" t="str">
        <f>PROPER(TRIM((Table1[[#This Row],[PaymentMethod]])))</f>
        <v>Credit Card</v>
      </c>
      <c r="R550" t="str">
        <f>PROPER(TRIM(Table1[[#This Row],[ReferralSource]]))</f>
        <v>Referral</v>
      </c>
      <c r="S550" s="5">
        <f>Table1[[#This Row],[TotalPrice]]/Table1[[#This Row],[ItemsInCart]]</f>
        <v>274.8</v>
      </c>
    </row>
    <row r="551" spans="1:19" x14ac:dyDescent="0.3">
      <c r="A551" t="s">
        <v>750</v>
      </c>
      <c r="B551" s="1">
        <v>45331</v>
      </c>
      <c r="C551" t="s">
        <v>1947</v>
      </c>
      <c r="D551" t="s">
        <v>2403</v>
      </c>
      <c r="E551">
        <v>5</v>
      </c>
      <c r="F551">
        <v>418.53</v>
      </c>
      <c r="G551" t="s">
        <v>2796</v>
      </c>
      <c r="H551" t="s">
        <v>3067</v>
      </c>
      <c r="I551" t="s">
        <v>3074</v>
      </c>
      <c r="J551" t="s">
        <v>3811</v>
      </c>
      <c r="K551">
        <v>6</v>
      </c>
      <c r="L551" t="s">
        <v>4276</v>
      </c>
      <c r="M551" t="s">
        <v>4282</v>
      </c>
      <c r="N551" s="5">
        <v>2092.65</v>
      </c>
      <c r="O551" t="str">
        <f>IF(ABS(Table1[[#This Row],[TotalPrice]]-Table1[[#This Row],[Quantity]]*Table1[[#This Row],[UnitPrice]]) &lt;0.01, "ok",)</f>
        <v>ok</v>
      </c>
      <c r="P551" t="str">
        <f>PROPER(TRIM(Table1[[#This Row],[ShippingAddress]]))</f>
        <v>696 Main St</v>
      </c>
      <c r="Q551" t="str">
        <f>PROPER(TRIM((Table1[[#This Row],[PaymentMethod]])))</f>
        <v>Credit Card</v>
      </c>
      <c r="R551" t="str">
        <f>PROPER(TRIM(Table1[[#This Row],[ReferralSource]]))</f>
        <v>Google</v>
      </c>
      <c r="S551" s="5">
        <f>Table1[[#This Row],[TotalPrice]]/Table1[[#This Row],[ItemsInCart]]</f>
        <v>348.77500000000003</v>
      </c>
    </row>
    <row r="552" spans="1:19" x14ac:dyDescent="0.3">
      <c r="A552" t="s">
        <v>59</v>
      </c>
      <c r="B552" s="1">
        <v>45332</v>
      </c>
      <c r="C552" t="s">
        <v>1259</v>
      </c>
      <c r="D552" t="s">
        <v>2406</v>
      </c>
      <c r="E552">
        <v>1</v>
      </c>
      <c r="F552">
        <v>317.25</v>
      </c>
      <c r="G552" t="s">
        <v>2453</v>
      </c>
      <c r="H552" t="s">
        <v>3065</v>
      </c>
      <c r="I552" t="s">
        <v>3072</v>
      </c>
      <c r="J552" t="s">
        <v>3120</v>
      </c>
      <c r="K552">
        <v>1</v>
      </c>
      <c r="L552" t="s">
        <v>4275</v>
      </c>
      <c r="M552" t="s">
        <v>4281</v>
      </c>
      <c r="N552" s="5">
        <v>317.25</v>
      </c>
      <c r="O552" t="str">
        <f>IF(ABS(Table1[[#This Row],[TotalPrice]]-Table1[[#This Row],[Quantity]]*Table1[[#This Row],[UnitPrice]]) &lt;0.01, "ok",)</f>
        <v>ok</v>
      </c>
      <c r="P552" t="str">
        <f>PROPER(TRIM(Table1[[#This Row],[ShippingAddress]]))</f>
        <v>157 Main St</v>
      </c>
      <c r="Q552" t="str">
        <f>PROPER(TRIM((Table1[[#This Row],[PaymentMethod]])))</f>
        <v>Debit Card</v>
      </c>
      <c r="R552" t="str">
        <f>PROPER(TRIM(Table1[[#This Row],[ReferralSource]]))</f>
        <v>Facebook</v>
      </c>
      <c r="S552" s="5">
        <f>Table1[[#This Row],[TotalPrice]]/Table1[[#This Row],[ItemsInCart]]</f>
        <v>317.25</v>
      </c>
    </row>
    <row r="553" spans="1:19" x14ac:dyDescent="0.3">
      <c r="A553" t="s">
        <v>784</v>
      </c>
      <c r="B553" s="1">
        <v>45333</v>
      </c>
      <c r="C553" t="s">
        <v>1981</v>
      </c>
      <c r="D553" t="s">
        <v>2409</v>
      </c>
      <c r="E553">
        <v>1</v>
      </c>
      <c r="F553">
        <v>314.38</v>
      </c>
      <c r="G553" t="s">
        <v>2757</v>
      </c>
      <c r="H553" t="s">
        <v>3066</v>
      </c>
      <c r="I553" t="s">
        <v>3072</v>
      </c>
      <c r="J553" t="s">
        <v>3845</v>
      </c>
      <c r="K553">
        <v>6</v>
      </c>
      <c r="L553" t="s">
        <v>4283</v>
      </c>
      <c r="M553" t="s">
        <v>4282</v>
      </c>
      <c r="N553" s="5">
        <v>314.38</v>
      </c>
      <c r="O553" t="str">
        <f>IF(ABS(Table1[[#This Row],[TotalPrice]]-Table1[[#This Row],[Quantity]]*Table1[[#This Row],[UnitPrice]]) &lt;0.01, "ok",)</f>
        <v>ok</v>
      </c>
      <c r="P553" t="str">
        <f>PROPER(TRIM(Table1[[#This Row],[ShippingAddress]]))</f>
        <v>227 Main St</v>
      </c>
      <c r="Q553" t="str">
        <f>PROPER(TRIM((Table1[[#This Row],[PaymentMethod]])))</f>
        <v>Online</v>
      </c>
      <c r="R553" t="str">
        <f>PROPER(TRIM(Table1[[#This Row],[ReferralSource]]))</f>
        <v>Google</v>
      </c>
      <c r="S553" s="5">
        <f>Table1[[#This Row],[TotalPrice]]/Table1[[#This Row],[ItemsInCart]]</f>
        <v>52.396666666666668</v>
      </c>
    </row>
    <row r="554" spans="1:19" x14ac:dyDescent="0.3">
      <c r="A554" t="s">
        <v>822</v>
      </c>
      <c r="B554" s="1">
        <v>45335</v>
      </c>
      <c r="C554" t="s">
        <v>2018</v>
      </c>
      <c r="D554" t="s">
        <v>2409</v>
      </c>
      <c r="E554">
        <v>3</v>
      </c>
      <c r="F554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>
        <v>3</v>
      </c>
      <c r="L554" t="s">
        <v>4283</v>
      </c>
      <c r="M554" t="s">
        <v>4282</v>
      </c>
      <c r="N554" s="5">
        <v>402.15</v>
      </c>
      <c r="O554" t="str">
        <f>IF(ABS(Table1[[#This Row],[TotalPrice]]-Table1[[#This Row],[Quantity]]*Table1[[#This Row],[UnitPrice]]) &lt;0.01, "ok",)</f>
        <v>ok</v>
      </c>
      <c r="P554" t="str">
        <f>PROPER(TRIM(Table1[[#This Row],[ShippingAddress]]))</f>
        <v>192 Main St</v>
      </c>
      <c r="Q554" t="str">
        <f>PROPER(TRIM((Table1[[#This Row],[PaymentMethod]])))</f>
        <v>Credit Card</v>
      </c>
      <c r="R554" t="str">
        <f>PROPER(TRIM(Table1[[#This Row],[ReferralSource]]))</f>
        <v>Google</v>
      </c>
      <c r="S554" s="5">
        <f>Table1[[#This Row],[TotalPrice]]/Table1[[#This Row],[ItemsInCart]]</f>
        <v>134.04999999999998</v>
      </c>
    </row>
    <row r="555" spans="1:19" x14ac:dyDescent="0.3">
      <c r="A555" t="s">
        <v>929</v>
      </c>
      <c r="B555" s="1">
        <v>45338</v>
      </c>
      <c r="C555" t="s">
        <v>2125</v>
      </c>
      <c r="D555" t="s">
        <v>2408</v>
      </c>
      <c r="E555">
        <v>4</v>
      </c>
      <c r="F555">
        <v>502.99</v>
      </c>
      <c r="G555" t="s">
        <v>2978</v>
      </c>
      <c r="H555" t="s">
        <v>3065</v>
      </c>
      <c r="I555" t="s">
        <v>3070</v>
      </c>
      <c r="J555" t="s">
        <v>3990</v>
      </c>
      <c r="K555">
        <v>4</v>
      </c>
      <c r="L555" t="s">
        <v>4277</v>
      </c>
      <c r="M555" t="s">
        <v>4279</v>
      </c>
      <c r="N555" s="5">
        <v>2011.96</v>
      </c>
      <c r="O555" t="str">
        <f>IF(ABS(Table1[[#This Row],[TotalPrice]]-Table1[[#This Row],[Quantity]]*Table1[[#This Row],[UnitPrice]]) &lt;0.01, "ok",)</f>
        <v>ok</v>
      </c>
      <c r="P555" t="str">
        <f>PROPER(TRIM(Table1[[#This Row],[ShippingAddress]]))</f>
        <v>939 Main St</v>
      </c>
      <c r="Q555" t="str">
        <f>PROPER(TRIM((Table1[[#This Row],[PaymentMethod]])))</f>
        <v>Debit Card</v>
      </c>
      <c r="R555" t="str">
        <f>PROPER(TRIM(Table1[[#This Row],[ReferralSource]]))</f>
        <v>Referral</v>
      </c>
      <c r="S555" s="5">
        <f>Table1[[#This Row],[TotalPrice]]/Table1[[#This Row],[ItemsInCart]]</f>
        <v>502.99</v>
      </c>
    </row>
    <row r="556" spans="1:19" x14ac:dyDescent="0.3">
      <c r="A556" t="s">
        <v>25</v>
      </c>
      <c r="B556" s="1">
        <v>45339</v>
      </c>
      <c r="C556" t="s">
        <v>1225</v>
      </c>
      <c r="D556" t="s">
        <v>2403</v>
      </c>
      <c r="E556">
        <v>3</v>
      </c>
      <c r="F556">
        <v>49.14</v>
      </c>
      <c r="G556" t="s">
        <v>2421</v>
      </c>
      <c r="H556" t="s">
        <v>3066</v>
      </c>
      <c r="I556" t="s">
        <v>3072</v>
      </c>
      <c r="J556" t="s">
        <v>3086</v>
      </c>
      <c r="K556">
        <v>7</v>
      </c>
      <c r="L556" t="s">
        <v>4275</v>
      </c>
      <c r="M556" t="s">
        <v>4280</v>
      </c>
      <c r="N556" s="5">
        <v>147.41999999999999</v>
      </c>
      <c r="O556" t="str">
        <f>IF(ABS(Table1[[#This Row],[TotalPrice]]-Table1[[#This Row],[Quantity]]*Table1[[#This Row],[UnitPrice]]) &lt;0.01, "ok",)</f>
        <v>ok</v>
      </c>
      <c r="P556" t="str">
        <f>PROPER(TRIM(Table1[[#This Row],[ShippingAddress]]))</f>
        <v>831 Main St</v>
      </c>
      <c r="Q556" t="str">
        <f>PROPER(TRIM((Table1[[#This Row],[PaymentMethod]])))</f>
        <v>Online</v>
      </c>
      <c r="R556" t="str">
        <f>PROPER(TRIM(Table1[[#This Row],[ReferralSource]]))</f>
        <v>Email</v>
      </c>
      <c r="S556" s="5">
        <f>Table1[[#This Row],[TotalPrice]]/Table1[[#This Row],[ItemsInCart]]</f>
        <v>21.06</v>
      </c>
    </row>
    <row r="557" spans="1:19" x14ac:dyDescent="0.3">
      <c r="A557" t="s">
        <v>816</v>
      </c>
      <c r="B557" s="1">
        <v>45339</v>
      </c>
      <c r="C557" t="s">
        <v>2012</v>
      </c>
      <c r="D557" t="s">
        <v>2406</v>
      </c>
      <c r="E557">
        <v>5</v>
      </c>
      <c r="F557">
        <v>644.64</v>
      </c>
      <c r="G557" t="s">
        <v>2932</v>
      </c>
      <c r="H557" t="s">
        <v>3068</v>
      </c>
      <c r="I557" t="s">
        <v>3071</v>
      </c>
      <c r="J557" t="s">
        <v>3877</v>
      </c>
      <c r="K557">
        <v>6</v>
      </c>
      <c r="L557" t="s">
        <v>4276</v>
      </c>
      <c r="M557" t="s">
        <v>4280</v>
      </c>
      <c r="N557" s="5">
        <v>3223.2</v>
      </c>
      <c r="O557" t="str">
        <f>IF(ABS(Table1[[#This Row],[TotalPrice]]-Table1[[#This Row],[Quantity]]*Table1[[#This Row],[UnitPrice]]) &lt;0.01, "ok",)</f>
        <v>ok</v>
      </c>
      <c r="P557" t="str">
        <f>PROPER(TRIM(Table1[[#This Row],[ShippingAddress]]))</f>
        <v>205 Main St</v>
      </c>
      <c r="Q557" t="str">
        <f>PROPER(TRIM((Table1[[#This Row],[PaymentMethod]])))</f>
        <v>Gift Card</v>
      </c>
      <c r="R557" t="str">
        <f>PROPER(TRIM(Table1[[#This Row],[ReferralSource]]))</f>
        <v>Email</v>
      </c>
      <c r="S557" s="5">
        <f>Table1[[#This Row],[TotalPrice]]/Table1[[#This Row],[ItemsInCart]]</f>
        <v>537.19999999999993</v>
      </c>
    </row>
    <row r="558" spans="1:19" x14ac:dyDescent="0.3">
      <c r="A558" t="s">
        <v>596</v>
      </c>
      <c r="B558" s="1">
        <v>45341</v>
      </c>
      <c r="C558" t="s">
        <v>1796</v>
      </c>
      <c r="D558" t="s">
        <v>2405</v>
      </c>
      <c r="E558">
        <v>3</v>
      </c>
      <c r="F558">
        <v>474.14</v>
      </c>
      <c r="G558" t="s">
        <v>2727</v>
      </c>
      <c r="H558" t="s">
        <v>3068</v>
      </c>
      <c r="I558" t="s">
        <v>3070</v>
      </c>
      <c r="J558" t="s">
        <v>3657</v>
      </c>
      <c r="K558">
        <v>8</v>
      </c>
      <c r="L558" t="s">
        <v>4277</v>
      </c>
      <c r="M558" t="s">
        <v>4282</v>
      </c>
      <c r="N558" s="5">
        <v>1422.42</v>
      </c>
      <c r="O558" t="str">
        <f>IF(ABS(Table1[[#This Row],[TotalPrice]]-Table1[[#This Row],[Quantity]]*Table1[[#This Row],[UnitPrice]]) &lt;0.01, "ok",)</f>
        <v>ok</v>
      </c>
      <c r="P558" t="str">
        <f>PROPER(TRIM(Table1[[#This Row],[ShippingAddress]]))</f>
        <v>558 Main St</v>
      </c>
      <c r="Q558" t="str">
        <f>PROPER(TRIM((Table1[[#This Row],[PaymentMethod]])))</f>
        <v>Gift Card</v>
      </c>
      <c r="R558" t="str">
        <f>PROPER(TRIM(Table1[[#This Row],[ReferralSource]]))</f>
        <v>Google</v>
      </c>
      <c r="S558" s="5">
        <f>Table1[[#This Row],[TotalPrice]]/Table1[[#This Row],[ItemsInCart]]</f>
        <v>177.80250000000001</v>
      </c>
    </row>
    <row r="559" spans="1:19" x14ac:dyDescent="0.3">
      <c r="A559" t="s">
        <v>608</v>
      </c>
      <c r="B559" s="1">
        <v>45343</v>
      </c>
      <c r="C559" t="s">
        <v>1808</v>
      </c>
      <c r="D559" t="s">
        <v>2404</v>
      </c>
      <c r="E559">
        <v>5</v>
      </c>
      <c r="F559">
        <v>72.64</v>
      </c>
      <c r="G559" t="s">
        <v>2538</v>
      </c>
      <c r="H559" t="s">
        <v>3067</v>
      </c>
      <c r="I559" t="s">
        <v>3071</v>
      </c>
      <c r="J559" t="s">
        <v>3669</v>
      </c>
      <c r="K559">
        <v>7</v>
      </c>
      <c r="L559" t="s">
        <v>4283</v>
      </c>
      <c r="M559" t="s">
        <v>4280</v>
      </c>
      <c r="N559" s="5">
        <v>363.2</v>
      </c>
      <c r="O559" t="str">
        <f>IF(ABS(Table1[[#This Row],[TotalPrice]]-Table1[[#This Row],[Quantity]]*Table1[[#This Row],[UnitPrice]]) &lt;0.01, "ok",)</f>
        <v>ok</v>
      </c>
      <c r="P559" t="str">
        <f>PROPER(TRIM(Table1[[#This Row],[ShippingAddress]]))</f>
        <v>598 Main St</v>
      </c>
      <c r="Q559" t="str">
        <f>PROPER(TRIM((Table1[[#This Row],[PaymentMethod]])))</f>
        <v>Credit Card</v>
      </c>
      <c r="R559" t="str">
        <f>PROPER(TRIM(Table1[[#This Row],[ReferralSource]]))</f>
        <v>Email</v>
      </c>
      <c r="S559" s="5">
        <f>Table1[[#This Row],[TotalPrice]]/Table1[[#This Row],[ItemsInCart]]</f>
        <v>51.885714285714286</v>
      </c>
    </row>
    <row r="560" spans="1:19" x14ac:dyDescent="0.3">
      <c r="A560" t="s">
        <v>830</v>
      </c>
      <c r="B560" s="1">
        <v>45343</v>
      </c>
      <c r="C560" t="s">
        <v>2026</v>
      </c>
      <c r="D560" t="s">
        <v>2405</v>
      </c>
      <c r="E560">
        <v>5</v>
      </c>
      <c r="F560">
        <v>574.79</v>
      </c>
      <c r="G560" t="s">
        <v>2601</v>
      </c>
      <c r="H560" t="s">
        <v>3067</v>
      </c>
      <c r="I560" t="s">
        <v>3074</v>
      </c>
      <c r="J560" t="s">
        <v>3891</v>
      </c>
      <c r="K560">
        <v>8</v>
      </c>
      <c r="L560" t="s">
        <v>4277</v>
      </c>
      <c r="M560" t="s">
        <v>4279</v>
      </c>
      <c r="N560" s="5">
        <v>2873.95</v>
      </c>
      <c r="O560" t="str">
        <f>IF(ABS(Table1[[#This Row],[TotalPrice]]-Table1[[#This Row],[Quantity]]*Table1[[#This Row],[UnitPrice]]) &lt;0.01, "ok",)</f>
        <v>ok</v>
      </c>
      <c r="P560" t="str">
        <f>PROPER(TRIM(Table1[[#This Row],[ShippingAddress]]))</f>
        <v>497 Main St</v>
      </c>
      <c r="Q560" t="str">
        <f>PROPER(TRIM((Table1[[#This Row],[PaymentMethod]])))</f>
        <v>Credit Card</v>
      </c>
      <c r="R560" t="str">
        <f>PROPER(TRIM(Table1[[#This Row],[ReferralSource]]))</f>
        <v>Referral</v>
      </c>
      <c r="S560" s="5">
        <f>Table1[[#This Row],[TotalPrice]]/Table1[[#This Row],[ItemsInCart]]</f>
        <v>359.24374999999998</v>
      </c>
    </row>
    <row r="561" spans="1:19" x14ac:dyDescent="0.3">
      <c r="A561" t="s">
        <v>41</v>
      </c>
      <c r="B561" s="1">
        <v>45344</v>
      </c>
      <c r="C561" t="s">
        <v>1241</v>
      </c>
      <c r="D561" t="s">
        <v>2407</v>
      </c>
      <c r="E561">
        <v>1</v>
      </c>
      <c r="F561">
        <v>472.74</v>
      </c>
      <c r="G561" t="s">
        <v>2437</v>
      </c>
      <c r="H561" t="s">
        <v>3066</v>
      </c>
      <c r="I561" t="s">
        <v>3070</v>
      </c>
      <c r="J561" t="s">
        <v>3102</v>
      </c>
      <c r="K561">
        <v>6</v>
      </c>
      <c r="L561" t="s">
        <v>4277</v>
      </c>
      <c r="M561" t="s">
        <v>4282</v>
      </c>
      <c r="N561" s="5">
        <v>472.74</v>
      </c>
      <c r="O561" t="str">
        <f>IF(ABS(Table1[[#This Row],[TotalPrice]]-Table1[[#This Row],[Quantity]]*Table1[[#This Row],[UnitPrice]]) &lt;0.01, "ok",)</f>
        <v>ok</v>
      </c>
      <c r="P561" t="str">
        <f>PROPER(TRIM(Table1[[#This Row],[ShippingAddress]]))</f>
        <v>881 Main St</v>
      </c>
      <c r="Q561" t="str">
        <f>PROPER(TRIM((Table1[[#This Row],[PaymentMethod]])))</f>
        <v>Online</v>
      </c>
      <c r="R561" t="str">
        <f>PROPER(TRIM(Table1[[#This Row],[ReferralSource]]))</f>
        <v>Google</v>
      </c>
      <c r="S561" s="5">
        <f>Table1[[#This Row],[TotalPrice]]/Table1[[#This Row],[ItemsInCart]]</f>
        <v>78.790000000000006</v>
      </c>
    </row>
    <row r="562" spans="1:19" x14ac:dyDescent="0.3">
      <c r="A562" t="s">
        <v>771</v>
      </c>
      <c r="B562" s="1">
        <v>45344</v>
      </c>
      <c r="C562" t="s">
        <v>1968</v>
      </c>
      <c r="D562" t="s">
        <v>2409</v>
      </c>
      <c r="E562">
        <v>1</v>
      </c>
      <c r="F562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 s="5">
        <v>157.72</v>
      </c>
      <c r="O562" t="str">
        <f>IF(ABS(Table1[[#This Row],[TotalPrice]]-Table1[[#This Row],[Quantity]]*Table1[[#This Row],[UnitPrice]]) &lt;0.01, "ok",)</f>
        <v>ok</v>
      </c>
      <c r="P562" t="str">
        <f>PROPER(TRIM(Table1[[#This Row],[ShippingAddress]]))</f>
        <v>597 Main St</v>
      </c>
      <c r="Q562" t="str">
        <f>PROPER(TRIM((Table1[[#This Row],[PaymentMethod]])))</f>
        <v>Debit Card</v>
      </c>
      <c r="R562" t="str">
        <f>PROPER(TRIM(Table1[[#This Row],[ReferralSource]]))</f>
        <v>Google</v>
      </c>
      <c r="S562" s="5">
        <f>Table1[[#This Row],[TotalPrice]]/Table1[[#This Row],[ItemsInCart]]</f>
        <v>78.86</v>
      </c>
    </row>
    <row r="563" spans="1:19" x14ac:dyDescent="0.3">
      <c r="A563" t="s">
        <v>235</v>
      </c>
      <c r="B563" s="1">
        <v>45345</v>
      </c>
      <c r="C563" t="s">
        <v>1435</v>
      </c>
      <c r="D563" t="s">
        <v>2405</v>
      </c>
      <c r="E563">
        <v>5</v>
      </c>
      <c r="F563">
        <v>639.37</v>
      </c>
      <c r="G563" t="s">
        <v>2474</v>
      </c>
      <c r="H563" t="s">
        <v>3065</v>
      </c>
      <c r="I563" t="s">
        <v>3074</v>
      </c>
      <c r="J563" t="s">
        <v>3296</v>
      </c>
      <c r="K563">
        <v>6</v>
      </c>
      <c r="L563" t="s">
        <v>4275</v>
      </c>
      <c r="M563" t="s">
        <v>4282</v>
      </c>
      <c r="N563" s="5">
        <v>3196.85</v>
      </c>
      <c r="O563" t="str">
        <f>IF(ABS(Table1[[#This Row],[TotalPrice]]-Table1[[#This Row],[Quantity]]*Table1[[#This Row],[UnitPrice]]) &lt;0.01, "ok",)</f>
        <v>ok</v>
      </c>
      <c r="P563" t="str">
        <f>PROPER(TRIM(Table1[[#This Row],[ShippingAddress]]))</f>
        <v>552 Main St</v>
      </c>
      <c r="Q563" t="str">
        <f>PROPER(TRIM((Table1[[#This Row],[PaymentMethod]])))</f>
        <v>Debit Card</v>
      </c>
      <c r="R563" t="str">
        <f>PROPER(TRIM(Table1[[#This Row],[ReferralSource]]))</f>
        <v>Google</v>
      </c>
      <c r="S563" s="5">
        <f>Table1[[#This Row],[TotalPrice]]/Table1[[#This Row],[ItemsInCart]]</f>
        <v>532.80833333333328</v>
      </c>
    </row>
    <row r="564" spans="1:19" x14ac:dyDescent="0.3">
      <c r="A564" t="s">
        <v>1173</v>
      </c>
      <c r="B564" s="1">
        <v>45345</v>
      </c>
      <c r="C564" t="s">
        <v>2362</v>
      </c>
      <c r="D564" t="s">
        <v>2409</v>
      </c>
      <c r="E564">
        <v>4</v>
      </c>
      <c r="F564">
        <v>466.7</v>
      </c>
      <c r="G564" t="s">
        <v>2766</v>
      </c>
      <c r="H564" t="s">
        <v>3065</v>
      </c>
      <c r="I564" t="s">
        <v>3072</v>
      </c>
      <c r="J564" t="s">
        <v>4234</v>
      </c>
      <c r="K564">
        <v>8</v>
      </c>
      <c r="L564" t="s">
        <v>4283</v>
      </c>
      <c r="M564" t="s">
        <v>4278</v>
      </c>
      <c r="N564" s="5">
        <v>1866.8</v>
      </c>
      <c r="O564" t="str">
        <f>IF(ABS(Table1[[#This Row],[TotalPrice]]-Table1[[#This Row],[Quantity]]*Table1[[#This Row],[UnitPrice]]) &lt;0.01, "ok",)</f>
        <v>ok</v>
      </c>
      <c r="P564" t="str">
        <f>PROPER(TRIM(Table1[[#This Row],[ShippingAddress]]))</f>
        <v>874 Main St</v>
      </c>
      <c r="Q564" t="str">
        <f>PROPER(TRIM((Table1[[#This Row],[PaymentMethod]])))</f>
        <v>Debit Card</v>
      </c>
      <c r="R564" t="str">
        <f>PROPER(TRIM(Table1[[#This Row],[ReferralSource]]))</f>
        <v>Instagram</v>
      </c>
      <c r="S564" s="5">
        <f>Table1[[#This Row],[TotalPrice]]/Table1[[#This Row],[ItemsInCart]]</f>
        <v>233.35</v>
      </c>
    </row>
    <row r="565" spans="1:19" x14ac:dyDescent="0.3">
      <c r="A565" t="s">
        <v>324</v>
      </c>
      <c r="B565" s="1">
        <v>45346</v>
      </c>
      <c r="C565" t="s">
        <v>1524</v>
      </c>
      <c r="D565" t="s">
        <v>2407</v>
      </c>
      <c r="E565">
        <v>3</v>
      </c>
      <c r="F565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>
        <v>4</v>
      </c>
      <c r="L565" t="s">
        <v>4283</v>
      </c>
      <c r="M565" t="s">
        <v>4279</v>
      </c>
      <c r="N565" s="5">
        <v>397.43999999999988</v>
      </c>
      <c r="O565" t="str">
        <f>IF(ABS(Table1[[#This Row],[TotalPrice]]-Table1[[#This Row],[Quantity]]*Table1[[#This Row],[UnitPrice]]) &lt;0.01, "ok",)</f>
        <v>ok</v>
      </c>
      <c r="P565" t="str">
        <f>PROPER(TRIM(Table1[[#This Row],[ShippingAddress]]))</f>
        <v>968 Main St</v>
      </c>
      <c r="Q565" t="str">
        <f>PROPER(TRIM((Table1[[#This Row],[PaymentMethod]])))</f>
        <v>Online</v>
      </c>
      <c r="R565" t="str">
        <f>PROPER(TRIM(Table1[[#This Row],[ReferralSource]]))</f>
        <v>Referral</v>
      </c>
      <c r="S565" s="5">
        <f>Table1[[#This Row],[TotalPrice]]/Table1[[#This Row],[ItemsInCart]]</f>
        <v>99.359999999999971</v>
      </c>
    </row>
    <row r="566" spans="1:19" x14ac:dyDescent="0.3">
      <c r="A566" t="s">
        <v>535</v>
      </c>
      <c r="B566" s="1">
        <v>45347</v>
      </c>
      <c r="C566" t="s">
        <v>1735</v>
      </c>
      <c r="D566" t="s">
        <v>2404</v>
      </c>
      <c r="E566">
        <v>1</v>
      </c>
      <c r="F566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>
        <v>2</v>
      </c>
      <c r="L566" t="s">
        <v>4283</v>
      </c>
      <c r="M566" t="s">
        <v>4281</v>
      </c>
      <c r="N566" s="5">
        <v>528.05999999999995</v>
      </c>
      <c r="O566" t="str">
        <f>IF(ABS(Table1[[#This Row],[TotalPrice]]-Table1[[#This Row],[Quantity]]*Table1[[#This Row],[UnitPrice]]) &lt;0.01, "ok",)</f>
        <v>ok</v>
      </c>
      <c r="P566" t="str">
        <f>PROPER(TRIM(Table1[[#This Row],[ShippingAddress]]))</f>
        <v>991 Main St</v>
      </c>
      <c r="Q566" t="str">
        <f>PROPER(TRIM((Table1[[#This Row],[PaymentMethod]])))</f>
        <v>Credit Card</v>
      </c>
      <c r="R566" t="str">
        <f>PROPER(TRIM(Table1[[#This Row],[ReferralSource]]))</f>
        <v>Facebook</v>
      </c>
      <c r="S566" s="5">
        <f>Table1[[#This Row],[TotalPrice]]/Table1[[#This Row],[ItemsInCart]]</f>
        <v>264.02999999999997</v>
      </c>
    </row>
    <row r="567" spans="1:19" x14ac:dyDescent="0.3">
      <c r="A567" t="s">
        <v>667</v>
      </c>
      <c r="B567" s="1">
        <v>45347</v>
      </c>
      <c r="C567" t="s">
        <v>1866</v>
      </c>
      <c r="D567" t="s">
        <v>2407</v>
      </c>
      <c r="E567">
        <v>3</v>
      </c>
      <c r="F567">
        <v>690.3</v>
      </c>
      <c r="G567" t="s">
        <v>2710</v>
      </c>
      <c r="H567" t="s">
        <v>3067</v>
      </c>
      <c r="I567" t="s">
        <v>3070</v>
      </c>
      <c r="J567" t="s">
        <v>3728</v>
      </c>
      <c r="K567">
        <v>6</v>
      </c>
      <c r="L567" t="s">
        <v>4277</v>
      </c>
      <c r="M567" t="s">
        <v>4282</v>
      </c>
      <c r="N567" s="5">
        <v>2070.9</v>
      </c>
      <c r="O567" t="str">
        <f>IF(ABS(Table1[[#This Row],[TotalPrice]]-Table1[[#This Row],[Quantity]]*Table1[[#This Row],[UnitPrice]]) &lt;0.01, "ok",)</f>
        <v>ok</v>
      </c>
      <c r="P567" t="str">
        <f>PROPER(TRIM(Table1[[#This Row],[ShippingAddress]]))</f>
        <v>747 Main St</v>
      </c>
      <c r="Q567" t="str">
        <f>PROPER(TRIM((Table1[[#This Row],[PaymentMethod]])))</f>
        <v>Credit Card</v>
      </c>
      <c r="R567" t="str">
        <f>PROPER(TRIM(Table1[[#This Row],[ReferralSource]]))</f>
        <v>Google</v>
      </c>
      <c r="S567" s="5">
        <f>Table1[[#This Row],[TotalPrice]]/Table1[[#This Row],[ItemsInCart]]</f>
        <v>345.15000000000003</v>
      </c>
    </row>
    <row r="568" spans="1:19" x14ac:dyDescent="0.3">
      <c r="A568" t="s">
        <v>1124</v>
      </c>
      <c r="B568" s="1">
        <v>45347</v>
      </c>
      <c r="C568" t="s">
        <v>2315</v>
      </c>
      <c r="D568" t="s">
        <v>2406</v>
      </c>
      <c r="E568">
        <v>3</v>
      </c>
      <c r="F568">
        <v>84.31</v>
      </c>
      <c r="G568" t="s">
        <v>2443</v>
      </c>
      <c r="H568" t="s">
        <v>3067</v>
      </c>
      <c r="I568" t="s">
        <v>3070</v>
      </c>
      <c r="J568" t="s">
        <v>4185</v>
      </c>
      <c r="K568">
        <v>3</v>
      </c>
      <c r="L568" t="s">
        <v>4275</v>
      </c>
      <c r="M568" t="s">
        <v>4280</v>
      </c>
      <c r="N568" s="5">
        <v>252.93</v>
      </c>
      <c r="O568" t="str">
        <f>IF(ABS(Table1[[#This Row],[TotalPrice]]-Table1[[#This Row],[Quantity]]*Table1[[#This Row],[UnitPrice]]) &lt;0.01, "ok",)</f>
        <v>ok</v>
      </c>
      <c r="P568" t="str">
        <f>PROPER(TRIM(Table1[[#This Row],[ShippingAddress]]))</f>
        <v>912 Main St</v>
      </c>
      <c r="Q568" t="str">
        <f>PROPER(TRIM((Table1[[#This Row],[PaymentMethod]])))</f>
        <v>Credit Card</v>
      </c>
      <c r="R568" t="str">
        <f>PROPER(TRIM(Table1[[#This Row],[ReferralSource]]))</f>
        <v>Email</v>
      </c>
      <c r="S568" s="5">
        <f>Table1[[#This Row],[TotalPrice]]/Table1[[#This Row],[ItemsInCart]]</f>
        <v>84.31</v>
      </c>
    </row>
    <row r="569" spans="1:19" x14ac:dyDescent="0.3">
      <c r="A569" t="s">
        <v>272</v>
      </c>
      <c r="B569" s="1">
        <v>45348</v>
      </c>
      <c r="C569" t="s">
        <v>1472</v>
      </c>
      <c r="D569" t="s">
        <v>2405</v>
      </c>
      <c r="E569">
        <v>2</v>
      </c>
      <c r="F569">
        <v>103.41</v>
      </c>
      <c r="G569" t="s">
        <v>2631</v>
      </c>
      <c r="H569" t="s">
        <v>3066</v>
      </c>
      <c r="I569" t="s">
        <v>3070</v>
      </c>
      <c r="J569" t="s">
        <v>3333</v>
      </c>
      <c r="K569">
        <v>2</v>
      </c>
      <c r="L569" t="s">
        <v>4276</v>
      </c>
      <c r="M569" t="s">
        <v>4279</v>
      </c>
      <c r="N569" s="5">
        <v>206.82</v>
      </c>
      <c r="O569" t="str">
        <f>IF(ABS(Table1[[#This Row],[TotalPrice]]-Table1[[#This Row],[Quantity]]*Table1[[#This Row],[UnitPrice]]) &lt;0.01, "ok",)</f>
        <v>ok</v>
      </c>
      <c r="P569" t="str">
        <f>PROPER(TRIM(Table1[[#This Row],[ShippingAddress]]))</f>
        <v>294 Main St</v>
      </c>
      <c r="Q569" t="str">
        <f>PROPER(TRIM((Table1[[#This Row],[PaymentMethod]])))</f>
        <v>Online</v>
      </c>
      <c r="R569" t="str">
        <f>PROPER(TRIM(Table1[[#This Row],[ReferralSource]]))</f>
        <v>Referral</v>
      </c>
      <c r="S569" s="5">
        <f>Table1[[#This Row],[TotalPrice]]/Table1[[#This Row],[ItemsInCart]]</f>
        <v>103.41</v>
      </c>
    </row>
    <row r="570" spans="1:19" x14ac:dyDescent="0.3">
      <c r="A570" t="s">
        <v>479</v>
      </c>
      <c r="B570" s="1">
        <v>45348</v>
      </c>
      <c r="C570" t="s">
        <v>1679</v>
      </c>
      <c r="D570" t="s">
        <v>2407</v>
      </c>
      <c r="E570">
        <v>5</v>
      </c>
      <c r="F570">
        <v>513.49</v>
      </c>
      <c r="G570" t="s">
        <v>2772</v>
      </c>
      <c r="H570" t="s">
        <v>3068</v>
      </c>
      <c r="I570" t="s">
        <v>3071</v>
      </c>
      <c r="J570" t="s">
        <v>3540</v>
      </c>
      <c r="K570">
        <v>8</v>
      </c>
      <c r="L570" t="s">
        <v>4283</v>
      </c>
      <c r="M570" t="s">
        <v>4282</v>
      </c>
      <c r="N570" s="5">
        <v>2567.4499999999998</v>
      </c>
      <c r="O570" t="str">
        <f>IF(ABS(Table1[[#This Row],[TotalPrice]]-Table1[[#This Row],[Quantity]]*Table1[[#This Row],[UnitPrice]]) &lt;0.01, "ok",)</f>
        <v>ok</v>
      </c>
      <c r="P570" t="str">
        <f>PROPER(TRIM(Table1[[#This Row],[ShippingAddress]]))</f>
        <v>391 Main St</v>
      </c>
      <c r="Q570" t="str">
        <f>PROPER(TRIM((Table1[[#This Row],[PaymentMethod]])))</f>
        <v>Gift Card</v>
      </c>
      <c r="R570" t="str">
        <f>PROPER(TRIM(Table1[[#This Row],[ReferralSource]]))</f>
        <v>Google</v>
      </c>
      <c r="S570" s="5">
        <f>Table1[[#This Row],[TotalPrice]]/Table1[[#This Row],[ItemsInCart]]</f>
        <v>320.93124999999998</v>
      </c>
    </row>
    <row r="571" spans="1:19" x14ac:dyDescent="0.3">
      <c r="A571" t="s">
        <v>16</v>
      </c>
      <c r="B571" s="1">
        <v>45349</v>
      </c>
      <c r="C571" t="s">
        <v>1216</v>
      </c>
      <c r="D571" t="s">
        <v>2405</v>
      </c>
      <c r="E571">
        <v>5</v>
      </c>
      <c r="F571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>
        <v>8</v>
      </c>
      <c r="L571" t="s">
        <v>4276</v>
      </c>
      <c r="M571" t="s">
        <v>4280</v>
      </c>
      <c r="N571" s="5">
        <v>2753.4</v>
      </c>
      <c r="O571" t="str">
        <f>IF(ABS(Table1[[#This Row],[TotalPrice]]-Table1[[#This Row],[Quantity]]*Table1[[#This Row],[UnitPrice]]) &lt;0.01, "ok",)</f>
        <v>ok</v>
      </c>
      <c r="P571" t="str">
        <f>PROPER(TRIM(Table1[[#This Row],[ShippingAddress]]))</f>
        <v>512 Main St</v>
      </c>
      <c r="Q571" t="str">
        <f>PROPER(TRIM((Table1[[#This Row],[PaymentMethod]])))</f>
        <v>Credit Card</v>
      </c>
      <c r="R571" t="str">
        <f>PROPER(TRIM(Table1[[#This Row],[ReferralSource]]))</f>
        <v>Email</v>
      </c>
      <c r="S571" s="5">
        <f>Table1[[#This Row],[TotalPrice]]/Table1[[#This Row],[ItemsInCart]]</f>
        <v>344.17500000000001</v>
      </c>
    </row>
    <row r="572" spans="1:19" x14ac:dyDescent="0.3">
      <c r="A572" t="s">
        <v>654</v>
      </c>
      <c r="B572" s="1">
        <v>45349</v>
      </c>
      <c r="C572" t="s">
        <v>1853</v>
      </c>
      <c r="D572" t="s">
        <v>2406</v>
      </c>
      <c r="E572">
        <v>2</v>
      </c>
      <c r="F572">
        <v>587.49</v>
      </c>
      <c r="G572" t="s">
        <v>2507</v>
      </c>
      <c r="H572" t="s">
        <v>3068</v>
      </c>
      <c r="I572" t="s">
        <v>3072</v>
      </c>
      <c r="J572" t="s">
        <v>3715</v>
      </c>
      <c r="K572">
        <v>6</v>
      </c>
      <c r="L572" t="s">
        <v>4275</v>
      </c>
      <c r="M572" t="s">
        <v>4279</v>
      </c>
      <c r="N572" s="5">
        <v>1174.98</v>
      </c>
      <c r="O572" t="str">
        <f>IF(ABS(Table1[[#This Row],[TotalPrice]]-Table1[[#This Row],[Quantity]]*Table1[[#This Row],[UnitPrice]]) &lt;0.01, "ok",)</f>
        <v>ok</v>
      </c>
      <c r="P572" t="str">
        <f>PROPER(TRIM(Table1[[#This Row],[ShippingAddress]]))</f>
        <v>647 Main St</v>
      </c>
      <c r="Q572" t="str">
        <f>PROPER(TRIM((Table1[[#This Row],[PaymentMethod]])))</f>
        <v>Gift Card</v>
      </c>
      <c r="R572" t="str">
        <f>PROPER(TRIM(Table1[[#This Row],[ReferralSource]]))</f>
        <v>Referral</v>
      </c>
      <c r="S572" s="5">
        <f>Table1[[#This Row],[TotalPrice]]/Table1[[#This Row],[ItemsInCart]]</f>
        <v>195.83</v>
      </c>
    </row>
    <row r="573" spans="1:19" x14ac:dyDescent="0.3">
      <c r="A573" t="s">
        <v>406</v>
      </c>
      <c r="B573" s="1">
        <v>45350</v>
      </c>
      <c r="C573" t="s">
        <v>1606</v>
      </c>
      <c r="D573" t="s">
        <v>2404</v>
      </c>
      <c r="E573">
        <v>1</v>
      </c>
      <c r="F573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>
        <v>1</v>
      </c>
      <c r="L573" t="s">
        <v>4277</v>
      </c>
      <c r="M573" t="s">
        <v>4280</v>
      </c>
      <c r="N573" s="5">
        <v>627.20000000000005</v>
      </c>
      <c r="O573" t="str">
        <f>IF(ABS(Table1[[#This Row],[TotalPrice]]-Table1[[#This Row],[Quantity]]*Table1[[#This Row],[UnitPrice]]) &lt;0.01, "ok",)</f>
        <v>ok</v>
      </c>
      <c r="P573" t="str">
        <f>PROPER(TRIM(Table1[[#This Row],[ShippingAddress]]))</f>
        <v>197 Main St</v>
      </c>
      <c r="Q573" t="str">
        <f>PROPER(TRIM((Table1[[#This Row],[PaymentMethod]])))</f>
        <v>Online</v>
      </c>
      <c r="R573" t="str">
        <f>PROPER(TRIM(Table1[[#This Row],[ReferralSource]]))</f>
        <v>Email</v>
      </c>
      <c r="S573" s="5">
        <f>Table1[[#This Row],[TotalPrice]]/Table1[[#This Row],[ItemsInCart]]</f>
        <v>627.20000000000005</v>
      </c>
    </row>
    <row r="574" spans="1:19" x14ac:dyDescent="0.3">
      <c r="A574" t="s">
        <v>1206</v>
      </c>
      <c r="B574" s="1">
        <v>45350</v>
      </c>
      <c r="C574" t="s">
        <v>2395</v>
      </c>
      <c r="D574" t="s">
        <v>2406</v>
      </c>
      <c r="E574">
        <v>3</v>
      </c>
      <c r="F574">
        <v>432.85</v>
      </c>
      <c r="G574" t="s">
        <v>2593</v>
      </c>
      <c r="H574" t="s">
        <v>3066</v>
      </c>
      <c r="I574" t="s">
        <v>3074</v>
      </c>
      <c r="J574" t="s">
        <v>4267</v>
      </c>
      <c r="K574">
        <v>4</v>
      </c>
      <c r="L574" t="s">
        <v>4283</v>
      </c>
      <c r="M574" t="s">
        <v>4278</v>
      </c>
      <c r="N574" s="5">
        <v>1298.55</v>
      </c>
      <c r="O574" t="str">
        <f>IF(ABS(Table1[[#This Row],[TotalPrice]]-Table1[[#This Row],[Quantity]]*Table1[[#This Row],[UnitPrice]]) &lt;0.01, "ok",)</f>
        <v>ok</v>
      </c>
      <c r="P574" t="str">
        <f>PROPER(TRIM(Table1[[#This Row],[ShippingAddress]]))</f>
        <v>999 Main St</v>
      </c>
      <c r="Q574" t="str">
        <f>PROPER(TRIM((Table1[[#This Row],[PaymentMethod]])))</f>
        <v>Online</v>
      </c>
      <c r="R574" t="str">
        <f>PROPER(TRIM(Table1[[#This Row],[ReferralSource]]))</f>
        <v>Instagram</v>
      </c>
      <c r="S574" s="5">
        <f>Table1[[#This Row],[TotalPrice]]/Table1[[#This Row],[ItemsInCart]]</f>
        <v>324.63749999999999</v>
      </c>
    </row>
    <row r="575" spans="1:19" x14ac:dyDescent="0.3">
      <c r="A575" t="s">
        <v>540</v>
      </c>
      <c r="B575" s="1">
        <v>45351</v>
      </c>
      <c r="C575" t="s">
        <v>1740</v>
      </c>
      <c r="D575" t="s">
        <v>2409</v>
      </c>
      <c r="E575">
        <v>2</v>
      </c>
      <c r="F575">
        <v>46.5</v>
      </c>
      <c r="G575" t="s">
        <v>2497</v>
      </c>
      <c r="H575" t="s">
        <v>3069</v>
      </c>
      <c r="I575" t="s">
        <v>3072</v>
      </c>
      <c r="J575" t="s">
        <v>3601</v>
      </c>
      <c r="K575">
        <v>7</v>
      </c>
      <c r="L575" t="s">
        <v>4277</v>
      </c>
      <c r="M575" t="s">
        <v>4282</v>
      </c>
      <c r="N575" s="5">
        <v>93</v>
      </c>
      <c r="O575" t="str">
        <f>IF(ABS(Table1[[#This Row],[TotalPrice]]-Table1[[#This Row],[Quantity]]*Table1[[#This Row],[UnitPrice]]) &lt;0.01, "ok",)</f>
        <v>ok</v>
      </c>
      <c r="P575" t="str">
        <f>PROPER(TRIM(Table1[[#This Row],[ShippingAddress]]))</f>
        <v>837 Main St</v>
      </c>
      <c r="Q575" t="str">
        <f>PROPER(TRIM((Table1[[#This Row],[PaymentMethod]])))</f>
        <v>Cash</v>
      </c>
      <c r="R575" t="str">
        <f>PROPER(TRIM(Table1[[#This Row],[ReferralSource]]))</f>
        <v>Google</v>
      </c>
      <c r="S575" s="5">
        <f>Table1[[#This Row],[TotalPrice]]/Table1[[#This Row],[ItemsInCart]]</f>
        <v>13.285714285714286</v>
      </c>
    </row>
    <row r="576" spans="1:19" x14ac:dyDescent="0.3">
      <c r="A576" t="s">
        <v>560</v>
      </c>
      <c r="B576" s="1">
        <v>45352</v>
      </c>
      <c r="C576" t="s">
        <v>1760</v>
      </c>
      <c r="D576" t="s">
        <v>2403</v>
      </c>
      <c r="E576">
        <v>1</v>
      </c>
      <c r="F576">
        <v>158.68</v>
      </c>
      <c r="G576" t="s">
        <v>2410</v>
      </c>
      <c r="H576" t="s">
        <v>3067</v>
      </c>
      <c r="I576" t="s">
        <v>3072</v>
      </c>
      <c r="J576" t="s">
        <v>3621</v>
      </c>
      <c r="K576">
        <v>6</v>
      </c>
      <c r="L576" t="s">
        <v>4277</v>
      </c>
      <c r="M576" t="s">
        <v>4278</v>
      </c>
      <c r="N576" s="5">
        <v>158.68</v>
      </c>
      <c r="O576" t="str">
        <f>IF(ABS(Table1[[#This Row],[TotalPrice]]-Table1[[#This Row],[Quantity]]*Table1[[#This Row],[UnitPrice]]) &lt;0.01, "ok",)</f>
        <v>ok</v>
      </c>
      <c r="P576" t="str">
        <f>PROPER(TRIM(Table1[[#This Row],[ShippingAddress]]))</f>
        <v>928 Main St</v>
      </c>
      <c r="Q576" t="str">
        <f>PROPER(TRIM((Table1[[#This Row],[PaymentMethod]])))</f>
        <v>Credit Card</v>
      </c>
      <c r="R576" t="str">
        <f>PROPER(TRIM(Table1[[#This Row],[ReferralSource]]))</f>
        <v>Instagram</v>
      </c>
      <c r="S576" s="5">
        <f>Table1[[#This Row],[TotalPrice]]/Table1[[#This Row],[ItemsInCart]]</f>
        <v>26.446666666666669</v>
      </c>
    </row>
    <row r="577" spans="1:19" x14ac:dyDescent="0.3">
      <c r="A577" t="s">
        <v>640</v>
      </c>
      <c r="B577" s="1">
        <v>45352</v>
      </c>
      <c r="C577" t="s">
        <v>1839</v>
      </c>
      <c r="D577" t="s">
        <v>2405</v>
      </c>
      <c r="E577">
        <v>2</v>
      </c>
      <c r="F577">
        <v>657.48</v>
      </c>
      <c r="G577" t="s">
        <v>2745</v>
      </c>
      <c r="H577" t="s">
        <v>3066</v>
      </c>
      <c r="I577" t="s">
        <v>3070</v>
      </c>
      <c r="J577" t="s">
        <v>3701</v>
      </c>
      <c r="K577">
        <v>5</v>
      </c>
      <c r="L577" t="s">
        <v>4275</v>
      </c>
      <c r="M577" t="s">
        <v>4279</v>
      </c>
      <c r="N577" s="5">
        <v>1314.96</v>
      </c>
      <c r="O577" t="str">
        <f>IF(ABS(Table1[[#This Row],[TotalPrice]]-Table1[[#This Row],[Quantity]]*Table1[[#This Row],[UnitPrice]]) &lt;0.01, "ok",)</f>
        <v>ok</v>
      </c>
      <c r="P577" t="str">
        <f>PROPER(TRIM(Table1[[#This Row],[ShippingAddress]]))</f>
        <v>769 Main St</v>
      </c>
      <c r="Q577" t="str">
        <f>PROPER(TRIM((Table1[[#This Row],[PaymentMethod]])))</f>
        <v>Online</v>
      </c>
      <c r="R577" t="str">
        <f>PROPER(TRIM(Table1[[#This Row],[ReferralSource]]))</f>
        <v>Referral</v>
      </c>
      <c r="S577" s="5">
        <f>Table1[[#This Row],[TotalPrice]]/Table1[[#This Row],[ItemsInCart]]</f>
        <v>262.99200000000002</v>
      </c>
    </row>
    <row r="578" spans="1:19" x14ac:dyDescent="0.3">
      <c r="A578" t="s">
        <v>31</v>
      </c>
      <c r="B578" s="1">
        <v>45353</v>
      </c>
      <c r="C578" t="s">
        <v>1231</v>
      </c>
      <c r="D578" t="s">
        <v>2405</v>
      </c>
      <c r="E578">
        <v>1</v>
      </c>
      <c r="F578">
        <v>423.4</v>
      </c>
      <c r="G578" t="s">
        <v>2427</v>
      </c>
      <c r="H578" t="s">
        <v>3065</v>
      </c>
      <c r="I578" t="s">
        <v>3070</v>
      </c>
      <c r="J578" t="s">
        <v>3092</v>
      </c>
      <c r="K578">
        <v>3</v>
      </c>
      <c r="L578" t="s">
        <v>4283</v>
      </c>
      <c r="M578" t="s">
        <v>4279</v>
      </c>
      <c r="N578" s="5">
        <v>423.4</v>
      </c>
      <c r="O578" t="str">
        <f>IF(ABS(Table1[[#This Row],[TotalPrice]]-Table1[[#This Row],[Quantity]]*Table1[[#This Row],[UnitPrice]]) &lt;0.01, "ok",)</f>
        <v>ok</v>
      </c>
      <c r="P578" t="str">
        <f>PROPER(TRIM(Table1[[#This Row],[ShippingAddress]]))</f>
        <v>382 Main St</v>
      </c>
      <c r="Q578" t="str">
        <f>PROPER(TRIM((Table1[[#This Row],[PaymentMethod]])))</f>
        <v>Debit Card</v>
      </c>
      <c r="R578" t="str">
        <f>PROPER(TRIM(Table1[[#This Row],[ReferralSource]]))</f>
        <v>Referral</v>
      </c>
      <c r="S578" s="5">
        <f>Table1[[#This Row],[TotalPrice]]/Table1[[#This Row],[ItemsInCart]]</f>
        <v>141.13333333333333</v>
      </c>
    </row>
    <row r="579" spans="1:19" x14ac:dyDescent="0.3">
      <c r="A579" t="s">
        <v>159</v>
      </c>
      <c r="B579" s="1">
        <v>45353</v>
      </c>
      <c r="C579" t="s">
        <v>1359</v>
      </c>
      <c r="D579" t="s">
        <v>2407</v>
      </c>
      <c r="E579">
        <v>3</v>
      </c>
      <c r="F579">
        <v>146.91</v>
      </c>
      <c r="G579" t="s">
        <v>2544</v>
      </c>
      <c r="H579" t="s">
        <v>3067</v>
      </c>
      <c r="I579" t="s">
        <v>3073</v>
      </c>
      <c r="J579" t="s">
        <v>3220</v>
      </c>
      <c r="K579">
        <v>6</v>
      </c>
      <c r="L579" t="s">
        <v>4276</v>
      </c>
      <c r="M579" t="s">
        <v>4282</v>
      </c>
      <c r="N579" s="5">
        <v>440.73</v>
      </c>
      <c r="O579" t="str">
        <f>IF(ABS(Table1[[#This Row],[TotalPrice]]-Table1[[#This Row],[Quantity]]*Table1[[#This Row],[UnitPrice]]) &lt;0.01, "ok",)</f>
        <v>ok</v>
      </c>
      <c r="P579" t="str">
        <f>PROPER(TRIM(Table1[[#This Row],[ShippingAddress]]))</f>
        <v>798 Main St</v>
      </c>
      <c r="Q579" t="str">
        <f>PROPER(TRIM((Table1[[#This Row],[PaymentMethod]])))</f>
        <v>Credit Card</v>
      </c>
      <c r="R579" t="str">
        <f>PROPER(TRIM(Table1[[#This Row],[ReferralSource]]))</f>
        <v>Google</v>
      </c>
      <c r="S579" s="5">
        <f>Table1[[#This Row],[TotalPrice]]/Table1[[#This Row],[ItemsInCart]]</f>
        <v>73.454999999999998</v>
      </c>
    </row>
    <row r="580" spans="1:19" x14ac:dyDescent="0.3">
      <c r="A580" t="s">
        <v>1210</v>
      </c>
      <c r="B580" s="1">
        <v>45355</v>
      </c>
      <c r="C580" t="s">
        <v>2399</v>
      </c>
      <c r="D580" t="s">
        <v>2403</v>
      </c>
      <c r="E580">
        <v>2</v>
      </c>
      <c r="F580">
        <v>662.53</v>
      </c>
      <c r="G580" t="s">
        <v>2730</v>
      </c>
      <c r="H580" t="s">
        <v>3066</v>
      </c>
      <c r="I580" t="s">
        <v>3071</v>
      </c>
      <c r="J580" t="s">
        <v>4271</v>
      </c>
      <c r="K580">
        <v>5</v>
      </c>
      <c r="L580" t="s">
        <v>4283</v>
      </c>
      <c r="M580" t="s">
        <v>4281</v>
      </c>
      <c r="N580" s="5">
        <v>1325.06</v>
      </c>
      <c r="O580" t="str">
        <f>IF(ABS(Table1[[#This Row],[TotalPrice]]-Table1[[#This Row],[Quantity]]*Table1[[#This Row],[UnitPrice]]) &lt;0.01, "ok",)</f>
        <v>ok</v>
      </c>
      <c r="P580" t="str">
        <f>PROPER(TRIM(Table1[[#This Row],[ShippingAddress]]))</f>
        <v>778 Main St</v>
      </c>
      <c r="Q580" t="str">
        <f>PROPER(TRIM((Table1[[#This Row],[PaymentMethod]])))</f>
        <v>Online</v>
      </c>
      <c r="R580" t="str">
        <f>PROPER(TRIM(Table1[[#This Row],[ReferralSource]]))</f>
        <v>Facebook</v>
      </c>
      <c r="S580" s="5">
        <f>Table1[[#This Row],[TotalPrice]]/Table1[[#This Row],[ItemsInCart]]</f>
        <v>265.012</v>
      </c>
    </row>
    <row r="581" spans="1:19" x14ac:dyDescent="0.3">
      <c r="A581" t="s">
        <v>616</v>
      </c>
      <c r="B581" s="1">
        <v>45356</v>
      </c>
      <c r="C581" t="s">
        <v>1696</v>
      </c>
      <c r="D581" t="s">
        <v>2405</v>
      </c>
      <c r="E581">
        <v>4</v>
      </c>
      <c r="F581">
        <v>26.04</v>
      </c>
      <c r="G581" t="s">
        <v>2782</v>
      </c>
      <c r="H581" t="s">
        <v>3066</v>
      </c>
      <c r="I581" t="s">
        <v>3074</v>
      </c>
      <c r="J581" t="s">
        <v>3677</v>
      </c>
      <c r="K581">
        <v>5</v>
      </c>
      <c r="L581" t="s">
        <v>4275</v>
      </c>
      <c r="M581" t="s">
        <v>4278</v>
      </c>
      <c r="N581" s="5">
        <v>104.16</v>
      </c>
      <c r="O581" t="str">
        <f>IF(ABS(Table1[[#This Row],[TotalPrice]]-Table1[[#This Row],[Quantity]]*Table1[[#This Row],[UnitPrice]]) &lt;0.01, "ok",)</f>
        <v>ok</v>
      </c>
      <c r="P581" t="str">
        <f>PROPER(TRIM(Table1[[#This Row],[ShippingAddress]]))</f>
        <v>982 Main St</v>
      </c>
      <c r="Q581" t="str">
        <f>PROPER(TRIM((Table1[[#This Row],[PaymentMethod]])))</f>
        <v>Online</v>
      </c>
      <c r="R581" t="str">
        <f>PROPER(TRIM(Table1[[#This Row],[ReferralSource]]))</f>
        <v>Instagram</v>
      </c>
      <c r="S581" s="5">
        <f>Table1[[#This Row],[TotalPrice]]/Table1[[#This Row],[ItemsInCart]]</f>
        <v>20.832000000000001</v>
      </c>
    </row>
    <row r="582" spans="1:19" x14ac:dyDescent="0.3">
      <c r="A582" t="s">
        <v>40</v>
      </c>
      <c r="B582" s="1">
        <v>45357</v>
      </c>
      <c r="C582" t="s">
        <v>1240</v>
      </c>
      <c r="D582" t="s">
        <v>2408</v>
      </c>
      <c r="E582">
        <v>5</v>
      </c>
      <c r="F582">
        <v>59.55</v>
      </c>
      <c r="G582" t="s">
        <v>2436</v>
      </c>
      <c r="H582" t="s">
        <v>3066</v>
      </c>
      <c r="I582" t="s">
        <v>3073</v>
      </c>
      <c r="J582" t="s">
        <v>3101</v>
      </c>
      <c r="K582">
        <v>6</v>
      </c>
      <c r="L582" t="s">
        <v>4283</v>
      </c>
      <c r="M582" t="s">
        <v>4279</v>
      </c>
      <c r="N582" s="5">
        <v>297.75</v>
      </c>
      <c r="O582" t="str">
        <f>IF(ABS(Table1[[#This Row],[TotalPrice]]-Table1[[#This Row],[Quantity]]*Table1[[#This Row],[UnitPrice]]) &lt;0.01, "ok",)</f>
        <v>ok</v>
      </c>
      <c r="P582" t="str">
        <f>PROPER(TRIM(Table1[[#This Row],[ShippingAddress]]))</f>
        <v>296 Main St</v>
      </c>
      <c r="Q582" t="str">
        <f>PROPER(TRIM((Table1[[#This Row],[PaymentMethod]])))</f>
        <v>Online</v>
      </c>
      <c r="R582" t="str">
        <f>PROPER(TRIM(Table1[[#This Row],[ReferralSource]]))</f>
        <v>Referral</v>
      </c>
      <c r="S582" s="5">
        <f>Table1[[#This Row],[TotalPrice]]/Table1[[#This Row],[ItemsInCart]]</f>
        <v>49.625</v>
      </c>
    </row>
    <row r="583" spans="1:19" x14ac:dyDescent="0.3">
      <c r="A583" t="s">
        <v>702</v>
      </c>
      <c r="B583" s="1">
        <v>45357</v>
      </c>
      <c r="C583" t="s">
        <v>1900</v>
      </c>
      <c r="D583" t="s">
        <v>2403</v>
      </c>
      <c r="E583">
        <v>4</v>
      </c>
      <c r="F583">
        <v>593.22</v>
      </c>
      <c r="G583" t="s">
        <v>2842</v>
      </c>
      <c r="H583" t="s">
        <v>3067</v>
      </c>
      <c r="I583" t="s">
        <v>3071</v>
      </c>
      <c r="J583" t="s">
        <v>3763</v>
      </c>
      <c r="K583">
        <v>8</v>
      </c>
      <c r="L583" t="s">
        <v>4277</v>
      </c>
      <c r="M583" t="s">
        <v>4281</v>
      </c>
      <c r="N583" s="5">
        <v>2372.88</v>
      </c>
      <c r="O583" t="str">
        <f>IF(ABS(Table1[[#This Row],[TotalPrice]]-Table1[[#This Row],[Quantity]]*Table1[[#This Row],[UnitPrice]]) &lt;0.01, "ok",)</f>
        <v>ok</v>
      </c>
      <c r="P583" t="str">
        <f>PROPER(TRIM(Table1[[#This Row],[ShippingAddress]]))</f>
        <v>154 Main St</v>
      </c>
      <c r="Q583" t="str">
        <f>PROPER(TRIM((Table1[[#This Row],[PaymentMethod]])))</f>
        <v>Credit Card</v>
      </c>
      <c r="R583" t="str">
        <f>PROPER(TRIM(Table1[[#This Row],[ReferralSource]]))</f>
        <v>Facebook</v>
      </c>
      <c r="S583" s="5">
        <f>Table1[[#This Row],[TotalPrice]]/Table1[[#This Row],[ItemsInCart]]</f>
        <v>296.61</v>
      </c>
    </row>
    <row r="584" spans="1:19" x14ac:dyDescent="0.3">
      <c r="A584" t="s">
        <v>628</v>
      </c>
      <c r="B584" s="1">
        <v>45359</v>
      </c>
      <c r="C584" t="s">
        <v>1827</v>
      </c>
      <c r="D584" t="s">
        <v>2404</v>
      </c>
      <c r="E584">
        <v>1</v>
      </c>
      <c r="F584">
        <v>96.81</v>
      </c>
      <c r="G584" t="s">
        <v>2521</v>
      </c>
      <c r="H584" t="s">
        <v>3068</v>
      </c>
      <c r="I584" t="s">
        <v>3071</v>
      </c>
      <c r="J584" t="s">
        <v>3689</v>
      </c>
      <c r="K584">
        <v>3</v>
      </c>
      <c r="L584" t="s">
        <v>4283</v>
      </c>
      <c r="M584" t="s">
        <v>4279</v>
      </c>
      <c r="N584" s="5">
        <v>96.81</v>
      </c>
      <c r="O584" t="str">
        <f>IF(ABS(Table1[[#This Row],[TotalPrice]]-Table1[[#This Row],[Quantity]]*Table1[[#This Row],[UnitPrice]]) &lt;0.01, "ok",)</f>
        <v>ok</v>
      </c>
      <c r="P584" t="str">
        <f>PROPER(TRIM(Table1[[#This Row],[ShippingAddress]]))</f>
        <v>807 Main St</v>
      </c>
      <c r="Q584" t="str">
        <f>PROPER(TRIM((Table1[[#This Row],[PaymentMethod]])))</f>
        <v>Gift Card</v>
      </c>
      <c r="R584" t="str">
        <f>PROPER(TRIM(Table1[[#This Row],[ReferralSource]]))</f>
        <v>Referral</v>
      </c>
      <c r="S584" s="5">
        <f>Table1[[#This Row],[TotalPrice]]/Table1[[#This Row],[ItemsInCart]]</f>
        <v>32.270000000000003</v>
      </c>
    </row>
    <row r="585" spans="1:19" x14ac:dyDescent="0.3">
      <c r="A585" t="s">
        <v>557</v>
      </c>
      <c r="B585" s="1">
        <v>45360</v>
      </c>
      <c r="C585" t="s">
        <v>1757</v>
      </c>
      <c r="D585" t="s">
        <v>2409</v>
      </c>
      <c r="E585">
        <v>5</v>
      </c>
      <c r="F585">
        <v>269.86</v>
      </c>
      <c r="G585" t="s">
        <v>2569</v>
      </c>
      <c r="H585" t="s">
        <v>3069</v>
      </c>
      <c r="I585" t="s">
        <v>3070</v>
      </c>
      <c r="J585" t="s">
        <v>3618</v>
      </c>
      <c r="K585">
        <v>6</v>
      </c>
      <c r="L585" t="s">
        <v>4277</v>
      </c>
      <c r="M585" t="s">
        <v>4281</v>
      </c>
      <c r="N585" s="5">
        <v>1349.3</v>
      </c>
      <c r="O585" t="str">
        <f>IF(ABS(Table1[[#This Row],[TotalPrice]]-Table1[[#This Row],[Quantity]]*Table1[[#This Row],[UnitPrice]]) &lt;0.01, "ok",)</f>
        <v>ok</v>
      </c>
      <c r="P585" t="str">
        <f>PROPER(TRIM(Table1[[#This Row],[ShippingAddress]]))</f>
        <v>354 Main St</v>
      </c>
      <c r="Q585" t="str">
        <f>PROPER(TRIM((Table1[[#This Row],[PaymentMethod]])))</f>
        <v>Cash</v>
      </c>
      <c r="R585" t="str">
        <f>PROPER(TRIM(Table1[[#This Row],[ReferralSource]]))</f>
        <v>Facebook</v>
      </c>
      <c r="S585" s="5">
        <f>Table1[[#This Row],[TotalPrice]]/Table1[[#This Row],[ItemsInCart]]</f>
        <v>224.88333333333333</v>
      </c>
    </row>
    <row r="586" spans="1:19" x14ac:dyDescent="0.3">
      <c r="A586" t="s">
        <v>558</v>
      </c>
      <c r="B586" s="1">
        <v>45361</v>
      </c>
      <c r="C586" t="s">
        <v>1758</v>
      </c>
      <c r="D586" t="s">
        <v>2407</v>
      </c>
      <c r="E586">
        <v>5</v>
      </c>
      <c r="F586">
        <v>31.96</v>
      </c>
      <c r="G586" t="s">
        <v>2726</v>
      </c>
      <c r="H586" t="s">
        <v>3067</v>
      </c>
      <c r="I586" t="s">
        <v>3072</v>
      </c>
      <c r="J586" t="s">
        <v>3619</v>
      </c>
      <c r="K586">
        <v>5</v>
      </c>
      <c r="L586" t="s">
        <v>4276</v>
      </c>
      <c r="M586" t="s">
        <v>4279</v>
      </c>
      <c r="N586" s="5">
        <v>159.80000000000001</v>
      </c>
      <c r="O586" t="str">
        <f>IF(ABS(Table1[[#This Row],[TotalPrice]]-Table1[[#This Row],[Quantity]]*Table1[[#This Row],[UnitPrice]]) &lt;0.01, "ok",)</f>
        <v>ok</v>
      </c>
      <c r="P586" t="str">
        <f>PROPER(TRIM(Table1[[#This Row],[ShippingAddress]]))</f>
        <v>373 Main St</v>
      </c>
      <c r="Q586" t="str">
        <f>PROPER(TRIM((Table1[[#This Row],[PaymentMethod]])))</f>
        <v>Credit Card</v>
      </c>
      <c r="R586" t="str">
        <f>PROPER(TRIM(Table1[[#This Row],[ReferralSource]]))</f>
        <v>Referral</v>
      </c>
      <c r="S586" s="5">
        <f>Table1[[#This Row],[TotalPrice]]/Table1[[#This Row],[ItemsInCart]]</f>
        <v>31.96</v>
      </c>
    </row>
    <row r="587" spans="1:19" x14ac:dyDescent="0.3">
      <c r="A587" t="s">
        <v>778</v>
      </c>
      <c r="B587" s="1">
        <v>45361</v>
      </c>
      <c r="C587" t="s">
        <v>1975</v>
      </c>
      <c r="D587" t="s">
        <v>2408</v>
      </c>
      <c r="E587">
        <v>5</v>
      </c>
      <c r="F58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>
        <v>10</v>
      </c>
      <c r="L587" t="s">
        <v>4276</v>
      </c>
      <c r="M587" t="s">
        <v>4280</v>
      </c>
      <c r="N587" s="5">
        <v>3137.15</v>
      </c>
      <c r="O587" t="str">
        <f>IF(ABS(Table1[[#This Row],[TotalPrice]]-Table1[[#This Row],[Quantity]]*Table1[[#This Row],[UnitPrice]]) &lt;0.01, "ok",)</f>
        <v>ok</v>
      </c>
      <c r="P587" t="str">
        <f>PROPER(TRIM(Table1[[#This Row],[ShippingAddress]]))</f>
        <v>806 Main St</v>
      </c>
      <c r="Q587" t="str">
        <f>PROPER(TRIM((Table1[[#This Row],[PaymentMethod]])))</f>
        <v>Credit Card</v>
      </c>
      <c r="R587" t="str">
        <f>PROPER(TRIM(Table1[[#This Row],[ReferralSource]]))</f>
        <v>Email</v>
      </c>
      <c r="S587" s="5">
        <f>Table1[[#This Row],[TotalPrice]]/Table1[[#This Row],[ItemsInCart]]</f>
        <v>313.71500000000003</v>
      </c>
    </row>
    <row r="588" spans="1:19" x14ac:dyDescent="0.3">
      <c r="A588" t="s">
        <v>871</v>
      </c>
      <c r="B588" s="1">
        <v>45361</v>
      </c>
      <c r="C588" t="s">
        <v>2067</v>
      </c>
      <c r="D588" t="s">
        <v>2404</v>
      </c>
      <c r="E588">
        <v>3</v>
      </c>
      <c r="F588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>
        <v>4</v>
      </c>
      <c r="L588" t="s">
        <v>4283</v>
      </c>
      <c r="M588" t="s">
        <v>4278</v>
      </c>
      <c r="N588" s="5">
        <v>773.52</v>
      </c>
      <c r="O588" t="str">
        <f>IF(ABS(Table1[[#This Row],[TotalPrice]]-Table1[[#This Row],[Quantity]]*Table1[[#This Row],[UnitPrice]]) &lt;0.01, "ok",)</f>
        <v>ok</v>
      </c>
      <c r="P588" t="str">
        <f>PROPER(TRIM(Table1[[#This Row],[ShippingAddress]]))</f>
        <v>185 Main St</v>
      </c>
      <c r="Q588" t="str">
        <f>PROPER(TRIM((Table1[[#This Row],[PaymentMethod]])))</f>
        <v>Online</v>
      </c>
      <c r="R588" t="str">
        <f>PROPER(TRIM(Table1[[#This Row],[ReferralSource]]))</f>
        <v>Instagram</v>
      </c>
      <c r="S588" s="5">
        <f>Table1[[#This Row],[TotalPrice]]/Table1[[#This Row],[ItemsInCart]]</f>
        <v>193.38</v>
      </c>
    </row>
    <row r="589" spans="1:19" x14ac:dyDescent="0.3">
      <c r="A589" t="s">
        <v>977</v>
      </c>
      <c r="B589" s="1">
        <v>45362</v>
      </c>
      <c r="C589" t="s">
        <v>2170</v>
      </c>
      <c r="D589" t="s">
        <v>2406</v>
      </c>
      <c r="E589">
        <v>5</v>
      </c>
      <c r="F589">
        <v>530.34</v>
      </c>
      <c r="G589" t="s">
        <v>2572</v>
      </c>
      <c r="H589" t="s">
        <v>3066</v>
      </c>
      <c r="I589" t="s">
        <v>3070</v>
      </c>
      <c r="J589" t="s">
        <v>4038</v>
      </c>
      <c r="K589">
        <v>9</v>
      </c>
      <c r="L589" t="s">
        <v>4276</v>
      </c>
      <c r="M589" t="s">
        <v>4282</v>
      </c>
      <c r="N589" s="5">
        <v>2651.7</v>
      </c>
      <c r="O589" t="str">
        <f>IF(ABS(Table1[[#This Row],[TotalPrice]]-Table1[[#This Row],[Quantity]]*Table1[[#This Row],[UnitPrice]]) &lt;0.01, "ok",)</f>
        <v>ok</v>
      </c>
      <c r="P589" t="str">
        <f>PROPER(TRIM(Table1[[#This Row],[ShippingAddress]]))</f>
        <v>970 Main St</v>
      </c>
      <c r="Q589" t="str">
        <f>PROPER(TRIM((Table1[[#This Row],[PaymentMethod]])))</f>
        <v>Online</v>
      </c>
      <c r="R589" t="str">
        <f>PROPER(TRIM(Table1[[#This Row],[ReferralSource]]))</f>
        <v>Google</v>
      </c>
      <c r="S589" s="5">
        <f>Table1[[#This Row],[TotalPrice]]/Table1[[#This Row],[ItemsInCart]]</f>
        <v>294.63333333333333</v>
      </c>
    </row>
    <row r="590" spans="1:19" x14ac:dyDescent="0.3">
      <c r="A590" t="s">
        <v>846</v>
      </c>
      <c r="B590" s="1">
        <v>45363</v>
      </c>
      <c r="C590" t="s">
        <v>2042</v>
      </c>
      <c r="D590" t="s">
        <v>2406</v>
      </c>
      <c r="E590">
        <v>5</v>
      </c>
      <c r="F590">
        <v>485.71</v>
      </c>
      <c r="G590" t="s">
        <v>2423</v>
      </c>
      <c r="H590" t="s">
        <v>3066</v>
      </c>
      <c r="I590" t="s">
        <v>3074</v>
      </c>
      <c r="J590" t="s">
        <v>3907</v>
      </c>
      <c r="K590">
        <v>10</v>
      </c>
      <c r="L590" t="s">
        <v>4275</v>
      </c>
      <c r="M590" t="s">
        <v>4279</v>
      </c>
      <c r="N590" s="5">
        <v>2428.5500000000002</v>
      </c>
      <c r="O590" t="str">
        <f>IF(ABS(Table1[[#This Row],[TotalPrice]]-Table1[[#This Row],[Quantity]]*Table1[[#This Row],[UnitPrice]]) &lt;0.01, "ok",)</f>
        <v>ok</v>
      </c>
      <c r="P590" t="str">
        <f>PROPER(TRIM(Table1[[#This Row],[ShippingAddress]]))</f>
        <v>903 Main St</v>
      </c>
      <c r="Q590" t="str">
        <f>PROPER(TRIM((Table1[[#This Row],[PaymentMethod]])))</f>
        <v>Online</v>
      </c>
      <c r="R590" t="str">
        <f>PROPER(TRIM(Table1[[#This Row],[ReferralSource]]))</f>
        <v>Referral</v>
      </c>
      <c r="S590" s="5">
        <f>Table1[[#This Row],[TotalPrice]]/Table1[[#This Row],[ItemsInCart]]</f>
        <v>242.85500000000002</v>
      </c>
    </row>
    <row r="591" spans="1:19" x14ac:dyDescent="0.3">
      <c r="A591" t="s">
        <v>239</v>
      </c>
      <c r="B591" s="1">
        <v>45364</v>
      </c>
      <c r="C591" t="s">
        <v>1439</v>
      </c>
      <c r="D591" t="s">
        <v>2404</v>
      </c>
      <c r="E591">
        <v>3</v>
      </c>
      <c r="F591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>
        <v>8</v>
      </c>
      <c r="L591" t="s">
        <v>4275</v>
      </c>
      <c r="M591" t="s">
        <v>4282</v>
      </c>
      <c r="N591" s="5">
        <v>821.87999999999988</v>
      </c>
      <c r="O591" t="str">
        <f>IF(ABS(Table1[[#This Row],[TotalPrice]]-Table1[[#This Row],[Quantity]]*Table1[[#This Row],[UnitPrice]]) &lt;0.01, "ok",)</f>
        <v>ok</v>
      </c>
      <c r="P591" t="str">
        <f>PROPER(TRIM(Table1[[#This Row],[ShippingAddress]]))</f>
        <v>692 Main St</v>
      </c>
      <c r="Q591" t="str">
        <f>PROPER(TRIM((Table1[[#This Row],[PaymentMethod]])))</f>
        <v>Debit Card</v>
      </c>
      <c r="R591" t="str">
        <f>PROPER(TRIM(Table1[[#This Row],[ReferralSource]]))</f>
        <v>Google</v>
      </c>
      <c r="S591" s="5">
        <f>Table1[[#This Row],[TotalPrice]]/Table1[[#This Row],[ItemsInCart]]</f>
        <v>102.73499999999999</v>
      </c>
    </row>
    <row r="592" spans="1:19" x14ac:dyDescent="0.3">
      <c r="A592" t="s">
        <v>362</v>
      </c>
      <c r="B592" s="1">
        <v>45364</v>
      </c>
      <c r="C592" t="s">
        <v>1562</v>
      </c>
      <c r="D592" t="s">
        <v>2408</v>
      </c>
      <c r="E592">
        <v>3</v>
      </c>
      <c r="F592">
        <v>359.73</v>
      </c>
      <c r="G592" t="s">
        <v>2701</v>
      </c>
      <c r="H592" t="s">
        <v>3065</v>
      </c>
      <c r="I592" t="s">
        <v>3072</v>
      </c>
      <c r="J592" t="s">
        <v>3423</v>
      </c>
      <c r="K592">
        <v>7</v>
      </c>
      <c r="L592" t="s">
        <v>4276</v>
      </c>
      <c r="M592" t="s">
        <v>4280</v>
      </c>
      <c r="N592" s="5">
        <v>1079.19</v>
      </c>
      <c r="O592" t="str">
        <f>IF(ABS(Table1[[#This Row],[TotalPrice]]-Table1[[#This Row],[Quantity]]*Table1[[#This Row],[UnitPrice]]) &lt;0.01, "ok",)</f>
        <v>ok</v>
      </c>
      <c r="P592" t="str">
        <f>PROPER(TRIM(Table1[[#This Row],[ShippingAddress]]))</f>
        <v>885 Main St</v>
      </c>
      <c r="Q592" t="str">
        <f>PROPER(TRIM((Table1[[#This Row],[PaymentMethod]])))</f>
        <v>Debit Card</v>
      </c>
      <c r="R592" t="str">
        <f>PROPER(TRIM(Table1[[#This Row],[ReferralSource]]))</f>
        <v>Email</v>
      </c>
      <c r="S592" s="5">
        <f>Table1[[#This Row],[TotalPrice]]/Table1[[#This Row],[ItemsInCart]]</f>
        <v>154.17000000000002</v>
      </c>
    </row>
    <row r="593" spans="1:19" x14ac:dyDescent="0.3">
      <c r="A593" t="s">
        <v>1201</v>
      </c>
      <c r="B593" s="1">
        <v>45364</v>
      </c>
      <c r="C593" t="s">
        <v>2390</v>
      </c>
      <c r="D593" t="s">
        <v>2409</v>
      </c>
      <c r="E593">
        <v>2</v>
      </c>
      <c r="F593">
        <v>184.6</v>
      </c>
      <c r="G593" t="s">
        <v>2613</v>
      </c>
      <c r="H593" t="s">
        <v>3068</v>
      </c>
      <c r="I593" t="s">
        <v>3073</v>
      </c>
      <c r="J593" t="s">
        <v>4262</v>
      </c>
      <c r="K593">
        <v>7</v>
      </c>
      <c r="L593" t="s">
        <v>4277</v>
      </c>
      <c r="M593" t="s">
        <v>4280</v>
      </c>
      <c r="N593" s="5">
        <v>369.2</v>
      </c>
      <c r="O593" t="str">
        <f>IF(ABS(Table1[[#This Row],[TotalPrice]]-Table1[[#This Row],[Quantity]]*Table1[[#This Row],[UnitPrice]]) &lt;0.01, "ok",)</f>
        <v>ok</v>
      </c>
      <c r="P593" t="str">
        <f>PROPER(TRIM(Table1[[#This Row],[ShippingAddress]]))</f>
        <v>562 Main St</v>
      </c>
      <c r="Q593" t="str">
        <f>PROPER(TRIM((Table1[[#This Row],[PaymentMethod]])))</f>
        <v>Gift Card</v>
      </c>
      <c r="R593" t="str">
        <f>PROPER(TRIM(Table1[[#This Row],[ReferralSource]]))</f>
        <v>Email</v>
      </c>
      <c r="S593" s="5">
        <f>Table1[[#This Row],[TotalPrice]]/Table1[[#This Row],[ItemsInCart]]</f>
        <v>52.74285714285714</v>
      </c>
    </row>
    <row r="594" spans="1:19" x14ac:dyDescent="0.3">
      <c r="A594" t="s">
        <v>251</v>
      </c>
      <c r="B594" s="1">
        <v>45365</v>
      </c>
      <c r="C594" t="s">
        <v>1451</v>
      </c>
      <c r="D594" t="s">
        <v>2403</v>
      </c>
      <c r="E594">
        <v>3</v>
      </c>
      <c r="F594">
        <v>583.72</v>
      </c>
      <c r="G594" t="s">
        <v>2614</v>
      </c>
      <c r="H594" t="s">
        <v>3067</v>
      </c>
      <c r="I594" t="s">
        <v>3070</v>
      </c>
      <c r="J594" t="s">
        <v>3312</v>
      </c>
      <c r="K594">
        <v>5</v>
      </c>
      <c r="L594" t="s">
        <v>4276</v>
      </c>
      <c r="M594" t="s">
        <v>4281</v>
      </c>
      <c r="N594" s="5">
        <v>1751.16</v>
      </c>
      <c r="O594" t="str">
        <f>IF(ABS(Table1[[#This Row],[TotalPrice]]-Table1[[#This Row],[Quantity]]*Table1[[#This Row],[UnitPrice]]) &lt;0.01, "ok",)</f>
        <v>ok</v>
      </c>
      <c r="P594" t="str">
        <f>PROPER(TRIM(Table1[[#This Row],[ShippingAddress]]))</f>
        <v>783 Main St</v>
      </c>
      <c r="Q594" t="str">
        <f>PROPER(TRIM((Table1[[#This Row],[PaymentMethod]])))</f>
        <v>Credit Card</v>
      </c>
      <c r="R594" t="str">
        <f>PROPER(TRIM(Table1[[#This Row],[ReferralSource]]))</f>
        <v>Facebook</v>
      </c>
      <c r="S594" s="5">
        <f>Table1[[#This Row],[TotalPrice]]/Table1[[#This Row],[ItemsInCart]]</f>
        <v>350.23200000000003</v>
      </c>
    </row>
    <row r="595" spans="1:19" x14ac:dyDescent="0.3">
      <c r="A595" t="s">
        <v>525</v>
      </c>
      <c r="B595" s="1">
        <v>45366</v>
      </c>
      <c r="C595" t="s">
        <v>1725</v>
      </c>
      <c r="D595" t="s">
        <v>2403</v>
      </c>
      <c r="E595">
        <v>5</v>
      </c>
      <c r="F595">
        <v>575.24</v>
      </c>
      <c r="G595" t="s">
        <v>2450</v>
      </c>
      <c r="H595" t="s">
        <v>3069</v>
      </c>
      <c r="I595" t="s">
        <v>3073</v>
      </c>
      <c r="J595" t="s">
        <v>3586</v>
      </c>
      <c r="K595">
        <v>7</v>
      </c>
      <c r="L595" t="s">
        <v>4277</v>
      </c>
      <c r="M595" t="s">
        <v>4280</v>
      </c>
      <c r="N595" s="5">
        <v>2876.2</v>
      </c>
      <c r="O595" t="str">
        <f>IF(ABS(Table1[[#This Row],[TotalPrice]]-Table1[[#This Row],[Quantity]]*Table1[[#This Row],[UnitPrice]]) &lt;0.01, "ok",)</f>
        <v>ok</v>
      </c>
      <c r="P595" t="str">
        <f>PROPER(TRIM(Table1[[#This Row],[ShippingAddress]]))</f>
        <v>267 Main St</v>
      </c>
      <c r="Q595" t="str">
        <f>PROPER(TRIM((Table1[[#This Row],[PaymentMethod]])))</f>
        <v>Cash</v>
      </c>
      <c r="R595" t="str">
        <f>PROPER(TRIM(Table1[[#This Row],[ReferralSource]]))</f>
        <v>Email</v>
      </c>
      <c r="S595" s="5">
        <f>Table1[[#This Row],[TotalPrice]]/Table1[[#This Row],[ItemsInCart]]</f>
        <v>410.88571428571424</v>
      </c>
    </row>
    <row r="596" spans="1:19" x14ac:dyDescent="0.3">
      <c r="A596" t="s">
        <v>801</v>
      </c>
      <c r="B596" s="1">
        <v>45368</v>
      </c>
      <c r="C596" t="s">
        <v>1998</v>
      </c>
      <c r="D596" t="s">
        <v>2409</v>
      </c>
      <c r="E596">
        <v>4</v>
      </c>
      <c r="F596">
        <v>221.96</v>
      </c>
      <c r="G596" t="s">
        <v>2922</v>
      </c>
      <c r="H596" t="s">
        <v>3069</v>
      </c>
      <c r="I596" t="s">
        <v>3073</v>
      </c>
      <c r="J596" t="s">
        <v>3862</v>
      </c>
      <c r="K596">
        <v>7</v>
      </c>
      <c r="L596" t="s">
        <v>4283</v>
      </c>
      <c r="M596" t="s">
        <v>4282</v>
      </c>
      <c r="N596" s="5">
        <v>887.84</v>
      </c>
      <c r="O596" t="str">
        <f>IF(ABS(Table1[[#This Row],[TotalPrice]]-Table1[[#This Row],[Quantity]]*Table1[[#This Row],[UnitPrice]]) &lt;0.01, "ok",)</f>
        <v>ok</v>
      </c>
      <c r="P596" t="str">
        <f>PROPER(TRIM(Table1[[#This Row],[ShippingAddress]]))</f>
        <v>193 Main St</v>
      </c>
      <c r="Q596" t="str">
        <f>PROPER(TRIM((Table1[[#This Row],[PaymentMethod]])))</f>
        <v>Cash</v>
      </c>
      <c r="R596" t="str">
        <f>PROPER(TRIM(Table1[[#This Row],[ReferralSource]]))</f>
        <v>Google</v>
      </c>
      <c r="S596" s="5">
        <f>Table1[[#This Row],[TotalPrice]]/Table1[[#This Row],[ItemsInCart]]</f>
        <v>126.83428571428571</v>
      </c>
    </row>
    <row r="597" spans="1:19" x14ac:dyDescent="0.3">
      <c r="A597" t="s">
        <v>883</v>
      </c>
      <c r="B597" s="1">
        <v>45368</v>
      </c>
      <c r="C597" t="s">
        <v>2079</v>
      </c>
      <c r="D597" t="s">
        <v>2409</v>
      </c>
      <c r="E597">
        <v>2</v>
      </c>
      <c r="F59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>
        <v>5</v>
      </c>
      <c r="L597" t="s">
        <v>4277</v>
      </c>
      <c r="M597" t="s">
        <v>4282</v>
      </c>
      <c r="N597" s="5">
        <v>1067.9000000000001</v>
      </c>
      <c r="O597" t="str">
        <f>IF(ABS(Table1[[#This Row],[TotalPrice]]-Table1[[#This Row],[Quantity]]*Table1[[#This Row],[UnitPrice]]) &lt;0.01, "ok",)</f>
        <v>ok</v>
      </c>
      <c r="P597" t="str">
        <f>PROPER(TRIM(Table1[[#This Row],[ShippingAddress]]))</f>
        <v>790 Main St</v>
      </c>
      <c r="Q597" t="str">
        <f>PROPER(TRIM((Table1[[#This Row],[PaymentMethod]])))</f>
        <v>Online</v>
      </c>
      <c r="R597" t="str">
        <f>PROPER(TRIM(Table1[[#This Row],[ReferralSource]]))</f>
        <v>Google</v>
      </c>
      <c r="S597" s="5">
        <f>Table1[[#This Row],[TotalPrice]]/Table1[[#This Row],[ItemsInCart]]</f>
        <v>213.58</v>
      </c>
    </row>
    <row r="598" spans="1:19" x14ac:dyDescent="0.3">
      <c r="A598" t="s">
        <v>735</v>
      </c>
      <c r="B598" s="1">
        <v>45369</v>
      </c>
      <c r="C598" t="s">
        <v>1932</v>
      </c>
      <c r="D598" t="s">
        <v>2409</v>
      </c>
      <c r="E598">
        <v>2</v>
      </c>
      <c r="F598">
        <v>118.59</v>
      </c>
      <c r="G598" t="s">
        <v>2893</v>
      </c>
      <c r="H598" t="s">
        <v>3067</v>
      </c>
      <c r="I598" t="s">
        <v>3073</v>
      </c>
      <c r="J598" t="s">
        <v>3796</v>
      </c>
      <c r="K598">
        <v>2</v>
      </c>
      <c r="L598" t="s">
        <v>4283</v>
      </c>
      <c r="M598" t="s">
        <v>4280</v>
      </c>
      <c r="N598" s="5">
        <v>237.18</v>
      </c>
      <c r="O598" t="str">
        <f>IF(ABS(Table1[[#This Row],[TotalPrice]]-Table1[[#This Row],[Quantity]]*Table1[[#This Row],[UnitPrice]]) &lt;0.01, "ok",)</f>
        <v>ok</v>
      </c>
      <c r="P598" t="str">
        <f>PROPER(TRIM(Table1[[#This Row],[ShippingAddress]]))</f>
        <v>890 Main St</v>
      </c>
      <c r="Q598" t="str">
        <f>PROPER(TRIM((Table1[[#This Row],[PaymentMethod]])))</f>
        <v>Credit Card</v>
      </c>
      <c r="R598" t="str">
        <f>PROPER(TRIM(Table1[[#This Row],[ReferralSource]]))</f>
        <v>Email</v>
      </c>
      <c r="S598" s="5">
        <f>Table1[[#This Row],[TotalPrice]]/Table1[[#This Row],[ItemsInCart]]</f>
        <v>118.59</v>
      </c>
    </row>
    <row r="599" spans="1:19" x14ac:dyDescent="0.3">
      <c r="A599" t="s">
        <v>940</v>
      </c>
      <c r="B599" s="1">
        <v>45371</v>
      </c>
      <c r="C599" t="s">
        <v>2136</v>
      </c>
      <c r="D599" t="s">
        <v>2409</v>
      </c>
      <c r="E599">
        <v>1</v>
      </c>
      <c r="F599">
        <v>26.95</v>
      </c>
      <c r="G599" t="s">
        <v>2774</v>
      </c>
      <c r="H599" t="s">
        <v>3069</v>
      </c>
      <c r="I599" t="s">
        <v>3073</v>
      </c>
      <c r="J599" t="s">
        <v>4001</v>
      </c>
      <c r="K599">
        <v>1</v>
      </c>
      <c r="L599" t="s">
        <v>4277</v>
      </c>
      <c r="M599" t="s">
        <v>4280</v>
      </c>
      <c r="N599" s="5">
        <v>26.95</v>
      </c>
      <c r="O599" t="str">
        <f>IF(ABS(Table1[[#This Row],[TotalPrice]]-Table1[[#This Row],[Quantity]]*Table1[[#This Row],[UnitPrice]]) &lt;0.01, "ok",)</f>
        <v>ok</v>
      </c>
      <c r="P599" t="str">
        <f>PROPER(TRIM(Table1[[#This Row],[ShippingAddress]]))</f>
        <v>672 Main St</v>
      </c>
      <c r="Q599" t="str">
        <f>PROPER(TRIM((Table1[[#This Row],[PaymentMethod]])))</f>
        <v>Cash</v>
      </c>
      <c r="R599" t="str">
        <f>PROPER(TRIM(Table1[[#This Row],[ReferralSource]]))</f>
        <v>Email</v>
      </c>
      <c r="S599" s="5">
        <f>Table1[[#This Row],[TotalPrice]]/Table1[[#This Row],[ItemsInCart]]</f>
        <v>26.95</v>
      </c>
    </row>
    <row r="600" spans="1:19" x14ac:dyDescent="0.3">
      <c r="A600" t="s">
        <v>1021</v>
      </c>
      <c r="B600" s="1">
        <v>45371</v>
      </c>
      <c r="C600" t="s">
        <v>1699</v>
      </c>
      <c r="D600" t="s">
        <v>2403</v>
      </c>
      <c r="E600">
        <v>2</v>
      </c>
      <c r="F600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>
        <v>4</v>
      </c>
      <c r="L600" t="s">
        <v>4277</v>
      </c>
      <c r="M600" t="s">
        <v>4281</v>
      </c>
      <c r="N600" s="5">
        <v>146.52000000000001</v>
      </c>
      <c r="O600" t="str">
        <f>IF(ABS(Table1[[#This Row],[TotalPrice]]-Table1[[#This Row],[Quantity]]*Table1[[#This Row],[UnitPrice]]) &lt;0.01, "ok",)</f>
        <v>ok</v>
      </c>
      <c r="P600" t="str">
        <f>PROPER(TRIM(Table1[[#This Row],[ShippingAddress]]))</f>
        <v>839 Main St</v>
      </c>
      <c r="Q600" t="str">
        <f>PROPER(TRIM((Table1[[#This Row],[PaymentMethod]])))</f>
        <v>Cash</v>
      </c>
      <c r="R600" t="str">
        <f>PROPER(TRIM(Table1[[#This Row],[ReferralSource]]))</f>
        <v>Facebook</v>
      </c>
      <c r="S600" s="5">
        <f>Table1[[#This Row],[TotalPrice]]/Table1[[#This Row],[ItemsInCart]]</f>
        <v>36.630000000000003</v>
      </c>
    </row>
    <row r="601" spans="1:19" x14ac:dyDescent="0.3">
      <c r="A601" t="s">
        <v>267</v>
      </c>
      <c r="B601" s="1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 s="5">
        <v>1654.96</v>
      </c>
      <c r="O601" t="str">
        <f>IF(ABS(Table1[[#This Row],[TotalPrice]]-Table1[[#This Row],[Quantity]]*Table1[[#This Row],[UnitPrice]]) &lt;0.01, "ok",)</f>
        <v>ok</v>
      </c>
      <c r="P601" t="str">
        <f>PROPER(TRIM(Table1[[#This Row],[ShippingAddress]]))</f>
        <v>743 Main St</v>
      </c>
      <c r="Q601" t="str">
        <f>PROPER(TRIM((Table1[[#This Row],[PaymentMethod]])))</f>
        <v>Gift Card</v>
      </c>
      <c r="R601" t="str">
        <f>PROPER(TRIM(Table1[[#This Row],[ReferralSource]]))</f>
        <v>Instagram</v>
      </c>
      <c r="S601" s="5">
        <f>Table1[[#This Row],[TotalPrice]]/Table1[[#This Row],[ItemsInCart]]</f>
        <v>236.42285714285714</v>
      </c>
    </row>
    <row r="602" spans="1:19" x14ac:dyDescent="0.3">
      <c r="A602" t="s">
        <v>459</v>
      </c>
      <c r="B602" s="1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 s="5">
        <v>487.21</v>
      </c>
      <c r="O602" t="str">
        <f>IF(ABS(Table1[[#This Row],[TotalPrice]]-Table1[[#This Row],[Quantity]]*Table1[[#This Row],[UnitPrice]]) &lt;0.01, "ok",)</f>
        <v>ok</v>
      </c>
      <c r="P602" t="str">
        <f>PROPER(TRIM(Table1[[#This Row],[ShippingAddress]]))</f>
        <v>227 Main St</v>
      </c>
      <c r="Q602" t="str">
        <f>PROPER(TRIM((Table1[[#This Row],[PaymentMethod]])))</f>
        <v>Cash</v>
      </c>
      <c r="R602" t="str">
        <f>PROPER(TRIM(Table1[[#This Row],[ReferralSource]]))</f>
        <v>Referral</v>
      </c>
      <c r="S602" s="5">
        <f>Table1[[#This Row],[TotalPrice]]/Table1[[#This Row],[ItemsInCart]]</f>
        <v>162.40333333333334</v>
      </c>
    </row>
    <row r="603" spans="1:19" x14ac:dyDescent="0.3">
      <c r="A603" t="s">
        <v>75</v>
      </c>
      <c r="B603" s="1">
        <v>45375</v>
      </c>
      <c r="C603" t="s">
        <v>1275</v>
      </c>
      <c r="D603" t="s">
        <v>2409</v>
      </c>
      <c r="E603">
        <v>4</v>
      </c>
      <c r="F603">
        <v>122.2</v>
      </c>
      <c r="G603" t="s">
        <v>2467</v>
      </c>
      <c r="H603" t="s">
        <v>3069</v>
      </c>
      <c r="I603" t="s">
        <v>3073</v>
      </c>
      <c r="J603" t="s">
        <v>3136</v>
      </c>
      <c r="K603">
        <v>7</v>
      </c>
      <c r="L603" t="s">
        <v>4276</v>
      </c>
      <c r="M603" t="s">
        <v>4281</v>
      </c>
      <c r="N603" s="5">
        <v>488.8</v>
      </c>
      <c r="O603" t="str">
        <f>IF(ABS(Table1[[#This Row],[TotalPrice]]-Table1[[#This Row],[Quantity]]*Table1[[#This Row],[UnitPrice]]) &lt;0.01, "ok",)</f>
        <v>ok</v>
      </c>
      <c r="P603" t="str">
        <f>PROPER(TRIM(Table1[[#This Row],[ShippingAddress]]))</f>
        <v>104 Main St</v>
      </c>
      <c r="Q603" t="str">
        <f>PROPER(TRIM((Table1[[#This Row],[PaymentMethod]])))</f>
        <v>Cash</v>
      </c>
      <c r="R603" t="str">
        <f>PROPER(TRIM(Table1[[#This Row],[ReferralSource]]))</f>
        <v>Facebook</v>
      </c>
      <c r="S603" s="5">
        <f>Table1[[#This Row],[TotalPrice]]/Table1[[#This Row],[ItemsInCart]]</f>
        <v>69.828571428571436</v>
      </c>
    </row>
    <row r="604" spans="1:19" x14ac:dyDescent="0.3">
      <c r="A604" t="s">
        <v>187</v>
      </c>
      <c r="B604" s="1">
        <v>45375</v>
      </c>
      <c r="C604" t="s">
        <v>1387</v>
      </c>
      <c r="D604" t="s">
        <v>2404</v>
      </c>
      <c r="E604">
        <v>3</v>
      </c>
      <c r="F604">
        <v>664.46</v>
      </c>
      <c r="G604" t="s">
        <v>2565</v>
      </c>
      <c r="H604" t="s">
        <v>3066</v>
      </c>
      <c r="I604" t="s">
        <v>3073</v>
      </c>
      <c r="J604" t="s">
        <v>3248</v>
      </c>
      <c r="K604">
        <v>4</v>
      </c>
      <c r="L604" t="s">
        <v>4276</v>
      </c>
      <c r="M604" t="s">
        <v>4282</v>
      </c>
      <c r="N604" s="5">
        <v>1993.38</v>
      </c>
      <c r="O604" t="str">
        <f>IF(ABS(Table1[[#This Row],[TotalPrice]]-Table1[[#This Row],[Quantity]]*Table1[[#This Row],[UnitPrice]]) &lt;0.01, "ok",)</f>
        <v>ok</v>
      </c>
      <c r="P604" t="str">
        <f>PROPER(TRIM(Table1[[#This Row],[ShippingAddress]]))</f>
        <v>806 Main St</v>
      </c>
      <c r="Q604" t="str">
        <f>PROPER(TRIM((Table1[[#This Row],[PaymentMethod]])))</f>
        <v>Online</v>
      </c>
      <c r="R604" t="str">
        <f>PROPER(TRIM(Table1[[#This Row],[ReferralSource]]))</f>
        <v>Google</v>
      </c>
      <c r="S604" s="5">
        <f>Table1[[#This Row],[TotalPrice]]/Table1[[#This Row],[ItemsInCart]]</f>
        <v>498.34500000000003</v>
      </c>
    </row>
    <row r="605" spans="1:19" x14ac:dyDescent="0.3">
      <c r="A605" t="s">
        <v>348</v>
      </c>
      <c r="B605" s="1">
        <v>45377</v>
      </c>
      <c r="C605" t="s">
        <v>1548</v>
      </c>
      <c r="D605" t="s">
        <v>2406</v>
      </c>
      <c r="E605">
        <v>4</v>
      </c>
      <c r="F605">
        <v>224.75</v>
      </c>
      <c r="G605" t="s">
        <v>2688</v>
      </c>
      <c r="H605" t="s">
        <v>3066</v>
      </c>
      <c r="I605" t="s">
        <v>3073</v>
      </c>
      <c r="J605" t="s">
        <v>3409</v>
      </c>
      <c r="K605">
        <v>7</v>
      </c>
      <c r="L605" t="s">
        <v>4277</v>
      </c>
      <c r="M605" t="s">
        <v>4281</v>
      </c>
      <c r="N605" s="5">
        <v>899</v>
      </c>
      <c r="O605" t="str">
        <f>IF(ABS(Table1[[#This Row],[TotalPrice]]-Table1[[#This Row],[Quantity]]*Table1[[#This Row],[UnitPrice]]) &lt;0.01, "ok",)</f>
        <v>ok</v>
      </c>
      <c r="P605" t="str">
        <f>PROPER(TRIM(Table1[[#This Row],[ShippingAddress]]))</f>
        <v>728 Main St</v>
      </c>
      <c r="Q605" t="str">
        <f>PROPER(TRIM((Table1[[#This Row],[PaymentMethod]])))</f>
        <v>Online</v>
      </c>
      <c r="R605" t="str">
        <f>PROPER(TRIM(Table1[[#This Row],[ReferralSource]]))</f>
        <v>Facebook</v>
      </c>
      <c r="S605" s="5">
        <f>Table1[[#This Row],[TotalPrice]]/Table1[[#This Row],[ItemsInCart]]</f>
        <v>128.42857142857142</v>
      </c>
    </row>
    <row r="606" spans="1:19" x14ac:dyDescent="0.3">
      <c r="A606" t="s">
        <v>469</v>
      </c>
      <c r="B606" s="1">
        <v>45377</v>
      </c>
      <c r="C606" t="s">
        <v>1669</v>
      </c>
      <c r="D606" t="s">
        <v>2404</v>
      </c>
      <c r="E606">
        <v>1</v>
      </c>
      <c r="F606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>
        <v>2</v>
      </c>
      <c r="L606" t="s">
        <v>4275</v>
      </c>
      <c r="M606" t="s">
        <v>4279</v>
      </c>
      <c r="N606" s="5">
        <v>639.83000000000004</v>
      </c>
      <c r="O606" t="str">
        <f>IF(ABS(Table1[[#This Row],[TotalPrice]]-Table1[[#This Row],[Quantity]]*Table1[[#This Row],[UnitPrice]]) &lt;0.01, "ok",)</f>
        <v>ok</v>
      </c>
      <c r="P606" t="str">
        <f>PROPER(TRIM(Table1[[#This Row],[ShippingAddress]]))</f>
        <v>874 Main St</v>
      </c>
      <c r="Q606" t="str">
        <f>PROPER(TRIM((Table1[[#This Row],[PaymentMethod]])))</f>
        <v>Debit Card</v>
      </c>
      <c r="R606" t="str">
        <f>PROPER(TRIM(Table1[[#This Row],[ReferralSource]]))</f>
        <v>Referral</v>
      </c>
      <c r="S606" s="5">
        <f>Table1[[#This Row],[TotalPrice]]/Table1[[#This Row],[ItemsInCart]]</f>
        <v>319.91500000000002</v>
      </c>
    </row>
    <row r="607" spans="1:19" x14ac:dyDescent="0.3">
      <c r="A607" t="s">
        <v>849</v>
      </c>
      <c r="B607" s="1">
        <v>45377</v>
      </c>
      <c r="C607" t="s">
        <v>2045</v>
      </c>
      <c r="D607" t="s">
        <v>2409</v>
      </c>
      <c r="E607">
        <v>1</v>
      </c>
      <c r="F607">
        <v>679.65</v>
      </c>
      <c r="G607" t="s">
        <v>2949</v>
      </c>
      <c r="H607" t="s">
        <v>3065</v>
      </c>
      <c r="I607" t="s">
        <v>3070</v>
      </c>
      <c r="J607" t="s">
        <v>3910</v>
      </c>
      <c r="K607">
        <v>6</v>
      </c>
      <c r="L607" t="s">
        <v>4276</v>
      </c>
      <c r="M607" t="s">
        <v>4282</v>
      </c>
      <c r="N607" s="5">
        <v>679.65</v>
      </c>
      <c r="O607" t="str">
        <f>IF(ABS(Table1[[#This Row],[TotalPrice]]-Table1[[#This Row],[Quantity]]*Table1[[#This Row],[UnitPrice]]) &lt;0.01, "ok",)</f>
        <v>ok</v>
      </c>
      <c r="P607" t="str">
        <f>PROPER(TRIM(Table1[[#This Row],[ShippingAddress]]))</f>
        <v>390 Main St</v>
      </c>
      <c r="Q607" t="str">
        <f>PROPER(TRIM((Table1[[#This Row],[PaymentMethod]])))</f>
        <v>Debit Card</v>
      </c>
      <c r="R607" t="str">
        <f>PROPER(TRIM(Table1[[#This Row],[ReferralSource]]))</f>
        <v>Google</v>
      </c>
      <c r="S607" s="5">
        <f>Table1[[#This Row],[TotalPrice]]/Table1[[#This Row],[ItemsInCart]]</f>
        <v>113.27499999999999</v>
      </c>
    </row>
    <row r="608" spans="1:19" x14ac:dyDescent="0.3">
      <c r="A608" t="s">
        <v>634</v>
      </c>
      <c r="B608" s="1">
        <v>45378</v>
      </c>
      <c r="C608" t="s">
        <v>1833</v>
      </c>
      <c r="D608" t="s">
        <v>2405</v>
      </c>
      <c r="E608">
        <v>3</v>
      </c>
      <c r="F608">
        <v>136.34</v>
      </c>
      <c r="G608" t="s">
        <v>2846</v>
      </c>
      <c r="H608" t="s">
        <v>3065</v>
      </c>
      <c r="I608" t="s">
        <v>3072</v>
      </c>
      <c r="J608" t="s">
        <v>3695</v>
      </c>
      <c r="K608">
        <v>8</v>
      </c>
      <c r="L608" t="s">
        <v>4275</v>
      </c>
      <c r="M608" t="s">
        <v>4279</v>
      </c>
      <c r="N608" s="5">
        <v>409.02</v>
      </c>
      <c r="O608" t="str">
        <f>IF(ABS(Table1[[#This Row],[TotalPrice]]-Table1[[#This Row],[Quantity]]*Table1[[#This Row],[UnitPrice]]) &lt;0.01, "ok",)</f>
        <v>ok</v>
      </c>
      <c r="P608" t="str">
        <f>PROPER(TRIM(Table1[[#This Row],[ShippingAddress]]))</f>
        <v>866 Main St</v>
      </c>
      <c r="Q608" t="str">
        <f>PROPER(TRIM((Table1[[#This Row],[PaymentMethod]])))</f>
        <v>Debit Card</v>
      </c>
      <c r="R608" t="str">
        <f>PROPER(TRIM(Table1[[#This Row],[ReferralSource]]))</f>
        <v>Referral</v>
      </c>
      <c r="S608" s="5">
        <f>Table1[[#This Row],[TotalPrice]]/Table1[[#This Row],[ItemsInCart]]</f>
        <v>51.127499999999998</v>
      </c>
    </row>
    <row r="609" spans="1:19" x14ac:dyDescent="0.3">
      <c r="A609" t="s">
        <v>175</v>
      </c>
      <c r="B609" s="1">
        <v>45380</v>
      </c>
      <c r="C609" t="s">
        <v>1375</v>
      </c>
      <c r="D609" t="s">
        <v>2403</v>
      </c>
      <c r="E609">
        <v>1</v>
      </c>
      <c r="F609">
        <v>211.14</v>
      </c>
      <c r="G609" t="s">
        <v>2532</v>
      </c>
      <c r="H609" t="s">
        <v>3067</v>
      </c>
      <c r="I609" t="s">
        <v>3071</v>
      </c>
      <c r="J609" t="s">
        <v>3236</v>
      </c>
      <c r="K609">
        <v>1</v>
      </c>
      <c r="L609" t="s">
        <v>4275</v>
      </c>
      <c r="M609" t="s">
        <v>4281</v>
      </c>
      <c r="N609" s="5">
        <v>211.14</v>
      </c>
      <c r="O609" t="str">
        <f>IF(ABS(Table1[[#This Row],[TotalPrice]]-Table1[[#This Row],[Quantity]]*Table1[[#This Row],[UnitPrice]]) &lt;0.01, "ok",)</f>
        <v>ok</v>
      </c>
      <c r="P609" t="str">
        <f>PROPER(TRIM(Table1[[#This Row],[ShippingAddress]]))</f>
        <v>513 Main St</v>
      </c>
      <c r="Q609" t="str">
        <f>PROPER(TRIM((Table1[[#This Row],[PaymentMethod]])))</f>
        <v>Credit Card</v>
      </c>
      <c r="R609" t="str">
        <f>PROPER(TRIM(Table1[[#This Row],[ReferralSource]]))</f>
        <v>Facebook</v>
      </c>
      <c r="S609" s="5">
        <f>Table1[[#This Row],[TotalPrice]]/Table1[[#This Row],[ItemsInCart]]</f>
        <v>211.14</v>
      </c>
    </row>
    <row r="610" spans="1:19" x14ac:dyDescent="0.3">
      <c r="A610" t="s">
        <v>90</v>
      </c>
      <c r="B610" s="1">
        <v>45382</v>
      </c>
      <c r="C610" t="s">
        <v>1290</v>
      </c>
      <c r="D610" t="s">
        <v>2408</v>
      </c>
      <c r="E610">
        <v>4</v>
      </c>
      <c r="F610">
        <v>382.88</v>
      </c>
      <c r="G610" t="s">
        <v>2480</v>
      </c>
      <c r="H610" t="s">
        <v>3069</v>
      </c>
      <c r="I610" t="s">
        <v>3071</v>
      </c>
      <c r="J610" t="s">
        <v>3151</v>
      </c>
      <c r="K610">
        <v>6</v>
      </c>
      <c r="L610" t="s">
        <v>4277</v>
      </c>
      <c r="M610" t="s">
        <v>4280</v>
      </c>
      <c r="N610" s="5">
        <v>1531.52</v>
      </c>
      <c r="O610" t="str">
        <f>IF(ABS(Table1[[#This Row],[TotalPrice]]-Table1[[#This Row],[Quantity]]*Table1[[#This Row],[UnitPrice]]) &lt;0.01, "ok",)</f>
        <v>ok</v>
      </c>
      <c r="P610" t="str">
        <f>PROPER(TRIM(Table1[[#This Row],[ShippingAddress]]))</f>
        <v>239 Main St</v>
      </c>
      <c r="Q610" t="str">
        <f>PROPER(TRIM((Table1[[#This Row],[PaymentMethod]])))</f>
        <v>Cash</v>
      </c>
      <c r="R610" t="str">
        <f>PROPER(TRIM(Table1[[#This Row],[ReferralSource]]))</f>
        <v>Email</v>
      </c>
      <c r="S610" s="5">
        <f>Table1[[#This Row],[TotalPrice]]/Table1[[#This Row],[ItemsInCart]]</f>
        <v>255.25333333333333</v>
      </c>
    </row>
    <row r="611" spans="1:19" x14ac:dyDescent="0.3">
      <c r="A611" t="s">
        <v>794</v>
      </c>
      <c r="B611" s="1">
        <v>45382</v>
      </c>
      <c r="C611" t="s">
        <v>1991</v>
      </c>
      <c r="D611" t="s">
        <v>2408</v>
      </c>
      <c r="E611">
        <v>4</v>
      </c>
      <c r="F611">
        <v>184.48</v>
      </c>
      <c r="G611" t="s">
        <v>2755</v>
      </c>
      <c r="H611" t="s">
        <v>3066</v>
      </c>
      <c r="I611" t="s">
        <v>3071</v>
      </c>
      <c r="J611" t="s">
        <v>3855</v>
      </c>
      <c r="K611">
        <v>4</v>
      </c>
      <c r="L611" t="s">
        <v>4277</v>
      </c>
      <c r="M611" t="s">
        <v>4282</v>
      </c>
      <c r="N611" s="5">
        <v>737.92</v>
      </c>
      <c r="O611" t="str">
        <f>IF(ABS(Table1[[#This Row],[TotalPrice]]-Table1[[#This Row],[Quantity]]*Table1[[#This Row],[UnitPrice]]) &lt;0.01, "ok",)</f>
        <v>ok</v>
      </c>
      <c r="P611" t="str">
        <f>PROPER(TRIM(Table1[[#This Row],[ShippingAddress]]))</f>
        <v>661 Main St</v>
      </c>
      <c r="Q611" t="str">
        <f>PROPER(TRIM((Table1[[#This Row],[PaymentMethod]])))</f>
        <v>Online</v>
      </c>
      <c r="R611" t="str">
        <f>PROPER(TRIM(Table1[[#This Row],[ReferralSource]]))</f>
        <v>Google</v>
      </c>
      <c r="S611" s="5">
        <f>Table1[[#This Row],[TotalPrice]]/Table1[[#This Row],[ItemsInCart]]</f>
        <v>184.48</v>
      </c>
    </row>
    <row r="612" spans="1:19" x14ac:dyDescent="0.3">
      <c r="A612" t="s">
        <v>198</v>
      </c>
      <c r="B612" s="1">
        <v>45386</v>
      </c>
      <c r="C612" t="s">
        <v>1398</v>
      </c>
      <c r="D612" t="s">
        <v>2405</v>
      </c>
      <c r="E612">
        <v>4</v>
      </c>
      <c r="F612">
        <v>214.54</v>
      </c>
      <c r="G612" t="s">
        <v>2576</v>
      </c>
      <c r="H612" t="s">
        <v>3068</v>
      </c>
      <c r="I612" t="s">
        <v>3071</v>
      </c>
      <c r="J612" t="s">
        <v>3259</v>
      </c>
      <c r="K612">
        <v>7</v>
      </c>
      <c r="L612" t="s">
        <v>4283</v>
      </c>
      <c r="M612" t="s">
        <v>4279</v>
      </c>
      <c r="N612" s="5">
        <v>858.16</v>
      </c>
      <c r="O612" t="str">
        <f>IF(ABS(Table1[[#This Row],[TotalPrice]]-Table1[[#This Row],[Quantity]]*Table1[[#This Row],[UnitPrice]]) &lt;0.01, "ok",)</f>
        <v>ok</v>
      </c>
      <c r="P612" t="str">
        <f>PROPER(TRIM(Table1[[#This Row],[ShippingAddress]]))</f>
        <v>231 Main St</v>
      </c>
      <c r="Q612" t="str">
        <f>PROPER(TRIM((Table1[[#This Row],[PaymentMethod]])))</f>
        <v>Gift Card</v>
      </c>
      <c r="R612" t="str">
        <f>PROPER(TRIM(Table1[[#This Row],[ReferralSource]]))</f>
        <v>Referral</v>
      </c>
      <c r="S612" s="5">
        <f>Table1[[#This Row],[TotalPrice]]/Table1[[#This Row],[ItemsInCart]]</f>
        <v>122.5942857142857</v>
      </c>
    </row>
    <row r="613" spans="1:19" x14ac:dyDescent="0.3">
      <c r="A613" t="s">
        <v>990</v>
      </c>
      <c r="B613" s="1">
        <v>45386</v>
      </c>
      <c r="C613" t="s">
        <v>2183</v>
      </c>
      <c r="D613" t="s">
        <v>2405</v>
      </c>
      <c r="E613">
        <v>3</v>
      </c>
      <c r="F613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>
        <v>6</v>
      </c>
      <c r="L613" t="s">
        <v>4277</v>
      </c>
      <c r="M613" t="s">
        <v>4279</v>
      </c>
      <c r="N613" s="5">
        <v>1767.9</v>
      </c>
      <c r="O613" t="str">
        <f>IF(ABS(Table1[[#This Row],[TotalPrice]]-Table1[[#This Row],[Quantity]]*Table1[[#This Row],[UnitPrice]]) &lt;0.01, "ok",)</f>
        <v>ok</v>
      </c>
      <c r="P613" t="str">
        <f>PROPER(TRIM(Table1[[#This Row],[ShippingAddress]]))</f>
        <v>650 Main St</v>
      </c>
      <c r="Q613" t="str">
        <f>PROPER(TRIM((Table1[[#This Row],[PaymentMethod]])))</f>
        <v>Credit Card</v>
      </c>
      <c r="R613" t="str">
        <f>PROPER(TRIM(Table1[[#This Row],[ReferralSource]]))</f>
        <v>Referral</v>
      </c>
      <c r="S613" s="5">
        <f>Table1[[#This Row],[TotalPrice]]/Table1[[#This Row],[ItemsInCart]]</f>
        <v>294.65000000000003</v>
      </c>
    </row>
    <row r="614" spans="1:19" x14ac:dyDescent="0.3">
      <c r="A614" t="s">
        <v>1007</v>
      </c>
      <c r="B614" s="1">
        <v>45388</v>
      </c>
      <c r="C614" t="s">
        <v>2200</v>
      </c>
      <c r="D614" t="s">
        <v>2403</v>
      </c>
      <c r="E614">
        <v>3</v>
      </c>
      <c r="F614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 s="5">
        <v>802.34999999999991</v>
      </c>
      <c r="O614" t="str">
        <f>IF(ABS(Table1[[#This Row],[TotalPrice]]-Table1[[#This Row],[Quantity]]*Table1[[#This Row],[UnitPrice]]) &lt;0.01, "ok",)</f>
        <v>ok</v>
      </c>
      <c r="P614" t="str">
        <f>PROPER(TRIM(Table1[[#This Row],[ShippingAddress]]))</f>
        <v>576 Main St</v>
      </c>
      <c r="Q614" t="str">
        <f>PROPER(TRIM((Table1[[#This Row],[PaymentMethod]])))</f>
        <v>Gift Card</v>
      </c>
      <c r="R614" t="str">
        <f>PROPER(TRIM(Table1[[#This Row],[ReferralSource]]))</f>
        <v>Instagram</v>
      </c>
      <c r="S614" s="5">
        <f>Table1[[#This Row],[TotalPrice]]/Table1[[#This Row],[ItemsInCart]]</f>
        <v>160.46999999999997</v>
      </c>
    </row>
    <row r="615" spans="1:19" x14ac:dyDescent="0.3">
      <c r="A615" t="s">
        <v>1033</v>
      </c>
      <c r="B615" s="1">
        <v>45388</v>
      </c>
      <c r="C615" t="s">
        <v>2225</v>
      </c>
      <c r="D615" t="s">
        <v>2409</v>
      </c>
      <c r="E615">
        <v>1</v>
      </c>
      <c r="F615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>
        <v>2</v>
      </c>
      <c r="L615" t="s">
        <v>4275</v>
      </c>
      <c r="M615" t="s">
        <v>4279</v>
      </c>
      <c r="N615" s="5">
        <v>277.08999999999997</v>
      </c>
      <c r="O615" t="str">
        <f>IF(ABS(Table1[[#This Row],[TotalPrice]]-Table1[[#This Row],[Quantity]]*Table1[[#This Row],[UnitPrice]]) &lt;0.01, "ok",)</f>
        <v>ok</v>
      </c>
      <c r="P615" t="str">
        <f>PROPER(TRIM(Table1[[#This Row],[ShippingAddress]]))</f>
        <v>293 Main St</v>
      </c>
      <c r="Q615" t="str">
        <f>PROPER(TRIM((Table1[[#This Row],[PaymentMethod]])))</f>
        <v>Cash</v>
      </c>
      <c r="R615" t="str">
        <f>PROPER(TRIM(Table1[[#This Row],[ReferralSource]]))</f>
        <v>Referral</v>
      </c>
      <c r="S615" s="5">
        <f>Table1[[#This Row],[TotalPrice]]/Table1[[#This Row],[ItemsInCart]]</f>
        <v>138.54499999999999</v>
      </c>
    </row>
    <row r="616" spans="1:19" x14ac:dyDescent="0.3">
      <c r="A616" t="s">
        <v>183</v>
      </c>
      <c r="B616" s="1">
        <v>45389</v>
      </c>
      <c r="C616" t="s">
        <v>1383</v>
      </c>
      <c r="D616" t="s">
        <v>2407</v>
      </c>
      <c r="E616">
        <v>1</v>
      </c>
      <c r="F616">
        <v>427.82</v>
      </c>
      <c r="G616" t="s">
        <v>2562</v>
      </c>
      <c r="H616" t="s">
        <v>3066</v>
      </c>
      <c r="I616" t="s">
        <v>3073</v>
      </c>
      <c r="J616" t="s">
        <v>3244</v>
      </c>
      <c r="K616">
        <v>2</v>
      </c>
      <c r="L616" t="s">
        <v>4277</v>
      </c>
      <c r="M616" t="s">
        <v>4280</v>
      </c>
      <c r="N616" s="5">
        <v>427.82</v>
      </c>
      <c r="O616" t="str">
        <f>IF(ABS(Table1[[#This Row],[TotalPrice]]-Table1[[#This Row],[Quantity]]*Table1[[#This Row],[UnitPrice]]) &lt;0.01, "ok",)</f>
        <v>ok</v>
      </c>
      <c r="P616" t="str">
        <f>PROPER(TRIM(Table1[[#This Row],[ShippingAddress]]))</f>
        <v>732 Main St</v>
      </c>
      <c r="Q616" t="str">
        <f>PROPER(TRIM((Table1[[#This Row],[PaymentMethod]])))</f>
        <v>Online</v>
      </c>
      <c r="R616" t="str">
        <f>PROPER(TRIM(Table1[[#This Row],[ReferralSource]]))</f>
        <v>Email</v>
      </c>
      <c r="S616" s="5">
        <f>Table1[[#This Row],[TotalPrice]]/Table1[[#This Row],[ItemsInCart]]</f>
        <v>213.91</v>
      </c>
    </row>
    <row r="617" spans="1:19" x14ac:dyDescent="0.3">
      <c r="A617" t="s">
        <v>372</v>
      </c>
      <c r="B617" s="1">
        <v>45389</v>
      </c>
      <c r="C617" t="s">
        <v>1572</v>
      </c>
      <c r="D617" t="s">
        <v>2405</v>
      </c>
      <c r="E617">
        <v>2</v>
      </c>
      <c r="F617">
        <v>183.67</v>
      </c>
      <c r="G617" t="s">
        <v>2710</v>
      </c>
      <c r="H617" t="s">
        <v>3066</v>
      </c>
      <c r="I617" t="s">
        <v>3071</v>
      </c>
      <c r="J617" t="s">
        <v>3433</v>
      </c>
      <c r="K617">
        <v>3</v>
      </c>
      <c r="L617" t="s">
        <v>4275</v>
      </c>
      <c r="M617" t="s">
        <v>4282</v>
      </c>
      <c r="N617" s="5">
        <v>367.34</v>
      </c>
      <c r="O617" t="str">
        <f>IF(ABS(Table1[[#This Row],[TotalPrice]]-Table1[[#This Row],[Quantity]]*Table1[[#This Row],[UnitPrice]]) &lt;0.01, "ok",)</f>
        <v>ok</v>
      </c>
      <c r="P617" t="str">
        <f>PROPER(TRIM(Table1[[#This Row],[ShippingAddress]]))</f>
        <v>747 Main St</v>
      </c>
      <c r="Q617" t="str">
        <f>PROPER(TRIM((Table1[[#This Row],[PaymentMethod]])))</f>
        <v>Online</v>
      </c>
      <c r="R617" t="str">
        <f>PROPER(TRIM(Table1[[#This Row],[ReferralSource]]))</f>
        <v>Google</v>
      </c>
      <c r="S617" s="5">
        <f>Table1[[#This Row],[TotalPrice]]/Table1[[#This Row],[ItemsInCart]]</f>
        <v>122.44666666666666</v>
      </c>
    </row>
    <row r="618" spans="1:19" x14ac:dyDescent="0.3">
      <c r="A618" t="s">
        <v>461</v>
      </c>
      <c r="B618" s="1">
        <v>45389</v>
      </c>
      <c r="C618" t="s">
        <v>1661</v>
      </c>
      <c r="D618" t="s">
        <v>2407</v>
      </c>
      <c r="E618">
        <v>2</v>
      </c>
      <c r="F618">
        <v>416.81</v>
      </c>
      <c r="G618" t="s">
        <v>2759</v>
      </c>
      <c r="H618" t="s">
        <v>3069</v>
      </c>
      <c r="I618" t="s">
        <v>3072</v>
      </c>
      <c r="J618" t="s">
        <v>3522</v>
      </c>
      <c r="K618">
        <v>2</v>
      </c>
      <c r="L618" t="s">
        <v>4283</v>
      </c>
      <c r="M618" t="s">
        <v>4281</v>
      </c>
      <c r="N618" s="5">
        <v>833.62</v>
      </c>
      <c r="O618" t="str">
        <f>IF(ABS(Table1[[#This Row],[TotalPrice]]-Table1[[#This Row],[Quantity]]*Table1[[#This Row],[UnitPrice]]) &lt;0.01, "ok",)</f>
        <v>ok</v>
      </c>
      <c r="P618" t="str">
        <f>PROPER(TRIM(Table1[[#This Row],[ShippingAddress]]))</f>
        <v>356 Main St</v>
      </c>
      <c r="Q618" t="str">
        <f>PROPER(TRIM((Table1[[#This Row],[PaymentMethod]])))</f>
        <v>Cash</v>
      </c>
      <c r="R618" t="str">
        <f>PROPER(TRIM(Table1[[#This Row],[ReferralSource]]))</f>
        <v>Facebook</v>
      </c>
      <c r="S618" s="5">
        <f>Table1[[#This Row],[TotalPrice]]/Table1[[#This Row],[ItemsInCart]]</f>
        <v>416.81</v>
      </c>
    </row>
    <row r="619" spans="1:19" x14ac:dyDescent="0.3">
      <c r="A619" t="s">
        <v>514</v>
      </c>
      <c r="B619" s="1">
        <v>45389</v>
      </c>
      <c r="C619" t="s">
        <v>1714</v>
      </c>
      <c r="D619" t="s">
        <v>2408</v>
      </c>
      <c r="E619">
        <v>5</v>
      </c>
      <c r="F619">
        <v>508.59</v>
      </c>
      <c r="G619" t="s">
        <v>2792</v>
      </c>
      <c r="H619" t="s">
        <v>3069</v>
      </c>
      <c r="I619" t="s">
        <v>3072</v>
      </c>
      <c r="J619" t="s">
        <v>3575</v>
      </c>
      <c r="K619">
        <v>8</v>
      </c>
      <c r="L619" t="s">
        <v>4277</v>
      </c>
      <c r="M619" t="s">
        <v>4281</v>
      </c>
      <c r="N619" s="5">
        <v>2542.9499999999998</v>
      </c>
      <c r="O619" t="str">
        <f>IF(ABS(Table1[[#This Row],[TotalPrice]]-Table1[[#This Row],[Quantity]]*Table1[[#This Row],[UnitPrice]]) &lt;0.01, "ok",)</f>
        <v>ok</v>
      </c>
      <c r="P619" t="str">
        <f>PROPER(TRIM(Table1[[#This Row],[ShippingAddress]]))</f>
        <v>169 Main St</v>
      </c>
      <c r="Q619" t="str">
        <f>PROPER(TRIM((Table1[[#This Row],[PaymentMethod]])))</f>
        <v>Cash</v>
      </c>
      <c r="R619" t="str">
        <f>PROPER(TRIM(Table1[[#This Row],[ReferralSource]]))</f>
        <v>Facebook</v>
      </c>
      <c r="S619" s="5">
        <f>Table1[[#This Row],[TotalPrice]]/Table1[[#This Row],[ItemsInCart]]</f>
        <v>317.86874999999998</v>
      </c>
    </row>
    <row r="620" spans="1:19" x14ac:dyDescent="0.3">
      <c r="A620" t="s">
        <v>530</v>
      </c>
      <c r="B620" s="1">
        <v>45389</v>
      </c>
      <c r="C620" t="s">
        <v>1730</v>
      </c>
      <c r="D620" t="s">
        <v>2403</v>
      </c>
      <c r="E620">
        <v>3</v>
      </c>
      <c r="F620">
        <v>166.99</v>
      </c>
      <c r="G620" t="s">
        <v>2659</v>
      </c>
      <c r="H620" t="s">
        <v>3069</v>
      </c>
      <c r="I620" t="s">
        <v>3072</v>
      </c>
      <c r="J620" t="s">
        <v>3591</v>
      </c>
      <c r="K620">
        <v>8</v>
      </c>
      <c r="L620" t="s">
        <v>4283</v>
      </c>
      <c r="M620" t="s">
        <v>4281</v>
      </c>
      <c r="N620" s="5">
        <v>500.97</v>
      </c>
      <c r="O620" t="str">
        <f>IF(ABS(Table1[[#This Row],[TotalPrice]]-Table1[[#This Row],[Quantity]]*Table1[[#This Row],[UnitPrice]]) &lt;0.01, "ok",)</f>
        <v>ok</v>
      </c>
      <c r="P620" t="str">
        <f>PROPER(TRIM(Table1[[#This Row],[ShippingAddress]]))</f>
        <v>208 Main St</v>
      </c>
      <c r="Q620" t="str">
        <f>PROPER(TRIM((Table1[[#This Row],[PaymentMethod]])))</f>
        <v>Cash</v>
      </c>
      <c r="R620" t="str">
        <f>PROPER(TRIM(Table1[[#This Row],[ReferralSource]]))</f>
        <v>Facebook</v>
      </c>
      <c r="S620" s="5">
        <f>Table1[[#This Row],[TotalPrice]]/Table1[[#This Row],[ItemsInCart]]</f>
        <v>62.621250000000003</v>
      </c>
    </row>
    <row r="621" spans="1:19" x14ac:dyDescent="0.3">
      <c r="A621" t="s">
        <v>543</v>
      </c>
      <c r="B621" s="1">
        <v>45389</v>
      </c>
      <c r="C621" t="s">
        <v>1743</v>
      </c>
      <c r="D621" t="s">
        <v>2405</v>
      </c>
      <c r="E621">
        <v>2</v>
      </c>
      <c r="F621">
        <v>675.1</v>
      </c>
      <c r="G621" t="s">
        <v>2803</v>
      </c>
      <c r="H621" t="s">
        <v>3069</v>
      </c>
      <c r="I621" t="s">
        <v>3074</v>
      </c>
      <c r="J621" t="s">
        <v>3604</v>
      </c>
      <c r="K621">
        <v>4</v>
      </c>
      <c r="L621" t="s">
        <v>4276</v>
      </c>
      <c r="M621" t="s">
        <v>4282</v>
      </c>
      <c r="N621" s="5">
        <v>1350.2</v>
      </c>
      <c r="O621" t="str">
        <f>IF(ABS(Table1[[#This Row],[TotalPrice]]-Table1[[#This Row],[Quantity]]*Table1[[#This Row],[UnitPrice]]) &lt;0.01, "ok",)</f>
        <v>ok</v>
      </c>
      <c r="P621" t="str">
        <f>PROPER(TRIM(Table1[[#This Row],[ShippingAddress]]))</f>
        <v>938 Main St</v>
      </c>
      <c r="Q621" t="str">
        <f>PROPER(TRIM((Table1[[#This Row],[PaymentMethod]])))</f>
        <v>Cash</v>
      </c>
      <c r="R621" t="str">
        <f>PROPER(TRIM(Table1[[#This Row],[ReferralSource]]))</f>
        <v>Google</v>
      </c>
      <c r="S621" s="5">
        <f>Table1[[#This Row],[TotalPrice]]/Table1[[#This Row],[ItemsInCart]]</f>
        <v>337.55</v>
      </c>
    </row>
    <row r="622" spans="1:19" x14ac:dyDescent="0.3">
      <c r="A622" t="s">
        <v>899</v>
      </c>
      <c r="B622" s="1">
        <v>45389</v>
      </c>
      <c r="C622" t="s">
        <v>2095</v>
      </c>
      <c r="D622" t="s">
        <v>2408</v>
      </c>
      <c r="E622">
        <v>4</v>
      </c>
      <c r="F622">
        <v>515.59</v>
      </c>
      <c r="G622" t="s">
        <v>2969</v>
      </c>
      <c r="H622" t="s">
        <v>3067</v>
      </c>
      <c r="I622" t="s">
        <v>3070</v>
      </c>
      <c r="J622" t="s">
        <v>3960</v>
      </c>
      <c r="K622">
        <v>7</v>
      </c>
      <c r="L622" t="s">
        <v>4276</v>
      </c>
      <c r="M622" t="s">
        <v>4282</v>
      </c>
      <c r="N622" s="5">
        <v>2062.36</v>
      </c>
      <c r="O622" t="str">
        <f>IF(ABS(Table1[[#This Row],[TotalPrice]]-Table1[[#This Row],[Quantity]]*Table1[[#This Row],[UnitPrice]]) &lt;0.01, "ok",)</f>
        <v>ok</v>
      </c>
      <c r="P622" t="str">
        <f>PROPER(TRIM(Table1[[#This Row],[ShippingAddress]]))</f>
        <v>387 Main St</v>
      </c>
      <c r="Q622" t="str">
        <f>PROPER(TRIM((Table1[[#This Row],[PaymentMethod]])))</f>
        <v>Credit Card</v>
      </c>
      <c r="R622" t="str">
        <f>PROPER(TRIM(Table1[[#This Row],[ReferralSource]]))</f>
        <v>Google</v>
      </c>
      <c r="S622" s="5">
        <f>Table1[[#This Row],[TotalPrice]]/Table1[[#This Row],[ItemsInCart]]</f>
        <v>294.62285714285719</v>
      </c>
    </row>
    <row r="623" spans="1:19" x14ac:dyDescent="0.3">
      <c r="A623" t="s">
        <v>1123</v>
      </c>
      <c r="B623" s="1">
        <v>45390</v>
      </c>
      <c r="C623" t="s">
        <v>2314</v>
      </c>
      <c r="D623" t="s">
        <v>2407</v>
      </c>
      <c r="E623">
        <v>4</v>
      </c>
      <c r="F623">
        <v>77.47</v>
      </c>
      <c r="G623" t="s">
        <v>2768</v>
      </c>
      <c r="H623" t="s">
        <v>3068</v>
      </c>
      <c r="I623" t="s">
        <v>3072</v>
      </c>
      <c r="J623" t="s">
        <v>4184</v>
      </c>
      <c r="K623">
        <v>7</v>
      </c>
      <c r="L623" t="s">
        <v>4275</v>
      </c>
      <c r="M623" t="s">
        <v>4278</v>
      </c>
      <c r="N623" s="5">
        <v>309.88</v>
      </c>
      <c r="O623" t="str">
        <f>IF(ABS(Table1[[#This Row],[TotalPrice]]-Table1[[#This Row],[Quantity]]*Table1[[#This Row],[UnitPrice]]) &lt;0.01, "ok",)</f>
        <v>ok</v>
      </c>
      <c r="P623" t="str">
        <f>PROPER(TRIM(Table1[[#This Row],[ShippingAddress]]))</f>
        <v>474 Main St</v>
      </c>
      <c r="Q623" t="str">
        <f>PROPER(TRIM((Table1[[#This Row],[PaymentMethod]])))</f>
        <v>Gift Card</v>
      </c>
      <c r="R623" t="str">
        <f>PROPER(TRIM(Table1[[#This Row],[ReferralSource]]))</f>
        <v>Instagram</v>
      </c>
      <c r="S623" s="5">
        <f>Table1[[#This Row],[TotalPrice]]/Table1[[#This Row],[ItemsInCart]]</f>
        <v>44.268571428571427</v>
      </c>
    </row>
    <row r="624" spans="1:19" x14ac:dyDescent="0.3">
      <c r="A624" t="s">
        <v>531</v>
      </c>
      <c r="B624" s="1">
        <v>45391</v>
      </c>
      <c r="C624" t="s">
        <v>1731</v>
      </c>
      <c r="D624" t="s">
        <v>2405</v>
      </c>
      <c r="E624">
        <v>4</v>
      </c>
      <c r="F624">
        <v>198.35</v>
      </c>
      <c r="G624" t="s">
        <v>2781</v>
      </c>
      <c r="H624" t="s">
        <v>3069</v>
      </c>
      <c r="I624" t="s">
        <v>3071</v>
      </c>
      <c r="J624" t="s">
        <v>3592</v>
      </c>
      <c r="K624">
        <v>7</v>
      </c>
      <c r="L624" t="s">
        <v>4276</v>
      </c>
      <c r="M624" t="s">
        <v>4282</v>
      </c>
      <c r="N624" s="5">
        <v>793.4</v>
      </c>
      <c r="O624" t="str">
        <f>IF(ABS(Table1[[#This Row],[TotalPrice]]-Table1[[#This Row],[Quantity]]*Table1[[#This Row],[UnitPrice]]) &lt;0.01, "ok",)</f>
        <v>ok</v>
      </c>
      <c r="P624" t="str">
        <f>PROPER(TRIM(Table1[[#This Row],[ShippingAddress]]))</f>
        <v>943 Main St</v>
      </c>
      <c r="Q624" t="str">
        <f>PROPER(TRIM((Table1[[#This Row],[PaymentMethod]])))</f>
        <v>Cash</v>
      </c>
      <c r="R624" t="str">
        <f>PROPER(TRIM(Table1[[#This Row],[ReferralSource]]))</f>
        <v>Google</v>
      </c>
      <c r="S624" s="5">
        <f>Table1[[#This Row],[TotalPrice]]/Table1[[#This Row],[ItemsInCart]]</f>
        <v>113.34285714285714</v>
      </c>
    </row>
    <row r="625" spans="1:19" x14ac:dyDescent="0.3">
      <c r="A625" t="s">
        <v>823</v>
      </c>
      <c r="B625" s="1">
        <v>45391</v>
      </c>
      <c r="C625" t="s">
        <v>2019</v>
      </c>
      <c r="D625" t="s">
        <v>2409</v>
      </c>
      <c r="E625">
        <v>5</v>
      </c>
      <c r="F625">
        <v>217.43</v>
      </c>
      <c r="G625" t="s">
        <v>2470</v>
      </c>
      <c r="H625" t="s">
        <v>3065</v>
      </c>
      <c r="I625" t="s">
        <v>3070</v>
      </c>
      <c r="J625" t="s">
        <v>3884</v>
      </c>
      <c r="K625">
        <v>10</v>
      </c>
      <c r="L625" t="s">
        <v>4275</v>
      </c>
      <c r="M625" t="s">
        <v>4278</v>
      </c>
      <c r="N625" s="5">
        <v>1087.1500000000001</v>
      </c>
      <c r="O625" t="str">
        <f>IF(ABS(Table1[[#This Row],[TotalPrice]]-Table1[[#This Row],[Quantity]]*Table1[[#This Row],[UnitPrice]]) &lt;0.01, "ok",)</f>
        <v>ok</v>
      </c>
      <c r="P625" t="str">
        <f>PROPER(TRIM(Table1[[#This Row],[ShippingAddress]]))</f>
        <v>752 Main St</v>
      </c>
      <c r="Q625" t="str">
        <f>PROPER(TRIM((Table1[[#This Row],[PaymentMethod]])))</f>
        <v>Debit Card</v>
      </c>
      <c r="R625" t="str">
        <f>PROPER(TRIM(Table1[[#This Row],[ReferralSource]]))</f>
        <v>Instagram</v>
      </c>
      <c r="S625" s="5">
        <f>Table1[[#This Row],[TotalPrice]]/Table1[[#This Row],[ItemsInCart]]</f>
        <v>108.715</v>
      </c>
    </row>
    <row r="626" spans="1:19" x14ac:dyDescent="0.3">
      <c r="A626" t="s">
        <v>1147</v>
      </c>
      <c r="B626" s="1">
        <v>45391</v>
      </c>
      <c r="C626" t="s">
        <v>2337</v>
      </c>
      <c r="D626" t="s">
        <v>2407</v>
      </c>
      <c r="E626">
        <v>2</v>
      </c>
      <c r="F626">
        <v>467.91</v>
      </c>
      <c r="G626" t="s">
        <v>2597</v>
      </c>
      <c r="H626" t="s">
        <v>3068</v>
      </c>
      <c r="I626" t="s">
        <v>3072</v>
      </c>
      <c r="J626" t="s">
        <v>4208</v>
      </c>
      <c r="K626">
        <v>5</v>
      </c>
      <c r="L626" t="s">
        <v>4277</v>
      </c>
      <c r="M626" t="s">
        <v>4281</v>
      </c>
      <c r="N626" s="5">
        <v>935.82</v>
      </c>
      <c r="O626" t="str">
        <f>IF(ABS(Table1[[#This Row],[TotalPrice]]-Table1[[#This Row],[Quantity]]*Table1[[#This Row],[UnitPrice]]) &lt;0.01, "ok",)</f>
        <v>ok</v>
      </c>
      <c r="P626" t="str">
        <f>PROPER(TRIM(Table1[[#This Row],[ShippingAddress]]))</f>
        <v>432 Main St</v>
      </c>
      <c r="Q626" t="str">
        <f>PROPER(TRIM((Table1[[#This Row],[PaymentMethod]])))</f>
        <v>Gift Card</v>
      </c>
      <c r="R626" t="str">
        <f>PROPER(TRIM(Table1[[#This Row],[ReferralSource]]))</f>
        <v>Facebook</v>
      </c>
      <c r="S626" s="5">
        <f>Table1[[#This Row],[TotalPrice]]/Table1[[#This Row],[ItemsInCart]]</f>
        <v>187.16400000000002</v>
      </c>
    </row>
    <row r="627" spans="1:19" x14ac:dyDescent="0.3">
      <c r="A627" t="s">
        <v>353</v>
      </c>
      <c r="B627" s="1">
        <v>45392</v>
      </c>
      <c r="C627" t="s">
        <v>1553</v>
      </c>
      <c r="D627" t="s">
        <v>2407</v>
      </c>
      <c r="E627">
        <v>2</v>
      </c>
      <c r="F627">
        <v>236.33</v>
      </c>
      <c r="G627" t="s">
        <v>2692</v>
      </c>
      <c r="H627" t="s">
        <v>3066</v>
      </c>
      <c r="I627" t="s">
        <v>3074</v>
      </c>
      <c r="J627" t="s">
        <v>3414</v>
      </c>
      <c r="K627">
        <v>3</v>
      </c>
      <c r="L627" t="s">
        <v>4275</v>
      </c>
      <c r="M627" t="s">
        <v>4278</v>
      </c>
      <c r="N627" s="5">
        <v>472.66</v>
      </c>
      <c r="O627" t="str">
        <f>IF(ABS(Table1[[#This Row],[TotalPrice]]-Table1[[#This Row],[Quantity]]*Table1[[#This Row],[UnitPrice]]) &lt;0.01, "ok",)</f>
        <v>ok</v>
      </c>
      <c r="P627" t="str">
        <f>PROPER(TRIM(Table1[[#This Row],[ShippingAddress]]))</f>
        <v>398 Main St</v>
      </c>
      <c r="Q627" t="str">
        <f>PROPER(TRIM((Table1[[#This Row],[PaymentMethod]])))</f>
        <v>Online</v>
      </c>
      <c r="R627" t="str">
        <f>PROPER(TRIM(Table1[[#This Row],[ReferralSource]]))</f>
        <v>Instagram</v>
      </c>
      <c r="S627" s="5">
        <f>Table1[[#This Row],[TotalPrice]]/Table1[[#This Row],[ItemsInCart]]</f>
        <v>157.55333333333334</v>
      </c>
    </row>
    <row r="628" spans="1:19" x14ac:dyDescent="0.3">
      <c r="A628" t="s">
        <v>647</v>
      </c>
      <c r="B628" s="1">
        <v>45392</v>
      </c>
      <c r="C628" t="s">
        <v>1846</v>
      </c>
      <c r="D628" t="s">
        <v>2408</v>
      </c>
      <c r="E628">
        <v>5</v>
      </c>
      <c r="F628">
        <v>601.72</v>
      </c>
      <c r="G628" t="s">
        <v>2728</v>
      </c>
      <c r="H628" t="s">
        <v>3068</v>
      </c>
      <c r="I628" t="s">
        <v>3071</v>
      </c>
      <c r="J628" t="s">
        <v>3708</v>
      </c>
      <c r="K628">
        <v>5</v>
      </c>
      <c r="L628" t="s">
        <v>4277</v>
      </c>
      <c r="M628" t="s">
        <v>4278</v>
      </c>
      <c r="N628" s="5">
        <v>3008.6</v>
      </c>
      <c r="O628" t="str">
        <f>IF(ABS(Table1[[#This Row],[TotalPrice]]-Table1[[#This Row],[Quantity]]*Table1[[#This Row],[UnitPrice]]) &lt;0.01, "ok",)</f>
        <v>ok</v>
      </c>
      <c r="P628" t="str">
        <f>PROPER(TRIM(Table1[[#This Row],[ShippingAddress]]))</f>
        <v>921 Main St</v>
      </c>
      <c r="Q628" t="str">
        <f>PROPER(TRIM((Table1[[#This Row],[PaymentMethod]])))</f>
        <v>Gift Card</v>
      </c>
      <c r="R628" t="str">
        <f>PROPER(TRIM(Table1[[#This Row],[ReferralSource]]))</f>
        <v>Instagram</v>
      </c>
      <c r="S628" s="5">
        <f>Table1[[#This Row],[TotalPrice]]/Table1[[#This Row],[ItemsInCart]]</f>
        <v>601.72</v>
      </c>
    </row>
    <row r="629" spans="1:19" x14ac:dyDescent="0.3">
      <c r="A629" t="s">
        <v>192</v>
      </c>
      <c r="B629" s="1">
        <v>45393</v>
      </c>
      <c r="C629" t="s">
        <v>1392</v>
      </c>
      <c r="D629" t="s">
        <v>2406</v>
      </c>
      <c r="E629">
        <v>4</v>
      </c>
      <c r="F629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>
        <v>5</v>
      </c>
      <c r="L629" t="s">
        <v>4275</v>
      </c>
      <c r="M629" t="s">
        <v>4282</v>
      </c>
      <c r="N629" s="5">
        <v>2048.2399999999998</v>
      </c>
      <c r="O629" t="str">
        <f>IF(ABS(Table1[[#This Row],[TotalPrice]]-Table1[[#This Row],[Quantity]]*Table1[[#This Row],[UnitPrice]]) &lt;0.01, "ok",)</f>
        <v>ok</v>
      </c>
      <c r="P629" t="str">
        <f>PROPER(TRIM(Table1[[#This Row],[ShippingAddress]]))</f>
        <v>283 Main St</v>
      </c>
      <c r="Q629" t="str">
        <f>PROPER(TRIM((Table1[[#This Row],[PaymentMethod]])))</f>
        <v>Online</v>
      </c>
      <c r="R629" t="str">
        <f>PROPER(TRIM(Table1[[#This Row],[ReferralSource]]))</f>
        <v>Google</v>
      </c>
      <c r="S629" s="5">
        <f>Table1[[#This Row],[TotalPrice]]/Table1[[#This Row],[ItemsInCart]]</f>
        <v>409.64799999999997</v>
      </c>
    </row>
    <row r="630" spans="1:19" x14ac:dyDescent="0.3">
      <c r="A630" t="s">
        <v>848</v>
      </c>
      <c r="B630" s="1">
        <v>45393</v>
      </c>
      <c r="C630" t="s">
        <v>2044</v>
      </c>
      <c r="D630" t="s">
        <v>2407</v>
      </c>
      <c r="E630">
        <v>5</v>
      </c>
      <c r="F630">
        <v>22.14</v>
      </c>
      <c r="G630" t="s">
        <v>2616</v>
      </c>
      <c r="H630" t="s">
        <v>3069</v>
      </c>
      <c r="I630" t="s">
        <v>3072</v>
      </c>
      <c r="J630" t="s">
        <v>3909</v>
      </c>
      <c r="K630">
        <v>10</v>
      </c>
      <c r="L630" t="s">
        <v>4283</v>
      </c>
      <c r="M630" t="s">
        <v>4278</v>
      </c>
      <c r="N630" s="5">
        <v>110.7</v>
      </c>
      <c r="O630" t="str">
        <f>IF(ABS(Table1[[#This Row],[TotalPrice]]-Table1[[#This Row],[Quantity]]*Table1[[#This Row],[UnitPrice]]) &lt;0.01, "ok",)</f>
        <v>ok</v>
      </c>
      <c r="P630" t="str">
        <f>PROPER(TRIM(Table1[[#This Row],[ShippingAddress]]))</f>
        <v>456 Main St</v>
      </c>
      <c r="Q630" t="str">
        <f>PROPER(TRIM((Table1[[#This Row],[PaymentMethod]])))</f>
        <v>Cash</v>
      </c>
      <c r="R630" t="str">
        <f>PROPER(TRIM(Table1[[#This Row],[ReferralSource]]))</f>
        <v>Instagram</v>
      </c>
      <c r="S630" s="5">
        <f>Table1[[#This Row],[TotalPrice]]/Table1[[#This Row],[ItemsInCart]]</f>
        <v>11.07</v>
      </c>
    </row>
    <row r="631" spans="1:19" x14ac:dyDescent="0.3">
      <c r="A631" t="s">
        <v>852</v>
      </c>
      <c r="B631" s="1">
        <v>45393</v>
      </c>
      <c r="C631" t="s">
        <v>2048</v>
      </c>
      <c r="D631" t="s">
        <v>2409</v>
      </c>
      <c r="E631">
        <v>4</v>
      </c>
      <c r="F631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>
        <v>8</v>
      </c>
      <c r="L631" t="s">
        <v>4283</v>
      </c>
      <c r="M631" t="s">
        <v>4281</v>
      </c>
      <c r="N631" s="5">
        <v>2308.3200000000002</v>
      </c>
      <c r="O631" t="str">
        <f>IF(ABS(Table1[[#This Row],[TotalPrice]]-Table1[[#This Row],[Quantity]]*Table1[[#This Row],[UnitPrice]]) &lt;0.01, "ok",)</f>
        <v>ok</v>
      </c>
      <c r="P631" t="str">
        <f>PROPER(TRIM(Table1[[#This Row],[ShippingAddress]]))</f>
        <v>384 Main St</v>
      </c>
      <c r="Q631" t="str">
        <f>PROPER(TRIM((Table1[[#This Row],[PaymentMethod]])))</f>
        <v>Online</v>
      </c>
      <c r="R631" t="str">
        <f>PROPER(TRIM(Table1[[#This Row],[ReferralSource]]))</f>
        <v>Facebook</v>
      </c>
      <c r="S631" s="5">
        <f>Table1[[#This Row],[TotalPrice]]/Table1[[#This Row],[ItemsInCart]]</f>
        <v>288.54000000000002</v>
      </c>
    </row>
    <row r="632" spans="1:19" x14ac:dyDescent="0.3">
      <c r="A632" t="s">
        <v>970</v>
      </c>
      <c r="B632" s="1">
        <v>45393</v>
      </c>
      <c r="C632" t="s">
        <v>1995</v>
      </c>
      <c r="D632" t="s">
        <v>2404</v>
      </c>
      <c r="E632">
        <v>2</v>
      </c>
      <c r="F632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>
        <v>3</v>
      </c>
      <c r="L632" t="s">
        <v>4275</v>
      </c>
      <c r="M632" t="s">
        <v>4279</v>
      </c>
      <c r="N632" s="5">
        <v>321.95999999999998</v>
      </c>
      <c r="O632" t="str">
        <f>IF(ABS(Table1[[#This Row],[TotalPrice]]-Table1[[#This Row],[Quantity]]*Table1[[#This Row],[UnitPrice]]) &lt;0.01, "ok",)</f>
        <v>ok</v>
      </c>
      <c r="P632" t="str">
        <f>PROPER(TRIM(Table1[[#This Row],[ShippingAddress]]))</f>
        <v>381 Main St</v>
      </c>
      <c r="Q632" t="str">
        <f>PROPER(TRIM((Table1[[#This Row],[PaymentMethod]])))</f>
        <v>Debit Card</v>
      </c>
      <c r="R632" t="str">
        <f>PROPER(TRIM(Table1[[#This Row],[ReferralSource]]))</f>
        <v>Referral</v>
      </c>
      <c r="S632" s="5">
        <f>Table1[[#This Row],[TotalPrice]]/Table1[[#This Row],[ItemsInCart]]</f>
        <v>107.32</v>
      </c>
    </row>
    <row r="633" spans="1:19" x14ac:dyDescent="0.3">
      <c r="A633" t="s">
        <v>973</v>
      </c>
      <c r="B633" s="1">
        <v>45395</v>
      </c>
      <c r="C633" t="s">
        <v>2166</v>
      </c>
      <c r="D633" t="s">
        <v>2405</v>
      </c>
      <c r="E633">
        <v>2</v>
      </c>
      <c r="F633">
        <v>143.82</v>
      </c>
      <c r="G633" t="s">
        <v>2662</v>
      </c>
      <c r="H633" t="s">
        <v>3067</v>
      </c>
      <c r="I633" t="s">
        <v>3072</v>
      </c>
      <c r="J633" t="s">
        <v>4034</v>
      </c>
      <c r="K633">
        <v>6</v>
      </c>
      <c r="L633" t="s">
        <v>4275</v>
      </c>
      <c r="M633" t="s">
        <v>4278</v>
      </c>
      <c r="N633" s="5">
        <v>287.64</v>
      </c>
      <c r="O633" t="str">
        <f>IF(ABS(Table1[[#This Row],[TotalPrice]]-Table1[[#This Row],[Quantity]]*Table1[[#This Row],[UnitPrice]]) &lt;0.01, "ok",)</f>
        <v>ok</v>
      </c>
      <c r="P633" t="str">
        <f>PROPER(TRIM(Table1[[#This Row],[ShippingAddress]]))</f>
        <v>856 Main St</v>
      </c>
      <c r="Q633" t="str">
        <f>PROPER(TRIM((Table1[[#This Row],[PaymentMethod]])))</f>
        <v>Credit Card</v>
      </c>
      <c r="R633" t="str">
        <f>PROPER(TRIM(Table1[[#This Row],[ReferralSource]]))</f>
        <v>Instagram</v>
      </c>
      <c r="S633" s="5">
        <f>Table1[[#This Row],[TotalPrice]]/Table1[[#This Row],[ItemsInCart]]</f>
        <v>47.94</v>
      </c>
    </row>
    <row r="634" spans="1:19" x14ac:dyDescent="0.3">
      <c r="A634" t="s">
        <v>136</v>
      </c>
      <c r="B634" s="1">
        <v>45397</v>
      </c>
      <c r="C634" t="s">
        <v>1336</v>
      </c>
      <c r="D634" t="s">
        <v>2408</v>
      </c>
      <c r="E634">
        <v>2</v>
      </c>
      <c r="F634">
        <v>533.02</v>
      </c>
      <c r="G634" t="s">
        <v>2524</v>
      </c>
      <c r="H634" t="s">
        <v>3068</v>
      </c>
      <c r="I634" t="s">
        <v>3070</v>
      </c>
      <c r="J634" t="s">
        <v>3197</v>
      </c>
      <c r="K634">
        <v>2</v>
      </c>
      <c r="L634" t="s">
        <v>4283</v>
      </c>
      <c r="M634" t="s">
        <v>4281</v>
      </c>
      <c r="N634" s="5">
        <v>1066.04</v>
      </c>
      <c r="O634" t="str">
        <f>IF(ABS(Table1[[#This Row],[TotalPrice]]-Table1[[#This Row],[Quantity]]*Table1[[#This Row],[UnitPrice]]) &lt;0.01, "ok",)</f>
        <v>ok</v>
      </c>
      <c r="P634" t="str">
        <f>PROPER(TRIM(Table1[[#This Row],[ShippingAddress]]))</f>
        <v>588 Main St</v>
      </c>
      <c r="Q634" t="str">
        <f>PROPER(TRIM((Table1[[#This Row],[PaymentMethod]])))</f>
        <v>Gift Card</v>
      </c>
      <c r="R634" t="str">
        <f>PROPER(TRIM(Table1[[#This Row],[ReferralSource]]))</f>
        <v>Facebook</v>
      </c>
      <c r="S634" s="5">
        <f>Table1[[#This Row],[TotalPrice]]/Table1[[#This Row],[ItemsInCart]]</f>
        <v>533.02</v>
      </c>
    </row>
    <row r="635" spans="1:19" x14ac:dyDescent="0.3">
      <c r="A635" t="s">
        <v>573</v>
      </c>
      <c r="B635" s="1">
        <v>45397</v>
      </c>
      <c r="C635" t="s">
        <v>1773</v>
      </c>
      <c r="D635" t="s">
        <v>2409</v>
      </c>
      <c r="E635">
        <v>3</v>
      </c>
      <c r="F635">
        <v>157.4</v>
      </c>
      <c r="G635" t="s">
        <v>2790</v>
      </c>
      <c r="H635" t="s">
        <v>3065</v>
      </c>
      <c r="I635" t="s">
        <v>3071</v>
      </c>
      <c r="J635" t="s">
        <v>3634</v>
      </c>
      <c r="K635">
        <v>7</v>
      </c>
      <c r="L635" t="s">
        <v>4277</v>
      </c>
      <c r="M635" t="s">
        <v>4280</v>
      </c>
      <c r="N635" s="5">
        <v>472.2</v>
      </c>
      <c r="O635" t="str">
        <f>IF(ABS(Table1[[#This Row],[TotalPrice]]-Table1[[#This Row],[Quantity]]*Table1[[#This Row],[UnitPrice]]) &lt;0.01, "ok",)</f>
        <v>ok</v>
      </c>
      <c r="P635" t="str">
        <f>PROPER(TRIM(Table1[[#This Row],[ShippingAddress]]))</f>
        <v>454 Main St</v>
      </c>
      <c r="Q635" t="str">
        <f>PROPER(TRIM((Table1[[#This Row],[PaymentMethod]])))</f>
        <v>Debit Card</v>
      </c>
      <c r="R635" t="str">
        <f>PROPER(TRIM(Table1[[#This Row],[ReferralSource]]))</f>
        <v>Email</v>
      </c>
      <c r="S635" s="5">
        <f>Table1[[#This Row],[TotalPrice]]/Table1[[#This Row],[ItemsInCart]]</f>
        <v>67.457142857142856</v>
      </c>
    </row>
    <row r="636" spans="1:19" x14ac:dyDescent="0.3">
      <c r="A636" t="s">
        <v>677</v>
      </c>
      <c r="B636" s="1">
        <v>45397</v>
      </c>
      <c r="C636" t="s">
        <v>1876</v>
      </c>
      <c r="D636" t="s">
        <v>2403</v>
      </c>
      <c r="E636">
        <v>1</v>
      </c>
      <c r="F636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>
        <v>6</v>
      </c>
      <c r="L636" t="s">
        <v>4276</v>
      </c>
      <c r="M636" t="s">
        <v>4278</v>
      </c>
      <c r="N636" s="5">
        <v>72.599999999999994</v>
      </c>
      <c r="O636" t="str">
        <f>IF(ABS(Table1[[#This Row],[TotalPrice]]-Table1[[#This Row],[Quantity]]*Table1[[#This Row],[UnitPrice]]) &lt;0.01, "ok",)</f>
        <v>ok</v>
      </c>
      <c r="P636" t="str">
        <f>PROPER(TRIM(Table1[[#This Row],[ShippingAddress]]))</f>
        <v>941 Main St</v>
      </c>
      <c r="Q636" t="str">
        <f>PROPER(TRIM((Table1[[#This Row],[PaymentMethod]])))</f>
        <v>Debit Card</v>
      </c>
      <c r="R636" t="str">
        <f>PROPER(TRIM(Table1[[#This Row],[ReferralSource]]))</f>
        <v>Instagram</v>
      </c>
      <c r="S636" s="5">
        <f>Table1[[#This Row],[TotalPrice]]/Table1[[#This Row],[ItemsInCart]]</f>
        <v>12.1</v>
      </c>
    </row>
    <row r="637" spans="1:19" x14ac:dyDescent="0.3">
      <c r="A637" t="s">
        <v>807</v>
      </c>
      <c r="B637" s="1">
        <v>45397</v>
      </c>
      <c r="C637" t="s">
        <v>2004</v>
      </c>
      <c r="D637" t="s">
        <v>2406</v>
      </c>
      <c r="E637">
        <v>5</v>
      </c>
      <c r="F637">
        <v>170.22</v>
      </c>
      <c r="G637" t="s">
        <v>2745</v>
      </c>
      <c r="H637" t="s">
        <v>3065</v>
      </c>
      <c r="I637" t="s">
        <v>3073</v>
      </c>
      <c r="J637" t="s">
        <v>3868</v>
      </c>
      <c r="K637">
        <v>8</v>
      </c>
      <c r="L637" t="s">
        <v>4283</v>
      </c>
      <c r="M637" t="s">
        <v>4279</v>
      </c>
      <c r="N637" s="5">
        <v>851.1</v>
      </c>
      <c r="O637" t="str">
        <f>IF(ABS(Table1[[#This Row],[TotalPrice]]-Table1[[#This Row],[Quantity]]*Table1[[#This Row],[UnitPrice]]) &lt;0.01, "ok",)</f>
        <v>ok</v>
      </c>
      <c r="P637" t="str">
        <f>PROPER(TRIM(Table1[[#This Row],[ShippingAddress]]))</f>
        <v>769 Main St</v>
      </c>
      <c r="Q637" t="str">
        <f>PROPER(TRIM((Table1[[#This Row],[PaymentMethod]])))</f>
        <v>Debit Card</v>
      </c>
      <c r="R637" t="str">
        <f>PROPER(TRIM(Table1[[#This Row],[ReferralSource]]))</f>
        <v>Referral</v>
      </c>
      <c r="S637" s="5">
        <f>Table1[[#This Row],[TotalPrice]]/Table1[[#This Row],[ItemsInCart]]</f>
        <v>106.3875</v>
      </c>
    </row>
    <row r="638" spans="1:19" x14ac:dyDescent="0.3">
      <c r="A638" t="s">
        <v>188</v>
      </c>
      <c r="B638" s="1">
        <v>45398</v>
      </c>
      <c r="C638" t="s">
        <v>1388</v>
      </c>
      <c r="D638" t="s">
        <v>2407</v>
      </c>
      <c r="E638">
        <v>4</v>
      </c>
      <c r="F638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>
        <v>9</v>
      </c>
      <c r="L638" t="s">
        <v>4275</v>
      </c>
      <c r="M638" t="s">
        <v>4280</v>
      </c>
      <c r="N638" s="5">
        <v>2403.2399999999998</v>
      </c>
      <c r="O638" t="str">
        <f>IF(ABS(Table1[[#This Row],[TotalPrice]]-Table1[[#This Row],[Quantity]]*Table1[[#This Row],[UnitPrice]]) &lt;0.01, "ok",)</f>
        <v>ok</v>
      </c>
      <c r="P638" t="str">
        <f>PROPER(TRIM(Table1[[#This Row],[ShippingAddress]]))</f>
        <v>790 Main St</v>
      </c>
      <c r="Q638" t="str">
        <f>PROPER(TRIM((Table1[[#This Row],[PaymentMethod]])))</f>
        <v>Debit Card</v>
      </c>
      <c r="R638" t="str">
        <f>PROPER(TRIM(Table1[[#This Row],[ReferralSource]]))</f>
        <v>Email</v>
      </c>
      <c r="S638" s="5">
        <f>Table1[[#This Row],[TotalPrice]]/Table1[[#This Row],[ItemsInCart]]</f>
        <v>267.02666666666664</v>
      </c>
    </row>
    <row r="639" spans="1:19" x14ac:dyDescent="0.3">
      <c r="A639" t="s">
        <v>220</v>
      </c>
      <c r="B639" s="1">
        <v>45398</v>
      </c>
      <c r="C639" t="s">
        <v>1420</v>
      </c>
      <c r="D639" t="s">
        <v>2408</v>
      </c>
      <c r="E639">
        <v>4</v>
      </c>
      <c r="F639">
        <v>229.1</v>
      </c>
      <c r="G639" t="s">
        <v>2592</v>
      </c>
      <c r="H639" t="s">
        <v>3068</v>
      </c>
      <c r="I639" t="s">
        <v>3072</v>
      </c>
      <c r="J639" t="s">
        <v>3281</v>
      </c>
      <c r="K639">
        <v>8</v>
      </c>
      <c r="L639" t="s">
        <v>4277</v>
      </c>
      <c r="M639" t="s">
        <v>4280</v>
      </c>
      <c r="N639" s="5">
        <v>916.4</v>
      </c>
      <c r="O639" t="str">
        <f>IF(ABS(Table1[[#This Row],[TotalPrice]]-Table1[[#This Row],[Quantity]]*Table1[[#This Row],[UnitPrice]]) &lt;0.01, "ok",)</f>
        <v>ok</v>
      </c>
      <c r="P639" t="str">
        <f>PROPER(TRIM(Table1[[#This Row],[ShippingAddress]]))</f>
        <v>729 Main St</v>
      </c>
      <c r="Q639" t="str">
        <f>PROPER(TRIM((Table1[[#This Row],[PaymentMethod]])))</f>
        <v>Gift Card</v>
      </c>
      <c r="R639" t="str">
        <f>PROPER(TRIM(Table1[[#This Row],[ReferralSource]]))</f>
        <v>Email</v>
      </c>
      <c r="S639" s="5">
        <f>Table1[[#This Row],[TotalPrice]]/Table1[[#This Row],[ItemsInCart]]</f>
        <v>114.55</v>
      </c>
    </row>
    <row r="640" spans="1:19" x14ac:dyDescent="0.3">
      <c r="A640" t="s">
        <v>347</v>
      </c>
      <c r="B640" s="1">
        <v>45398</v>
      </c>
      <c r="C640" t="s">
        <v>1547</v>
      </c>
      <c r="D640" t="s">
        <v>2404</v>
      </c>
      <c r="E640">
        <v>1</v>
      </c>
      <c r="F640">
        <v>198.51</v>
      </c>
      <c r="G640" t="s">
        <v>2687</v>
      </c>
      <c r="H640" t="s">
        <v>3067</v>
      </c>
      <c r="I640" t="s">
        <v>3072</v>
      </c>
      <c r="J640" t="s">
        <v>3408</v>
      </c>
      <c r="K640">
        <v>5</v>
      </c>
      <c r="L640" t="s">
        <v>4277</v>
      </c>
      <c r="M640" t="s">
        <v>4278</v>
      </c>
      <c r="N640" s="5">
        <v>198.51</v>
      </c>
      <c r="O640" t="str">
        <f>IF(ABS(Table1[[#This Row],[TotalPrice]]-Table1[[#This Row],[Quantity]]*Table1[[#This Row],[UnitPrice]]) &lt;0.01, "ok",)</f>
        <v>ok</v>
      </c>
      <c r="P640" t="str">
        <f>PROPER(TRIM(Table1[[#This Row],[ShippingAddress]]))</f>
        <v>818 Main St</v>
      </c>
      <c r="Q640" t="str">
        <f>PROPER(TRIM((Table1[[#This Row],[PaymentMethod]])))</f>
        <v>Credit Card</v>
      </c>
      <c r="R640" t="str">
        <f>PROPER(TRIM(Table1[[#This Row],[ReferralSource]]))</f>
        <v>Instagram</v>
      </c>
      <c r="S640" s="5">
        <f>Table1[[#This Row],[TotalPrice]]/Table1[[#This Row],[ItemsInCart]]</f>
        <v>39.701999999999998</v>
      </c>
    </row>
    <row r="641" spans="1:19" x14ac:dyDescent="0.3">
      <c r="A641" t="s">
        <v>433</v>
      </c>
      <c r="B641" s="1">
        <v>45399</v>
      </c>
      <c r="C641" t="s">
        <v>1633</v>
      </c>
      <c r="D641" t="s">
        <v>2405</v>
      </c>
      <c r="E641">
        <v>2</v>
      </c>
      <c r="F641">
        <v>216.66</v>
      </c>
      <c r="G641" t="s">
        <v>2701</v>
      </c>
      <c r="H641" t="s">
        <v>3065</v>
      </c>
      <c r="I641" t="s">
        <v>3074</v>
      </c>
      <c r="J641" t="s">
        <v>3494</v>
      </c>
      <c r="K641">
        <v>6</v>
      </c>
      <c r="L641" t="s">
        <v>4276</v>
      </c>
      <c r="M641" t="s">
        <v>4278</v>
      </c>
      <c r="N641" s="5">
        <v>433.32</v>
      </c>
      <c r="O641" t="str">
        <f>IF(ABS(Table1[[#This Row],[TotalPrice]]-Table1[[#This Row],[Quantity]]*Table1[[#This Row],[UnitPrice]]) &lt;0.01, "ok",)</f>
        <v>ok</v>
      </c>
      <c r="P641" t="str">
        <f>PROPER(TRIM(Table1[[#This Row],[ShippingAddress]]))</f>
        <v>885 Main St</v>
      </c>
      <c r="Q641" t="str">
        <f>PROPER(TRIM((Table1[[#This Row],[PaymentMethod]])))</f>
        <v>Debit Card</v>
      </c>
      <c r="R641" t="str">
        <f>PROPER(TRIM(Table1[[#This Row],[ReferralSource]]))</f>
        <v>Instagram</v>
      </c>
      <c r="S641" s="5">
        <f>Table1[[#This Row],[TotalPrice]]/Table1[[#This Row],[ItemsInCart]]</f>
        <v>72.22</v>
      </c>
    </row>
    <row r="642" spans="1:19" x14ac:dyDescent="0.3">
      <c r="A642" t="s">
        <v>197</v>
      </c>
      <c r="B642" s="1">
        <v>45400</v>
      </c>
      <c r="C642" t="s">
        <v>1397</v>
      </c>
      <c r="D642" t="s">
        <v>2403</v>
      </c>
      <c r="E642">
        <v>5</v>
      </c>
      <c r="F642">
        <v>186.28</v>
      </c>
      <c r="G642" t="s">
        <v>2575</v>
      </c>
      <c r="H642" t="s">
        <v>3065</v>
      </c>
      <c r="I642" t="s">
        <v>3073</v>
      </c>
      <c r="J642" t="s">
        <v>3258</v>
      </c>
      <c r="K642">
        <v>8</v>
      </c>
      <c r="L642" t="s">
        <v>4275</v>
      </c>
      <c r="M642" t="s">
        <v>4280</v>
      </c>
      <c r="N642" s="5">
        <v>931.4</v>
      </c>
      <c r="O642" t="str">
        <f>IF(ABS(Table1[[#This Row],[TotalPrice]]-Table1[[#This Row],[Quantity]]*Table1[[#This Row],[UnitPrice]]) &lt;0.01, "ok",)</f>
        <v>ok</v>
      </c>
      <c r="P642" t="str">
        <f>PROPER(TRIM(Table1[[#This Row],[ShippingAddress]]))</f>
        <v>258 Main St</v>
      </c>
      <c r="Q642" t="str">
        <f>PROPER(TRIM((Table1[[#This Row],[PaymentMethod]])))</f>
        <v>Debit Card</v>
      </c>
      <c r="R642" t="str">
        <f>PROPER(TRIM(Table1[[#This Row],[ReferralSource]]))</f>
        <v>Email</v>
      </c>
      <c r="S642" s="5">
        <f>Table1[[#This Row],[TotalPrice]]/Table1[[#This Row],[ItemsInCart]]</f>
        <v>116.425</v>
      </c>
    </row>
    <row r="643" spans="1:19" x14ac:dyDescent="0.3">
      <c r="A643" t="s">
        <v>451</v>
      </c>
      <c r="B643" s="1">
        <v>45400</v>
      </c>
      <c r="C643" t="s">
        <v>1651</v>
      </c>
      <c r="D643" t="s">
        <v>2404</v>
      </c>
      <c r="E643">
        <v>1</v>
      </c>
      <c r="F643">
        <v>512.39</v>
      </c>
      <c r="G643" t="s">
        <v>2751</v>
      </c>
      <c r="H643" t="s">
        <v>3066</v>
      </c>
      <c r="I643" t="s">
        <v>3073</v>
      </c>
      <c r="J643" t="s">
        <v>3512</v>
      </c>
      <c r="K643">
        <v>2</v>
      </c>
      <c r="L643" t="s">
        <v>4276</v>
      </c>
      <c r="M643" t="s">
        <v>4278</v>
      </c>
      <c r="N643" s="5">
        <v>512.39</v>
      </c>
      <c r="O643" t="str">
        <f>IF(ABS(Table1[[#This Row],[TotalPrice]]-Table1[[#This Row],[Quantity]]*Table1[[#This Row],[UnitPrice]]) &lt;0.01, "ok",)</f>
        <v>ok</v>
      </c>
      <c r="P643" t="str">
        <f>PROPER(TRIM(Table1[[#This Row],[ShippingAddress]]))</f>
        <v>955 Main St</v>
      </c>
      <c r="Q643" t="str">
        <f>PROPER(TRIM((Table1[[#This Row],[PaymentMethod]])))</f>
        <v>Online</v>
      </c>
      <c r="R643" t="str">
        <f>PROPER(TRIM(Table1[[#This Row],[ReferralSource]]))</f>
        <v>Instagram</v>
      </c>
      <c r="S643" s="5">
        <f>Table1[[#This Row],[TotalPrice]]/Table1[[#This Row],[ItemsInCart]]</f>
        <v>256.19499999999999</v>
      </c>
    </row>
    <row r="644" spans="1:19" x14ac:dyDescent="0.3">
      <c r="A644" t="s">
        <v>580</v>
      </c>
      <c r="B644" s="1">
        <v>45400</v>
      </c>
      <c r="C644" t="s">
        <v>1780</v>
      </c>
      <c r="D644" t="s">
        <v>2404</v>
      </c>
      <c r="E644">
        <v>4</v>
      </c>
      <c r="F644">
        <v>162.71</v>
      </c>
      <c r="G644" t="s">
        <v>2824</v>
      </c>
      <c r="H644" t="s">
        <v>3069</v>
      </c>
      <c r="I644" t="s">
        <v>3071</v>
      </c>
      <c r="J644" t="s">
        <v>3641</v>
      </c>
      <c r="K644">
        <v>7</v>
      </c>
      <c r="L644" t="s">
        <v>4276</v>
      </c>
      <c r="M644" t="s">
        <v>4280</v>
      </c>
      <c r="N644" s="5">
        <v>650.84</v>
      </c>
      <c r="O644" t="str">
        <f>IF(ABS(Table1[[#This Row],[TotalPrice]]-Table1[[#This Row],[Quantity]]*Table1[[#This Row],[UnitPrice]]) &lt;0.01, "ok",)</f>
        <v>ok</v>
      </c>
      <c r="P644" t="str">
        <f>PROPER(TRIM(Table1[[#This Row],[ShippingAddress]]))</f>
        <v>167 Main St</v>
      </c>
      <c r="Q644" t="str">
        <f>PROPER(TRIM((Table1[[#This Row],[PaymentMethod]])))</f>
        <v>Cash</v>
      </c>
      <c r="R644" t="str">
        <f>PROPER(TRIM(Table1[[#This Row],[ReferralSource]]))</f>
        <v>Email</v>
      </c>
      <c r="S644" s="5">
        <f>Table1[[#This Row],[TotalPrice]]/Table1[[#This Row],[ItemsInCart]]</f>
        <v>92.977142857142866</v>
      </c>
    </row>
    <row r="645" spans="1:19" x14ac:dyDescent="0.3">
      <c r="A645" t="s">
        <v>684</v>
      </c>
      <c r="B645" s="1">
        <v>45400</v>
      </c>
      <c r="C645" t="s">
        <v>1882</v>
      </c>
      <c r="D645" t="s">
        <v>2409</v>
      </c>
      <c r="E645">
        <v>4</v>
      </c>
      <c r="F645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>
        <v>8</v>
      </c>
      <c r="L645" t="s">
        <v>4276</v>
      </c>
      <c r="M645" t="s">
        <v>4282</v>
      </c>
      <c r="N645" s="5">
        <v>2156.8000000000002</v>
      </c>
      <c r="O645" t="str">
        <f>IF(ABS(Table1[[#This Row],[TotalPrice]]-Table1[[#This Row],[Quantity]]*Table1[[#This Row],[UnitPrice]]) &lt;0.01, "ok",)</f>
        <v>ok</v>
      </c>
      <c r="P645" t="str">
        <f>PROPER(TRIM(Table1[[#This Row],[ShippingAddress]]))</f>
        <v>747 Main St</v>
      </c>
      <c r="Q645" t="str">
        <f>PROPER(TRIM((Table1[[#This Row],[PaymentMethod]])))</f>
        <v>Credit Card</v>
      </c>
      <c r="R645" t="str">
        <f>PROPER(TRIM(Table1[[#This Row],[ReferralSource]]))</f>
        <v>Google</v>
      </c>
      <c r="S645" s="5">
        <f>Table1[[#This Row],[TotalPrice]]/Table1[[#This Row],[ItemsInCart]]</f>
        <v>269.60000000000002</v>
      </c>
    </row>
    <row r="646" spans="1:19" x14ac:dyDescent="0.3">
      <c r="A646" t="s">
        <v>394</v>
      </c>
      <c r="B646" s="1">
        <v>45402</v>
      </c>
      <c r="C646" t="s">
        <v>1594</v>
      </c>
      <c r="D646" t="s">
        <v>2407</v>
      </c>
      <c r="E646">
        <v>4</v>
      </c>
      <c r="F646">
        <v>331.9</v>
      </c>
      <c r="G646" t="s">
        <v>2640</v>
      </c>
      <c r="H646" t="s">
        <v>3069</v>
      </c>
      <c r="I646" t="s">
        <v>3074</v>
      </c>
      <c r="J646" t="s">
        <v>3455</v>
      </c>
      <c r="K646">
        <v>5</v>
      </c>
      <c r="L646" t="s">
        <v>4275</v>
      </c>
      <c r="M646" t="s">
        <v>4278</v>
      </c>
      <c r="N646" s="5">
        <v>1327.6</v>
      </c>
      <c r="O646" t="str">
        <f>IF(ABS(Table1[[#This Row],[TotalPrice]]-Table1[[#This Row],[Quantity]]*Table1[[#This Row],[UnitPrice]]) &lt;0.01, "ok",)</f>
        <v>ok</v>
      </c>
      <c r="P646" t="str">
        <f>PROPER(TRIM(Table1[[#This Row],[ShippingAddress]]))</f>
        <v>127 Main St</v>
      </c>
      <c r="Q646" t="str">
        <f>PROPER(TRIM((Table1[[#This Row],[PaymentMethod]])))</f>
        <v>Cash</v>
      </c>
      <c r="R646" t="str">
        <f>PROPER(TRIM(Table1[[#This Row],[ReferralSource]]))</f>
        <v>Instagram</v>
      </c>
      <c r="S646" s="5">
        <f>Table1[[#This Row],[TotalPrice]]/Table1[[#This Row],[ItemsInCart]]</f>
        <v>265.52</v>
      </c>
    </row>
    <row r="647" spans="1:19" x14ac:dyDescent="0.3">
      <c r="A647" t="s">
        <v>536</v>
      </c>
      <c r="B647" s="1">
        <v>45402</v>
      </c>
      <c r="C647" t="s">
        <v>1736</v>
      </c>
      <c r="D647" t="s">
        <v>2406</v>
      </c>
      <c r="E647">
        <v>1</v>
      </c>
      <c r="F64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>
        <v>1</v>
      </c>
      <c r="L647" t="s">
        <v>4276</v>
      </c>
      <c r="M647" t="s">
        <v>4280</v>
      </c>
      <c r="N647" s="5">
        <v>515.32000000000005</v>
      </c>
      <c r="O647" t="str">
        <f>IF(ABS(Table1[[#This Row],[TotalPrice]]-Table1[[#This Row],[Quantity]]*Table1[[#This Row],[UnitPrice]]) &lt;0.01, "ok",)</f>
        <v>ok</v>
      </c>
      <c r="P647" t="str">
        <f>PROPER(TRIM(Table1[[#This Row],[ShippingAddress]]))</f>
        <v>740 Main St</v>
      </c>
      <c r="Q647" t="str">
        <f>PROPER(TRIM((Table1[[#This Row],[PaymentMethod]])))</f>
        <v>Gift Card</v>
      </c>
      <c r="R647" t="str">
        <f>PROPER(TRIM(Table1[[#This Row],[ReferralSource]]))</f>
        <v>Email</v>
      </c>
      <c r="S647" s="5">
        <f>Table1[[#This Row],[TotalPrice]]/Table1[[#This Row],[ItemsInCart]]</f>
        <v>515.32000000000005</v>
      </c>
    </row>
    <row r="648" spans="1:19" x14ac:dyDescent="0.3">
      <c r="A648" t="s">
        <v>124</v>
      </c>
      <c r="B648" s="1">
        <v>45403</v>
      </c>
      <c r="C648" t="s">
        <v>1324</v>
      </c>
      <c r="D648" t="s">
        <v>2405</v>
      </c>
      <c r="E648">
        <v>1</v>
      </c>
      <c r="F648">
        <v>220.77</v>
      </c>
      <c r="G648" t="s">
        <v>2513</v>
      </c>
      <c r="H648" t="s">
        <v>3068</v>
      </c>
      <c r="I648" t="s">
        <v>3074</v>
      </c>
      <c r="J648" t="s">
        <v>3185</v>
      </c>
      <c r="K648">
        <v>5</v>
      </c>
      <c r="L648" t="s">
        <v>4276</v>
      </c>
      <c r="M648" t="s">
        <v>4278</v>
      </c>
      <c r="N648" s="5">
        <v>220.77</v>
      </c>
      <c r="O648" t="str">
        <f>IF(ABS(Table1[[#This Row],[TotalPrice]]-Table1[[#This Row],[Quantity]]*Table1[[#This Row],[UnitPrice]]) &lt;0.01, "ok",)</f>
        <v>ok</v>
      </c>
      <c r="P648" t="str">
        <f>PROPER(TRIM(Table1[[#This Row],[ShippingAddress]]))</f>
        <v>388 Main St</v>
      </c>
      <c r="Q648" t="str">
        <f>PROPER(TRIM((Table1[[#This Row],[PaymentMethod]])))</f>
        <v>Gift Card</v>
      </c>
      <c r="R648" t="str">
        <f>PROPER(TRIM(Table1[[#This Row],[ReferralSource]]))</f>
        <v>Instagram</v>
      </c>
      <c r="S648" s="5">
        <f>Table1[[#This Row],[TotalPrice]]/Table1[[#This Row],[ItemsInCart]]</f>
        <v>44.154000000000003</v>
      </c>
    </row>
    <row r="649" spans="1:19" x14ac:dyDescent="0.3">
      <c r="A649" t="s">
        <v>209</v>
      </c>
      <c r="B649" s="1">
        <v>45404</v>
      </c>
      <c r="C649" t="s">
        <v>1409</v>
      </c>
      <c r="D649" t="s">
        <v>2406</v>
      </c>
      <c r="E649">
        <v>3</v>
      </c>
      <c r="F649">
        <v>619.21</v>
      </c>
      <c r="G649" t="s">
        <v>2586</v>
      </c>
      <c r="H649" t="s">
        <v>3065</v>
      </c>
      <c r="I649" t="s">
        <v>3071</v>
      </c>
      <c r="J649" t="s">
        <v>3270</v>
      </c>
      <c r="K649">
        <v>6</v>
      </c>
      <c r="L649" t="s">
        <v>4283</v>
      </c>
      <c r="M649" t="s">
        <v>4280</v>
      </c>
      <c r="N649" s="5">
        <v>1857.63</v>
      </c>
      <c r="O649" t="str">
        <f>IF(ABS(Table1[[#This Row],[TotalPrice]]-Table1[[#This Row],[Quantity]]*Table1[[#This Row],[UnitPrice]]) &lt;0.01, "ok",)</f>
        <v>ok</v>
      </c>
      <c r="P649" t="str">
        <f>PROPER(TRIM(Table1[[#This Row],[ShippingAddress]]))</f>
        <v>801 Main St</v>
      </c>
      <c r="Q649" t="str">
        <f>PROPER(TRIM((Table1[[#This Row],[PaymentMethod]])))</f>
        <v>Debit Card</v>
      </c>
      <c r="R649" t="str">
        <f>PROPER(TRIM(Table1[[#This Row],[ReferralSource]]))</f>
        <v>Email</v>
      </c>
      <c r="S649" s="5">
        <f>Table1[[#This Row],[TotalPrice]]/Table1[[#This Row],[ItemsInCart]]</f>
        <v>309.60500000000002</v>
      </c>
    </row>
    <row r="650" spans="1:19" x14ac:dyDescent="0.3">
      <c r="A650" t="s">
        <v>1034</v>
      </c>
      <c r="B650" s="1">
        <v>45404</v>
      </c>
      <c r="C650" t="s">
        <v>2226</v>
      </c>
      <c r="D650" t="s">
        <v>2405</v>
      </c>
      <c r="E650">
        <v>2</v>
      </c>
      <c r="F650">
        <v>26.5</v>
      </c>
      <c r="G650" t="s">
        <v>2714</v>
      </c>
      <c r="H650" t="s">
        <v>3066</v>
      </c>
      <c r="I650" t="s">
        <v>3073</v>
      </c>
      <c r="J650" t="s">
        <v>4095</v>
      </c>
      <c r="K650">
        <v>3</v>
      </c>
      <c r="L650" t="s">
        <v>4275</v>
      </c>
      <c r="M650" t="s">
        <v>4278</v>
      </c>
      <c r="N650" s="5">
        <v>53</v>
      </c>
      <c r="O650" t="str">
        <f>IF(ABS(Table1[[#This Row],[TotalPrice]]-Table1[[#This Row],[Quantity]]*Table1[[#This Row],[UnitPrice]]) &lt;0.01, "ok",)</f>
        <v>ok</v>
      </c>
      <c r="P650" t="str">
        <f>PROPER(TRIM(Table1[[#This Row],[ShippingAddress]]))</f>
        <v>312 Main St</v>
      </c>
      <c r="Q650" t="str">
        <f>PROPER(TRIM((Table1[[#This Row],[PaymentMethod]])))</f>
        <v>Online</v>
      </c>
      <c r="R650" t="str">
        <f>PROPER(TRIM(Table1[[#This Row],[ReferralSource]]))</f>
        <v>Instagram</v>
      </c>
      <c r="S650" s="5">
        <f>Table1[[#This Row],[TotalPrice]]/Table1[[#This Row],[ItemsInCart]]</f>
        <v>17.666666666666668</v>
      </c>
    </row>
    <row r="651" spans="1:19" x14ac:dyDescent="0.3">
      <c r="A651" t="s">
        <v>271</v>
      </c>
      <c r="B651" s="1">
        <v>45405</v>
      </c>
      <c r="C651" t="s">
        <v>1471</v>
      </c>
      <c r="D651" t="s">
        <v>2404</v>
      </c>
      <c r="E651">
        <v>1</v>
      </c>
      <c r="F651">
        <v>406.22</v>
      </c>
      <c r="G651" t="s">
        <v>2630</v>
      </c>
      <c r="H651" t="s">
        <v>3067</v>
      </c>
      <c r="I651" t="s">
        <v>3071</v>
      </c>
      <c r="J651" t="s">
        <v>3332</v>
      </c>
      <c r="K651">
        <v>5</v>
      </c>
      <c r="L651" t="s">
        <v>4275</v>
      </c>
      <c r="M651" t="s">
        <v>4279</v>
      </c>
      <c r="N651" s="5">
        <v>406.22</v>
      </c>
      <c r="O651" t="str">
        <f>IF(ABS(Table1[[#This Row],[TotalPrice]]-Table1[[#This Row],[Quantity]]*Table1[[#This Row],[UnitPrice]]) &lt;0.01, "ok",)</f>
        <v>ok</v>
      </c>
      <c r="P651" t="str">
        <f>PROPER(TRIM(Table1[[#This Row],[ShippingAddress]]))</f>
        <v>712 Main St</v>
      </c>
      <c r="Q651" t="str">
        <f>PROPER(TRIM((Table1[[#This Row],[PaymentMethod]])))</f>
        <v>Credit Card</v>
      </c>
      <c r="R651" t="str">
        <f>PROPER(TRIM(Table1[[#This Row],[ReferralSource]]))</f>
        <v>Referral</v>
      </c>
      <c r="S651" s="5">
        <f>Table1[[#This Row],[TotalPrice]]/Table1[[#This Row],[ItemsInCart]]</f>
        <v>81.244</v>
      </c>
    </row>
    <row r="652" spans="1:19" x14ac:dyDescent="0.3">
      <c r="A652" t="s">
        <v>606</v>
      </c>
      <c r="B652" s="1">
        <v>45405</v>
      </c>
      <c r="C652" t="s">
        <v>1806</v>
      </c>
      <c r="D652" t="s">
        <v>2404</v>
      </c>
      <c r="E652">
        <v>3</v>
      </c>
      <c r="F652">
        <v>204.27</v>
      </c>
      <c r="G652" t="s">
        <v>2803</v>
      </c>
      <c r="H652" t="s">
        <v>3066</v>
      </c>
      <c r="I652" t="s">
        <v>3072</v>
      </c>
      <c r="J652" t="s">
        <v>3667</v>
      </c>
      <c r="K652">
        <v>4</v>
      </c>
      <c r="L652" t="s">
        <v>4283</v>
      </c>
      <c r="M652" t="s">
        <v>4282</v>
      </c>
      <c r="N652" s="5">
        <v>612.81000000000006</v>
      </c>
      <c r="O652" t="str">
        <f>IF(ABS(Table1[[#This Row],[TotalPrice]]-Table1[[#This Row],[Quantity]]*Table1[[#This Row],[UnitPrice]]) &lt;0.01, "ok",)</f>
        <v>ok</v>
      </c>
      <c r="P652" t="str">
        <f>PROPER(TRIM(Table1[[#This Row],[ShippingAddress]]))</f>
        <v>938 Main St</v>
      </c>
      <c r="Q652" t="str">
        <f>PROPER(TRIM((Table1[[#This Row],[PaymentMethod]])))</f>
        <v>Online</v>
      </c>
      <c r="R652" t="str">
        <f>PROPER(TRIM(Table1[[#This Row],[ReferralSource]]))</f>
        <v>Google</v>
      </c>
      <c r="S652" s="5">
        <f>Table1[[#This Row],[TotalPrice]]/Table1[[#This Row],[ItemsInCart]]</f>
        <v>153.20250000000001</v>
      </c>
    </row>
    <row r="653" spans="1:19" x14ac:dyDescent="0.3">
      <c r="A653" t="s">
        <v>1109</v>
      </c>
      <c r="B653" s="1">
        <v>45405</v>
      </c>
      <c r="C653" t="s">
        <v>2301</v>
      </c>
      <c r="D653" t="s">
        <v>2404</v>
      </c>
      <c r="E653">
        <v>2</v>
      </c>
      <c r="F653">
        <v>441.54</v>
      </c>
      <c r="G653" t="s">
        <v>3028</v>
      </c>
      <c r="H653" t="s">
        <v>3066</v>
      </c>
      <c r="I653" t="s">
        <v>3073</v>
      </c>
      <c r="J653" t="s">
        <v>4170</v>
      </c>
      <c r="K653">
        <v>2</v>
      </c>
      <c r="L653" t="s">
        <v>4275</v>
      </c>
      <c r="M653" t="s">
        <v>4280</v>
      </c>
      <c r="N653" s="5">
        <v>883.08</v>
      </c>
      <c r="O653" t="str">
        <f>IF(ABS(Table1[[#This Row],[TotalPrice]]-Table1[[#This Row],[Quantity]]*Table1[[#This Row],[UnitPrice]]) &lt;0.01, "ok",)</f>
        <v>ok</v>
      </c>
      <c r="P653" t="str">
        <f>PROPER(TRIM(Table1[[#This Row],[ShippingAddress]]))</f>
        <v>397 Main St</v>
      </c>
      <c r="Q653" t="str">
        <f>PROPER(TRIM((Table1[[#This Row],[PaymentMethod]])))</f>
        <v>Online</v>
      </c>
      <c r="R653" t="str">
        <f>PROPER(TRIM(Table1[[#This Row],[ReferralSource]]))</f>
        <v>Email</v>
      </c>
      <c r="S653" s="5">
        <f>Table1[[#This Row],[TotalPrice]]/Table1[[#This Row],[ItemsInCart]]</f>
        <v>441.54</v>
      </c>
    </row>
    <row r="654" spans="1:19" x14ac:dyDescent="0.3">
      <c r="A654" t="s">
        <v>767</v>
      </c>
      <c r="B654" s="1">
        <v>45406</v>
      </c>
      <c r="C654" t="s">
        <v>1964</v>
      </c>
      <c r="D654" t="s">
        <v>2404</v>
      </c>
      <c r="E654">
        <v>2</v>
      </c>
      <c r="F654">
        <v>241.49</v>
      </c>
      <c r="G654" t="s">
        <v>2907</v>
      </c>
      <c r="H654" t="s">
        <v>3065</v>
      </c>
      <c r="I654" t="s">
        <v>3072</v>
      </c>
      <c r="J654" t="s">
        <v>3828</v>
      </c>
      <c r="K654">
        <v>7</v>
      </c>
      <c r="L654" t="s">
        <v>4276</v>
      </c>
      <c r="M654" t="s">
        <v>4278</v>
      </c>
      <c r="N654" s="5">
        <v>482.98</v>
      </c>
      <c r="O654" t="str">
        <f>IF(ABS(Table1[[#This Row],[TotalPrice]]-Table1[[#This Row],[Quantity]]*Table1[[#This Row],[UnitPrice]]) &lt;0.01, "ok",)</f>
        <v>ok</v>
      </c>
      <c r="P654" t="str">
        <f>PROPER(TRIM(Table1[[#This Row],[ShippingAddress]]))</f>
        <v>864 Main St</v>
      </c>
      <c r="Q654" t="str">
        <f>PROPER(TRIM((Table1[[#This Row],[PaymentMethod]])))</f>
        <v>Debit Card</v>
      </c>
      <c r="R654" t="str">
        <f>PROPER(TRIM(Table1[[#This Row],[ReferralSource]]))</f>
        <v>Instagram</v>
      </c>
      <c r="S654" s="5">
        <f>Table1[[#This Row],[TotalPrice]]/Table1[[#This Row],[ItemsInCart]]</f>
        <v>68.997142857142862</v>
      </c>
    </row>
    <row r="655" spans="1:19" x14ac:dyDescent="0.3">
      <c r="A655" t="s">
        <v>381</v>
      </c>
      <c r="B655" s="1">
        <v>45407</v>
      </c>
      <c r="C655" t="s">
        <v>1581</v>
      </c>
      <c r="D655" t="s">
        <v>2408</v>
      </c>
      <c r="E655">
        <v>5</v>
      </c>
      <c r="F655">
        <v>658.77</v>
      </c>
      <c r="G655" t="s">
        <v>2630</v>
      </c>
      <c r="H655" t="s">
        <v>3068</v>
      </c>
      <c r="I655" t="s">
        <v>3074</v>
      </c>
      <c r="J655" t="s">
        <v>3442</v>
      </c>
      <c r="K655">
        <v>10</v>
      </c>
      <c r="L655" t="s">
        <v>4276</v>
      </c>
      <c r="M655" t="s">
        <v>4278</v>
      </c>
      <c r="N655" s="5">
        <v>3293.85</v>
      </c>
      <c r="O655" t="str">
        <f>IF(ABS(Table1[[#This Row],[TotalPrice]]-Table1[[#This Row],[Quantity]]*Table1[[#This Row],[UnitPrice]]) &lt;0.01, "ok",)</f>
        <v>ok</v>
      </c>
      <c r="P655" t="str">
        <f>PROPER(TRIM(Table1[[#This Row],[ShippingAddress]]))</f>
        <v>712 Main St</v>
      </c>
      <c r="Q655" t="str">
        <f>PROPER(TRIM((Table1[[#This Row],[PaymentMethod]])))</f>
        <v>Gift Card</v>
      </c>
      <c r="R655" t="str">
        <f>PROPER(TRIM(Table1[[#This Row],[ReferralSource]]))</f>
        <v>Instagram</v>
      </c>
      <c r="S655" s="5">
        <f>Table1[[#This Row],[TotalPrice]]/Table1[[#This Row],[ItemsInCart]]</f>
        <v>329.38499999999999</v>
      </c>
    </row>
    <row r="656" spans="1:19" x14ac:dyDescent="0.3">
      <c r="A656" t="s">
        <v>648</v>
      </c>
      <c r="B656" s="1">
        <v>45407</v>
      </c>
      <c r="C656" t="s">
        <v>1847</v>
      </c>
      <c r="D656" t="s">
        <v>2407</v>
      </c>
      <c r="E656">
        <v>2</v>
      </c>
      <c r="F656">
        <v>259.32</v>
      </c>
      <c r="G656" t="s">
        <v>2852</v>
      </c>
      <c r="H656" t="s">
        <v>3068</v>
      </c>
      <c r="I656" t="s">
        <v>3073</v>
      </c>
      <c r="J656" t="s">
        <v>3709</v>
      </c>
      <c r="K656">
        <v>2</v>
      </c>
      <c r="L656" t="s">
        <v>4277</v>
      </c>
      <c r="M656" t="s">
        <v>4279</v>
      </c>
      <c r="N656" s="5">
        <v>518.64</v>
      </c>
      <c r="O656" t="str">
        <f>IF(ABS(Table1[[#This Row],[TotalPrice]]-Table1[[#This Row],[Quantity]]*Table1[[#This Row],[UnitPrice]]) &lt;0.01, "ok",)</f>
        <v>ok</v>
      </c>
      <c r="P656" t="str">
        <f>PROPER(TRIM(Table1[[#This Row],[ShippingAddress]]))</f>
        <v>117 Main St</v>
      </c>
      <c r="Q656" t="str">
        <f>PROPER(TRIM((Table1[[#This Row],[PaymentMethod]])))</f>
        <v>Gift Card</v>
      </c>
      <c r="R656" t="str">
        <f>PROPER(TRIM(Table1[[#This Row],[ReferralSource]]))</f>
        <v>Referral</v>
      </c>
      <c r="S656" s="5">
        <f>Table1[[#This Row],[TotalPrice]]/Table1[[#This Row],[ItemsInCart]]</f>
        <v>259.32</v>
      </c>
    </row>
    <row r="657" spans="1:19" x14ac:dyDescent="0.3">
      <c r="A657" t="s">
        <v>612</v>
      </c>
      <c r="B657" s="1">
        <v>45408</v>
      </c>
      <c r="C657" t="s">
        <v>1812</v>
      </c>
      <c r="D657" t="s">
        <v>2409</v>
      </c>
      <c r="E657">
        <v>5</v>
      </c>
      <c r="F657">
        <v>495.35</v>
      </c>
      <c r="G657" t="s">
        <v>2693</v>
      </c>
      <c r="H657" t="s">
        <v>3067</v>
      </c>
      <c r="I657" t="s">
        <v>3074</v>
      </c>
      <c r="J657" t="s">
        <v>3673</v>
      </c>
      <c r="K657">
        <v>5</v>
      </c>
      <c r="L657" t="s">
        <v>4283</v>
      </c>
      <c r="M657" t="s">
        <v>4281</v>
      </c>
      <c r="N657" s="5">
        <v>2476.75</v>
      </c>
      <c r="O657" t="str">
        <f>IF(ABS(Table1[[#This Row],[TotalPrice]]-Table1[[#This Row],[Quantity]]*Table1[[#This Row],[UnitPrice]]) &lt;0.01, "ok",)</f>
        <v>ok</v>
      </c>
      <c r="P657" t="str">
        <f>PROPER(TRIM(Table1[[#This Row],[ShippingAddress]]))</f>
        <v>826 Main St</v>
      </c>
      <c r="Q657" t="str">
        <f>PROPER(TRIM((Table1[[#This Row],[PaymentMethod]])))</f>
        <v>Credit Card</v>
      </c>
      <c r="R657" t="str">
        <f>PROPER(TRIM(Table1[[#This Row],[ReferralSource]]))</f>
        <v>Facebook</v>
      </c>
      <c r="S657" s="5">
        <f>Table1[[#This Row],[TotalPrice]]/Table1[[#This Row],[ItemsInCart]]</f>
        <v>495.35</v>
      </c>
    </row>
    <row r="658" spans="1:19" x14ac:dyDescent="0.3">
      <c r="A658" t="s">
        <v>150</v>
      </c>
      <c r="B658" s="1">
        <v>45409</v>
      </c>
      <c r="C658" t="s">
        <v>1350</v>
      </c>
      <c r="D658" t="s">
        <v>2408</v>
      </c>
      <c r="E658">
        <v>1</v>
      </c>
      <c r="F658">
        <v>44.35</v>
      </c>
      <c r="G658" t="s">
        <v>2537</v>
      </c>
      <c r="H658" t="s">
        <v>3068</v>
      </c>
      <c r="I658" t="s">
        <v>3071</v>
      </c>
      <c r="J658" t="s">
        <v>3211</v>
      </c>
      <c r="K658">
        <v>1</v>
      </c>
      <c r="L658" t="s">
        <v>4275</v>
      </c>
      <c r="M658" t="s">
        <v>4278</v>
      </c>
      <c r="N658" s="5">
        <v>44.35</v>
      </c>
      <c r="O658" t="str">
        <f>IF(ABS(Table1[[#This Row],[TotalPrice]]-Table1[[#This Row],[Quantity]]*Table1[[#This Row],[UnitPrice]]) &lt;0.01, "ok",)</f>
        <v>ok</v>
      </c>
      <c r="P658" t="str">
        <f>PROPER(TRIM(Table1[[#This Row],[ShippingAddress]]))</f>
        <v>595 Main St</v>
      </c>
      <c r="Q658" t="str">
        <f>PROPER(TRIM((Table1[[#This Row],[PaymentMethod]])))</f>
        <v>Gift Card</v>
      </c>
      <c r="R658" t="str">
        <f>PROPER(TRIM(Table1[[#This Row],[ReferralSource]]))</f>
        <v>Instagram</v>
      </c>
      <c r="S658" s="5">
        <f>Table1[[#This Row],[TotalPrice]]/Table1[[#This Row],[ItemsInCart]]</f>
        <v>44.35</v>
      </c>
    </row>
    <row r="659" spans="1:19" x14ac:dyDescent="0.3">
      <c r="A659" t="s">
        <v>915</v>
      </c>
      <c r="B659" s="1">
        <v>45410</v>
      </c>
      <c r="C659" t="s">
        <v>2111</v>
      </c>
      <c r="D659" t="s">
        <v>2405</v>
      </c>
      <c r="E659">
        <v>1</v>
      </c>
      <c r="F659">
        <v>458.63</v>
      </c>
      <c r="G659" t="s">
        <v>2499</v>
      </c>
      <c r="H659" t="s">
        <v>3065</v>
      </c>
      <c r="I659" t="s">
        <v>3072</v>
      </c>
      <c r="J659" t="s">
        <v>3976</v>
      </c>
      <c r="K659">
        <v>4</v>
      </c>
      <c r="L659" t="s">
        <v>4277</v>
      </c>
      <c r="M659" t="s">
        <v>4279</v>
      </c>
      <c r="N659" s="5">
        <v>458.63</v>
      </c>
      <c r="O659" t="str">
        <f>IF(ABS(Table1[[#This Row],[TotalPrice]]-Table1[[#This Row],[Quantity]]*Table1[[#This Row],[UnitPrice]]) &lt;0.01, "ok",)</f>
        <v>ok</v>
      </c>
      <c r="P659" t="str">
        <f>PROPER(TRIM(Table1[[#This Row],[ShippingAddress]]))</f>
        <v>839 Main St</v>
      </c>
      <c r="Q659" t="str">
        <f>PROPER(TRIM((Table1[[#This Row],[PaymentMethod]])))</f>
        <v>Debit Card</v>
      </c>
      <c r="R659" t="str">
        <f>PROPER(TRIM(Table1[[#This Row],[ReferralSource]]))</f>
        <v>Referral</v>
      </c>
      <c r="S659" s="5">
        <f>Table1[[#This Row],[TotalPrice]]/Table1[[#This Row],[ItemsInCart]]</f>
        <v>114.6575</v>
      </c>
    </row>
    <row r="660" spans="1:19" x14ac:dyDescent="0.3">
      <c r="A660" t="s">
        <v>1010</v>
      </c>
      <c r="B660" s="1">
        <v>45410</v>
      </c>
      <c r="C660" t="s">
        <v>2203</v>
      </c>
      <c r="D660" t="s">
        <v>2403</v>
      </c>
      <c r="E660">
        <v>4</v>
      </c>
      <c r="F660">
        <v>473.86</v>
      </c>
      <c r="G660" t="s">
        <v>2677</v>
      </c>
      <c r="H660" t="s">
        <v>3065</v>
      </c>
      <c r="I660" t="s">
        <v>3073</v>
      </c>
      <c r="J660" t="s">
        <v>4071</v>
      </c>
      <c r="K660">
        <v>7</v>
      </c>
      <c r="L660" t="s">
        <v>4275</v>
      </c>
      <c r="M660" t="s">
        <v>4281</v>
      </c>
      <c r="N660" s="5">
        <v>1895.44</v>
      </c>
      <c r="O660" t="str">
        <f>IF(ABS(Table1[[#This Row],[TotalPrice]]-Table1[[#This Row],[Quantity]]*Table1[[#This Row],[UnitPrice]]) &lt;0.01, "ok",)</f>
        <v>ok</v>
      </c>
      <c r="P660" t="str">
        <f>PROPER(TRIM(Table1[[#This Row],[ShippingAddress]]))</f>
        <v>101 Main St</v>
      </c>
      <c r="Q660" t="str">
        <f>PROPER(TRIM((Table1[[#This Row],[PaymentMethod]])))</f>
        <v>Debit Card</v>
      </c>
      <c r="R660" t="str">
        <f>PROPER(TRIM(Table1[[#This Row],[ReferralSource]]))</f>
        <v>Facebook</v>
      </c>
      <c r="S660" s="5">
        <f>Table1[[#This Row],[TotalPrice]]/Table1[[#This Row],[ItemsInCart]]</f>
        <v>270.77714285714285</v>
      </c>
    </row>
    <row r="661" spans="1:19" x14ac:dyDescent="0.3">
      <c r="A661" t="s">
        <v>656</v>
      </c>
      <c r="B661" s="1">
        <v>45411</v>
      </c>
      <c r="C661" t="s">
        <v>1855</v>
      </c>
      <c r="D661" t="s">
        <v>2406</v>
      </c>
      <c r="E661">
        <v>5</v>
      </c>
      <c r="F661">
        <v>85.22</v>
      </c>
      <c r="G661" t="s">
        <v>2855</v>
      </c>
      <c r="H661" t="s">
        <v>3067</v>
      </c>
      <c r="I661" t="s">
        <v>3071</v>
      </c>
      <c r="J661" t="s">
        <v>3717</v>
      </c>
      <c r="K661">
        <v>7</v>
      </c>
      <c r="L661" t="s">
        <v>4276</v>
      </c>
      <c r="M661" t="s">
        <v>4280</v>
      </c>
      <c r="N661" s="5">
        <v>426.1</v>
      </c>
      <c r="O661" t="str">
        <f>IF(ABS(Table1[[#This Row],[TotalPrice]]-Table1[[#This Row],[Quantity]]*Table1[[#This Row],[UnitPrice]]) &lt;0.01, "ok",)</f>
        <v>ok</v>
      </c>
      <c r="P661" t="str">
        <f>PROPER(TRIM(Table1[[#This Row],[ShippingAddress]]))</f>
        <v>527 Main St</v>
      </c>
      <c r="Q661" t="str">
        <f>PROPER(TRIM((Table1[[#This Row],[PaymentMethod]])))</f>
        <v>Credit Card</v>
      </c>
      <c r="R661" t="str">
        <f>PROPER(TRIM(Table1[[#This Row],[ReferralSource]]))</f>
        <v>Email</v>
      </c>
      <c r="S661" s="5">
        <f>Table1[[#This Row],[TotalPrice]]/Table1[[#This Row],[ItemsInCart]]</f>
        <v>60.871428571428574</v>
      </c>
    </row>
    <row r="662" spans="1:19" x14ac:dyDescent="0.3">
      <c r="A662" t="s">
        <v>960</v>
      </c>
      <c r="B662" s="1">
        <v>45416</v>
      </c>
      <c r="C662" t="s">
        <v>2155</v>
      </c>
      <c r="D662" t="s">
        <v>2404</v>
      </c>
      <c r="E662">
        <v>2</v>
      </c>
      <c r="F662">
        <v>404.96</v>
      </c>
      <c r="G662" t="s">
        <v>2684</v>
      </c>
      <c r="H662" t="s">
        <v>3069</v>
      </c>
      <c r="I662" t="s">
        <v>3070</v>
      </c>
      <c r="J662" t="s">
        <v>4021</v>
      </c>
      <c r="K662">
        <v>4</v>
      </c>
      <c r="L662" t="s">
        <v>4275</v>
      </c>
      <c r="M662" t="s">
        <v>4280</v>
      </c>
      <c r="N662" s="5">
        <v>809.92</v>
      </c>
      <c r="O662" t="str">
        <f>IF(ABS(Table1[[#This Row],[TotalPrice]]-Table1[[#This Row],[Quantity]]*Table1[[#This Row],[UnitPrice]]) &lt;0.01, "ok",)</f>
        <v>ok</v>
      </c>
      <c r="P662" t="str">
        <f>PROPER(TRIM(Table1[[#This Row],[ShippingAddress]]))</f>
        <v>546 Main St</v>
      </c>
      <c r="Q662" t="str">
        <f>PROPER(TRIM((Table1[[#This Row],[PaymentMethod]])))</f>
        <v>Cash</v>
      </c>
      <c r="R662" t="str">
        <f>PROPER(TRIM(Table1[[#This Row],[ReferralSource]]))</f>
        <v>Email</v>
      </c>
      <c r="S662" s="5">
        <f>Table1[[#This Row],[TotalPrice]]/Table1[[#This Row],[ItemsInCart]]</f>
        <v>202.48</v>
      </c>
    </row>
    <row r="663" spans="1:19" x14ac:dyDescent="0.3">
      <c r="A663" t="s">
        <v>56</v>
      </c>
      <c r="B663" s="1">
        <v>45418</v>
      </c>
      <c r="C663" t="s">
        <v>1256</v>
      </c>
      <c r="D663" t="s">
        <v>2407</v>
      </c>
      <c r="E663">
        <v>2</v>
      </c>
      <c r="F663">
        <v>151.66</v>
      </c>
      <c r="G663" t="s">
        <v>2424</v>
      </c>
      <c r="H663" t="s">
        <v>3069</v>
      </c>
      <c r="I663" t="s">
        <v>3071</v>
      </c>
      <c r="J663" t="s">
        <v>3117</v>
      </c>
      <c r="K663">
        <v>6</v>
      </c>
      <c r="L663" t="s">
        <v>4283</v>
      </c>
      <c r="M663" t="s">
        <v>4278</v>
      </c>
      <c r="N663" s="5">
        <v>303.32</v>
      </c>
      <c r="O663" t="str">
        <f>IF(ABS(Table1[[#This Row],[TotalPrice]]-Table1[[#This Row],[Quantity]]*Table1[[#This Row],[UnitPrice]]) &lt;0.01, "ok",)</f>
        <v>ok</v>
      </c>
      <c r="P663" t="str">
        <f>PROPER(TRIM(Table1[[#This Row],[ShippingAddress]]))</f>
        <v>980 Main St</v>
      </c>
      <c r="Q663" t="str">
        <f>PROPER(TRIM((Table1[[#This Row],[PaymentMethod]])))</f>
        <v>Cash</v>
      </c>
      <c r="R663" t="str">
        <f>PROPER(TRIM(Table1[[#This Row],[ReferralSource]]))</f>
        <v>Instagram</v>
      </c>
      <c r="S663" s="5">
        <f>Table1[[#This Row],[TotalPrice]]/Table1[[#This Row],[ItemsInCart]]</f>
        <v>50.553333333333335</v>
      </c>
    </row>
    <row r="664" spans="1:19" x14ac:dyDescent="0.3">
      <c r="A664" t="s">
        <v>456</v>
      </c>
      <c r="B664" s="1">
        <v>45418</v>
      </c>
      <c r="C664" t="s">
        <v>1656</v>
      </c>
      <c r="D664" t="s">
        <v>2406</v>
      </c>
      <c r="E664">
        <v>5</v>
      </c>
      <c r="F664">
        <v>314.94</v>
      </c>
      <c r="G664" t="s">
        <v>2755</v>
      </c>
      <c r="H664" t="s">
        <v>3069</v>
      </c>
      <c r="I664" t="s">
        <v>3074</v>
      </c>
      <c r="J664" t="s">
        <v>3517</v>
      </c>
      <c r="K664">
        <v>8</v>
      </c>
      <c r="L664" t="s">
        <v>4275</v>
      </c>
      <c r="M664" t="s">
        <v>4278</v>
      </c>
      <c r="N664" s="5">
        <v>1574.7</v>
      </c>
      <c r="O664" t="str">
        <f>IF(ABS(Table1[[#This Row],[TotalPrice]]-Table1[[#This Row],[Quantity]]*Table1[[#This Row],[UnitPrice]]) &lt;0.01, "ok",)</f>
        <v>ok</v>
      </c>
      <c r="P664" t="str">
        <f>PROPER(TRIM(Table1[[#This Row],[ShippingAddress]]))</f>
        <v>661 Main St</v>
      </c>
      <c r="Q664" t="str">
        <f>PROPER(TRIM((Table1[[#This Row],[PaymentMethod]])))</f>
        <v>Cash</v>
      </c>
      <c r="R664" t="str">
        <f>PROPER(TRIM(Table1[[#This Row],[ReferralSource]]))</f>
        <v>Instagram</v>
      </c>
      <c r="S664" s="5">
        <f>Table1[[#This Row],[TotalPrice]]/Table1[[#This Row],[ItemsInCart]]</f>
        <v>196.83750000000001</v>
      </c>
    </row>
    <row r="665" spans="1:19" x14ac:dyDescent="0.3">
      <c r="A665" t="s">
        <v>1074</v>
      </c>
      <c r="B665" s="1">
        <v>45419</v>
      </c>
      <c r="C665" t="s">
        <v>2266</v>
      </c>
      <c r="D665" t="s">
        <v>2405</v>
      </c>
      <c r="E665">
        <v>2</v>
      </c>
      <c r="F665">
        <v>273.43</v>
      </c>
      <c r="G665" t="s">
        <v>2702</v>
      </c>
      <c r="H665" t="s">
        <v>3069</v>
      </c>
      <c r="I665" t="s">
        <v>3070</v>
      </c>
      <c r="J665" t="s">
        <v>4135</v>
      </c>
      <c r="K665">
        <v>7</v>
      </c>
      <c r="L665" t="s">
        <v>4277</v>
      </c>
      <c r="M665" t="s">
        <v>4279</v>
      </c>
      <c r="N665" s="5">
        <v>546.86</v>
      </c>
      <c r="O665" t="str">
        <f>IF(ABS(Table1[[#This Row],[TotalPrice]]-Table1[[#This Row],[Quantity]]*Table1[[#This Row],[UnitPrice]]) &lt;0.01, "ok",)</f>
        <v>ok</v>
      </c>
      <c r="P665" t="str">
        <f>PROPER(TRIM(Table1[[#This Row],[ShippingAddress]]))</f>
        <v>824 Main St</v>
      </c>
      <c r="Q665" t="str">
        <f>PROPER(TRIM((Table1[[#This Row],[PaymentMethod]])))</f>
        <v>Cash</v>
      </c>
      <c r="R665" t="str">
        <f>PROPER(TRIM(Table1[[#This Row],[ReferralSource]]))</f>
        <v>Referral</v>
      </c>
      <c r="S665" s="5">
        <f>Table1[[#This Row],[TotalPrice]]/Table1[[#This Row],[ItemsInCart]]</f>
        <v>78.122857142857143</v>
      </c>
    </row>
    <row r="666" spans="1:19" x14ac:dyDescent="0.3">
      <c r="A666" t="s">
        <v>942</v>
      </c>
      <c r="B666" s="1">
        <v>45421</v>
      </c>
      <c r="C666" t="s">
        <v>2138</v>
      </c>
      <c r="D666" t="s">
        <v>2408</v>
      </c>
      <c r="E666">
        <v>3</v>
      </c>
      <c r="F666">
        <v>247.11</v>
      </c>
      <c r="G666" t="s">
        <v>2628</v>
      </c>
      <c r="H666" t="s">
        <v>3065</v>
      </c>
      <c r="I666" t="s">
        <v>3072</v>
      </c>
      <c r="J666" t="s">
        <v>4003</v>
      </c>
      <c r="K666">
        <v>3</v>
      </c>
      <c r="L666" t="s">
        <v>4277</v>
      </c>
      <c r="M666" t="s">
        <v>4279</v>
      </c>
      <c r="N666" s="5">
        <v>741.33</v>
      </c>
      <c r="O666" t="str">
        <f>IF(ABS(Table1[[#This Row],[TotalPrice]]-Table1[[#This Row],[Quantity]]*Table1[[#This Row],[UnitPrice]]) &lt;0.01, "ok",)</f>
        <v>ok</v>
      </c>
      <c r="P666" t="str">
        <f>PROPER(TRIM(Table1[[#This Row],[ShippingAddress]]))</f>
        <v>821 Main St</v>
      </c>
      <c r="Q666" t="str">
        <f>PROPER(TRIM((Table1[[#This Row],[PaymentMethod]])))</f>
        <v>Debit Card</v>
      </c>
      <c r="R666" t="str">
        <f>PROPER(TRIM(Table1[[#This Row],[ReferralSource]]))</f>
        <v>Referral</v>
      </c>
      <c r="S666" s="5">
        <f>Table1[[#This Row],[TotalPrice]]/Table1[[#This Row],[ItemsInCart]]</f>
        <v>247.11</v>
      </c>
    </row>
    <row r="667" spans="1:19" x14ac:dyDescent="0.3">
      <c r="A667" t="s">
        <v>1005</v>
      </c>
      <c r="B667" s="1">
        <v>45421</v>
      </c>
      <c r="C667" t="s">
        <v>2198</v>
      </c>
      <c r="D667" t="s">
        <v>2409</v>
      </c>
      <c r="E667">
        <v>5</v>
      </c>
      <c r="F667">
        <v>127.18</v>
      </c>
      <c r="G667" t="s">
        <v>2538</v>
      </c>
      <c r="H667" t="s">
        <v>3065</v>
      </c>
      <c r="I667" t="s">
        <v>3071</v>
      </c>
      <c r="J667" t="s">
        <v>4066</v>
      </c>
      <c r="K667">
        <v>10</v>
      </c>
      <c r="L667" t="s">
        <v>4276</v>
      </c>
      <c r="M667" t="s">
        <v>4282</v>
      </c>
      <c r="N667" s="5">
        <v>635.90000000000009</v>
      </c>
      <c r="O667" t="str">
        <f>IF(ABS(Table1[[#This Row],[TotalPrice]]-Table1[[#This Row],[Quantity]]*Table1[[#This Row],[UnitPrice]]) &lt;0.01, "ok",)</f>
        <v>ok</v>
      </c>
      <c r="P667" t="str">
        <f>PROPER(TRIM(Table1[[#This Row],[ShippingAddress]]))</f>
        <v>598 Main St</v>
      </c>
      <c r="Q667" t="str">
        <f>PROPER(TRIM((Table1[[#This Row],[PaymentMethod]])))</f>
        <v>Debit Card</v>
      </c>
      <c r="R667" t="str">
        <f>PROPER(TRIM(Table1[[#This Row],[ReferralSource]]))</f>
        <v>Google</v>
      </c>
      <c r="S667" s="5">
        <f>Table1[[#This Row],[TotalPrice]]/Table1[[#This Row],[ItemsInCart]]</f>
        <v>63.590000000000011</v>
      </c>
    </row>
    <row r="668" spans="1:19" x14ac:dyDescent="0.3">
      <c r="A668" t="s">
        <v>619</v>
      </c>
      <c r="B668" s="1">
        <v>45422</v>
      </c>
      <c r="C668" t="s">
        <v>1818</v>
      </c>
      <c r="D668" t="s">
        <v>2403</v>
      </c>
      <c r="E668">
        <v>2</v>
      </c>
      <c r="F668">
        <v>228.91</v>
      </c>
      <c r="G668" t="s">
        <v>2838</v>
      </c>
      <c r="H668" t="s">
        <v>3065</v>
      </c>
      <c r="I668" t="s">
        <v>3070</v>
      </c>
      <c r="J668" t="s">
        <v>3680</v>
      </c>
      <c r="K668">
        <v>4</v>
      </c>
      <c r="L668" t="s">
        <v>4275</v>
      </c>
      <c r="M668" t="s">
        <v>4279</v>
      </c>
      <c r="N668" s="5">
        <v>457.82</v>
      </c>
      <c r="O668" t="str">
        <f>IF(ABS(Table1[[#This Row],[TotalPrice]]-Table1[[#This Row],[Quantity]]*Table1[[#This Row],[UnitPrice]]) &lt;0.01, "ok",)</f>
        <v>ok</v>
      </c>
      <c r="P668" t="str">
        <f>PROPER(TRIM(Table1[[#This Row],[ShippingAddress]]))</f>
        <v>892 Main St</v>
      </c>
      <c r="Q668" t="str">
        <f>PROPER(TRIM((Table1[[#This Row],[PaymentMethod]])))</f>
        <v>Debit Card</v>
      </c>
      <c r="R668" t="str">
        <f>PROPER(TRIM(Table1[[#This Row],[ReferralSource]]))</f>
        <v>Referral</v>
      </c>
      <c r="S668" s="5">
        <f>Table1[[#This Row],[TotalPrice]]/Table1[[#This Row],[ItemsInCart]]</f>
        <v>114.455</v>
      </c>
    </row>
    <row r="669" spans="1:19" x14ac:dyDescent="0.3">
      <c r="A669" t="s">
        <v>1088</v>
      </c>
      <c r="B669" s="1">
        <v>45422</v>
      </c>
      <c r="C669" t="s">
        <v>2280</v>
      </c>
      <c r="D669" t="s">
        <v>2404</v>
      </c>
      <c r="E669">
        <v>1</v>
      </c>
      <c r="F669">
        <v>222.73</v>
      </c>
      <c r="G669" t="s">
        <v>3021</v>
      </c>
      <c r="H669" t="s">
        <v>3066</v>
      </c>
      <c r="I669" t="s">
        <v>3072</v>
      </c>
      <c r="J669" t="s">
        <v>4149</v>
      </c>
      <c r="K669">
        <v>4</v>
      </c>
      <c r="L669" t="s">
        <v>4283</v>
      </c>
      <c r="M669" t="s">
        <v>4282</v>
      </c>
      <c r="N669" s="5">
        <v>222.73</v>
      </c>
      <c r="O669" t="str">
        <f>IF(ABS(Table1[[#This Row],[TotalPrice]]-Table1[[#This Row],[Quantity]]*Table1[[#This Row],[UnitPrice]]) &lt;0.01, "ok",)</f>
        <v>ok</v>
      </c>
      <c r="P669" t="str">
        <f>PROPER(TRIM(Table1[[#This Row],[ShippingAddress]]))</f>
        <v>120 Main St</v>
      </c>
      <c r="Q669" t="str">
        <f>PROPER(TRIM((Table1[[#This Row],[PaymentMethod]])))</f>
        <v>Online</v>
      </c>
      <c r="R669" t="str">
        <f>PROPER(TRIM(Table1[[#This Row],[ReferralSource]]))</f>
        <v>Google</v>
      </c>
      <c r="S669" s="5">
        <f>Table1[[#This Row],[TotalPrice]]/Table1[[#This Row],[ItemsInCart]]</f>
        <v>55.682499999999997</v>
      </c>
    </row>
    <row r="670" spans="1:19" x14ac:dyDescent="0.3">
      <c r="A670" t="s">
        <v>305</v>
      </c>
      <c r="B670" s="1">
        <v>45424</v>
      </c>
      <c r="C670" t="s">
        <v>1505</v>
      </c>
      <c r="D670" t="s">
        <v>2404</v>
      </c>
      <c r="E670">
        <v>2</v>
      </c>
      <c r="F670">
        <v>345.01</v>
      </c>
      <c r="G670" t="s">
        <v>2657</v>
      </c>
      <c r="H670" t="s">
        <v>3067</v>
      </c>
      <c r="I670" t="s">
        <v>3073</v>
      </c>
      <c r="J670" t="s">
        <v>3366</v>
      </c>
      <c r="K670">
        <v>6</v>
      </c>
      <c r="L670" t="s">
        <v>4276</v>
      </c>
      <c r="M670" t="s">
        <v>4282</v>
      </c>
      <c r="N670" s="5">
        <v>690.02</v>
      </c>
      <c r="O670" t="str">
        <f>IF(ABS(Table1[[#This Row],[TotalPrice]]-Table1[[#This Row],[Quantity]]*Table1[[#This Row],[UnitPrice]]) &lt;0.01, "ok",)</f>
        <v>ok</v>
      </c>
      <c r="P670" t="str">
        <f>PROPER(TRIM(Table1[[#This Row],[ShippingAddress]]))</f>
        <v>670 Main St</v>
      </c>
      <c r="Q670" t="str">
        <f>PROPER(TRIM((Table1[[#This Row],[PaymentMethod]])))</f>
        <v>Credit Card</v>
      </c>
      <c r="R670" t="str">
        <f>PROPER(TRIM(Table1[[#This Row],[ReferralSource]]))</f>
        <v>Google</v>
      </c>
      <c r="S670" s="5">
        <f>Table1[[#This Row],[TotalPrice]]/Table1[[#This Row],[ItemsInCart]]</f>
        <v>115.00333333333333</v>
      </c>
    </row>
    <row r="671" spans="1:19" x14ac:dyDescent="0.3">
      <c r="A671" t="s">
        <v>887</v>
      </c>
      <c r="B671" s="1">
        <v>45424</v>
      </c>
      <c r="C671" t="s">
        <v>2083</v>
      </c>
      <c r="D671" t="s">
        <v>2409</v>
      </c>
      <c r="E671">
        <v>3</v>
      </c>
      <c r="F671">
        <v>136.84</v>
      </c>
      <c r="G671" t="s">
        <v>2964</v>
      </c>
      <c r="H671" t="s">
        <v>3069</v>
      </c>
      <c r="I671" t="s">
        <v>3073</v>
      </c>
      <c r="J671" t="s">
        <v>3948</v>
      </c>
      <c r="K671">
        <v>3</v>
      </c>
      <c r="L671" t="s">
        <v>4275</v>
      </c>
      <c r="M671" t="s">
        <v>4281</v>
      </c>
      <c r="N671" s="5">
        <v>410.52</v>
      </c>
      <c r="O671" t="str">
        <f>IF(ABS(Table1[[#This Row],[TotalPrice]]-Table1[[#This Row],[Quantity]]*Table1[[#This Row],[UnitPrice]]) &lt;0.01, "ok",)</f>
        <v>ok</v>
      </c>
      <c r="P671" t="str">
        <f>PROPER(TRIM(Table1[[#This Row],[ShippingAddress]]))</f>
        <v>448 Main St</v>
      </c>
      <c r="Q671" t="str">
        <f>PROPER(TRIM((Table1[[#This Row],[PaymentMethod]])))</f>
        <v>Cash</v>
      </c>
      <c r="R671" t="str">
        <f>PROPER(TRIM(Table1[[#This Row],[ReferralSource]]))</f>
        <v>Facebook</v>
      </c>
      <c r="S671" s="5">
        <f>Table1[[#This Row],[TotalPrice]]/Table1[[#This Row],[ItemsInCart]]</f>
        <v>136.84</v>
      </c>
    </row>
    <row r="672" spans="1:19" x14ac:dyDescent="0.3">
      <c r="A672" t="s">
        <v>269</v>
      </c>
      <c r="B672" s="1">
        <v>45425</v>
      </c>
      <c r="C672" t="s">
        <v>1469</v>
      </c>
      <c r="D672" t="s">
        <v>2403</v>
      </c>
      <c r="E672">
        <v>1</v>
      </c>
      <c r="F672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>
        <v>2</v>
      </c>
      <c r="L672" t="s">
        <v>4275</v>
      </c>
      <c r="M672" t="s">
        <v>4282</v>
      </c>
      <c r="N672" s="5">
        <v>263.95999999999998</v>
      </c>
      <c r="O672" t="str">
        <f>IF(ABS(Table1[[#This Row],[TotalPrice]]-Table1[[#This Row],[Quantity]]*Table1[[#This Row],[UnitPrice]]) &lt;0.01, "ok",)</f>
        <v>ok</v>
      </c>
      <c r="P672" t="str">
        <f>PROPER(TRIM(Table1[[#This Row],[ShippingAddress]]))</f>
        <v>806 Main St</v>
      </c>
      <c r="Q672" t="str">
        <f>PROPER(TRIM((Table1[[#This Row],[PaymentMethod]])))</f>
        <v>Gift Card</v>
      </c>
      <c r="R672" t="str">
        <f>PROPER(TRIM(Table1[[#This Row],[ReferralSource]]))</f>
        <v>Google</v>
      </c>
      <c r="S672" s="5">
        <f>Table1[[#This Row],[TotalPrice]]/Table1[[#This Row],[ItemsInCart]]</f>
        <v>131.97999999999999</v>
      </c>
    </row>
    <row r="673" spans="1:19" x14ac:dyDescent="0.3">
      <c r="A673" t="s">
        <v>457</v>
      </c>
      <c r="B673" s="1">
        <v>45426</v>
      </c>
      <c r="C673" t="s">
        <v>1657</v>
      </c>
      <c r="D673" t="s">
        <v>2406</v>
      </c>
      <c r="E673">
        <v>2</v>
      </c>
      <c r="F673">
        <v>69.64</v>
      </c>
      <c r="G673" t="s">
        <v>2469</v>
      </c>
      <c r="H673" t="s">
        <v>3069</v>
      </c>
      <c r="I673" t="s">
        <v>3072</v>
      </c>
      <c r="J673" t="s">
        <v>3518</v>
      </c>
      <c r="K673">
        <v>6</v>
      </c>
      <c r="L673" t="s">
        <v>4283</v>
      </c>
      <c r="M673" t="s">
        <v>4281</v>
      </c>
      <c r="N673" s="5">
        <v>139.28</v>
      </c>
      <c r="O673" t="str">
        <f>IF(ABS(Table1[[#This Row],[TotalPrice]]-Table1[[#This Row],[Quantity]]*Table1[[#This Row],[UnitPrice]]) &lt;0.01, "ok",)</f>
        <v>ok</v>
      </c>
      <c r="P673" t="str">
        <f>PROPER(TRIM(Table1[[#This Row],[ShippingAddress]]))</f>
        <v>813 Main St</v>
      </c>
      <c r="Q673" t="str">
        <f>PROPER(TRIM((Table1[[#This Row],[PaymentMethod]])))</f>
        <v>Cash</v>
      </c>
      <c r="R673" t="str">
        <f>PROPER(TRIM(Table1[[#This Row],[ReferralSource]]))</f>
        <v>Facebook</v>
      </c>
      <c r="S673" s="5">
        <f>Table1[[#This Row],[TotalPrice]]/Table1[[#This Row],[ItemsInCart]]</f>
        <v>23.213333333333335</v>
      </c>
    </row>
    <row r="674" spans="1:19" x14ac:dyDescent="0.3">
      <c r="A674" t="s">
        <v>898</v>
      </c>
      <c r="B674" s="1">
        <v>45427</v>
      </c>
      <c r="C674" t="s">
        <v>2094</v>
      </c>
      <c r="D674" t="s">
        <v>2406</v>
      </c>
      <c r="E674">
        <v>1</v>
      </c>
      <c r="F674">
        <v>595.54</v>
      </c>
      <c r="G674" t="s">
        <v>2968</v>
      </c>
      <c r="H674" t="s">
        <v>3068</v>
      </c>
      <c r="I674" t="s">
        <v>3070</v>
      </c>
      <c r="J674" t="s">
        <v>3959</v>
      </c>
      <c r="K674">
        <v>4</v>
      </c>
      <c r="L674" t="s">
        <v>4283</v>
      </c>
      <c r="M674" t="s">
        <v>4278</v>
      </c>
      <c r="N674" s="5">
        <v>595.54</v>
      </c>
      <c r="O674" t="str">
        <f>IF(ABS(Table1[[#This Row],[TotalPrice]]-Table1[[#This Row],[Quantity]]*Table1[[#This Row],[UnitPrice]]) &lt;0.01, "ok",)</f>
        <v>ok</v>
      </c>
      <c r="P674" t="str">
        <f>PROPER(TRIM(Table1[[#This Row],[ShippingAddress]]))</f>
        <v>817 Main St</v>
      </c>
      <c r="Q674" t="str">
        <f>PROPER(TRIM((Table1[[#This Row],[PaymentMethod]])))</f>
        <v>Gift Card</v>
      </c>
      <c r="R674" t="str">
        <f>PROPER(TRIM(Table1[[#This Row],[ReferralSource]]))</f>
        <v>Instagram</v>
      </c>
      <c r="S674" s="5">
        <f>Table1[[#This Row],[TotalPrice]]/Table1[[#This Row],[ItemsInCart]]</f>
        <v>148.88499999999999</v>
      </c>
    </row>
    <row r="675" spans="1:19" x14ac:dyDescent="0.3">
      <c r="A675" t="s">
        <v>172</v>
      </c>
      <c r="B675" s="1">
        <v>45428</v>
      </c>
      <c r="C675" t="s">
        <v>1372</v>
      </c>
      <c r="D675" t="s">
        <v>2405</v>
      </c>
      <c r="E675">
        <v>1</v>
      </c>
      <c r="F675">
        <v>331.06</v>
      </c>
      <c r="G675" t="s">
        <v>2554</v>
      </c>
      <c r="H675" t="s">
        <v>3067</v>
      </c>
      <c r="I675" t="s">
        <v>3074</v>
      </c>
      <c r="J675" t="s">
        <v>3233</v>
      </c>
      <c r="K675">
        <v>5</v>
      </c>
      <c r="L675" t="s">
        <v>4277</v>
      </c>
      <c r="M675" t="s">
        <v>4278</v>
      </c>
      <c r="N675" s="5">
        <v>331.06</v>
      </c>
      <c r="O675" t="str">
        <f>IF(ABS(Table1[[#This Row],[TotalPrice]]-Table1[[#This Row],[Quantity]]*Table1[[#This Row],[UnitPrice]]) &lt;0.01, "ok",)</f>
        <v>ok</v>
      </c>
      <c r="P675" t="str">
        <f>PROPER(TRIM(Table1[[#This Row],[ShippingAddress]]))</f>
        <v>737 Main St</v>
      </c>
      <c r="Q675" t="str">
        <f>PROPER(TRIM((Table1[[#This Row],[PaymentMethod]])))</f>
        <v>Credit Card</v>
      </c>
      <c r="R675" t="str">
        <f>PROPER(TRIM(Table1[[#This Row],[ReferralSource]]))</f>
        <v>Instagram</v>
      </c>
      <c r="S675" s="5">
        <f>Table1[[#This Row],[TotalPrice]]/Table1[[#This Row],[ItemsInCart]]</f>
        <v>66.212000000000003</v>
      </c>
    </row>
    <row r="676" spans="1:19" x14ac:dyDescent="0.3">
      <c r="A676" t="s">
        <v>885</v>
      </c>
      <c r="B676" s="1">
        <v>45428</v>
      </c>
      <c r="C676" t="s">
        <v>2081</v>
      </c>
      <c r="D676" t="s">
        <v>2405</v>
      </c>
      <c r="E676">
        <v>3</v>
      </c>
      <c r="F676">
        <v>324.3</v>
      </c>
      <c r="G676" t="s">
        <v>2963</v>
      </c>
      <c r="H676" t="s">
        <v>3065</v>
      </c>
      <c r="I676" t="s">
        <v>3074</v>
      </c>
      <c r="J676" t="s">
        <v>3946</v>
      </c>
      <c r="K676">
        <v>8</v>
      </c>
      <c r="L676" t="s">
        <v>4276</v>
      </c>
      <c r="M676" t="s">
        <v>4280</v>
      </c>
      <c r="N676" s="5">
        <v>972.90000000000009</v>
      </c>
      <c r="O676" t="str">
        <f>IF(ABS(Table1[[#This Row],[TotalPrice]]-Table1[[#This Row],[Quantity]]*Table1[[#This Row],[UnitPrice]]) &lt;0.01, "ok",)</f>
        <v>ok</v>
      </c>
      <c r="P676" t="str">
        <f>PROPER(TRIM(Table1[[#This Row],[ShippingAddress]]))</f>
        <v>720 Main St</v>
      </c>
      <c r="Q676" t="str">
        <f>PROPER(TRIM((Table1[[#This Row],[PaymentMethod]])))</f>
        <v>Debit Card</v>
      </c>
      <c r="R676" t="str">
        <f>PROPER(TRIM(Table1[[#This Row],[ReferralSource]]))</f>
        <v>Email</v>
      </c>
      <c r="S676" s="5">
        <f>Table1[[#This Row],[TotalPrice]]/Table1[[#This Row],[ItemsInCart]]</f>
        <v>121.61250000000001</v>
      </c>
    </row>
    <row r="677" spans="1:19" x14ac:dyDescent="0.3">
      <c r="A677" t="s">
        <v>67</v>
      </c>
      <c r="B677" s="1">
        <v>45430</v>
      </c>
      <c r="C677" t="s">
        <v>1267</v>
      </c>
      <c r="D677" t="s">
        <v>2404</v>
      </c>
      <c r="E677">
        <v>4</v>
      </c>
      <c r="F677">
        <v>488.78</v>
      </c>
      <c r="G677" t="s">
        <v>2412</v>
      </c>
      <c r="H677" t="s">
        <v>3066</v>
      </c>
      <c r="I677" t="s">
        <v>3072</v>
      </c>
      <c r="J677" t="s">
        <v>3128</v>
      </c>
      <c r="K677">
        <v>5</v>
      </c>
      <c r="L677" t="s">
        <v>4276</v>
      </c>
      <c r="M677" t="s">
        <v>4282</v>
      </c>
      <c r="N677" s="5">
        <v>1955.12</v>
      </c>
      <c r="O677" t="str">
        <f>IF(ABS(Table1[[#This Row],[TotalPrice]]-Table1[[#This Row],[Quantity]]*Table1[[#This Row],[UnitPrice]]) &lt;0.01, "ok",)</f>
        <v>ok</v>
      </c>
      <c r="P677" t="str">
        <f>PROPER(TRIM(Table1[[#This Row],[ShippingAddress]]))</f>
        <v>512 Main St</v>
      </c>
      <c r="Q677" t="str">
        <f>PROPER(TRIM((Table1[[#This Row],[PaymentMethod]])))</f>
        <v>Online</v>
      </c>
      <c r="R677" t="str">
        <f>PROPER(TRIM(Table1[[#This Row],[ReferralSource]]))</f>
        <v>Google</v>
      </c>
      <c r="S677" s="5">
        <f>Table1[[#This Row],[TotalPrice]]/Table1[[#This Row],[ItemsInCart]]</f>
        <v>391.024</v>
      </c>
    </row>
    <row r="678" spans="1:19" x14ac:dyDescent="0.3">
      <c r="A678" t="s">
        <v>231</v>
      </c>
      <c r="B678" s="1">
        <v>45432</v>
      </c>
      <c r="C678" t="s">
        <v>1431</v>
      </c>
      <c r="D678" t="s">
        <v>2409</v>
      </c>
      <c r="E678">
        <v>4</v>
      </c>
      <c r="F678">
        <v>321.51</v>
      </c>
      <c r="G678" t="s">
        <v>2598</v>
      </c>
      <c r="H678" t="s">
        <v>3069</v>
      </c>
      <c r="I678" t="s">
        <v>3072</v>
      </c>
      <c r="J678" t="s">
        <v>3292</v>
      </c>
      <c r="K678">
        <v>9</v>
      </c>
      <c r="L678" t="s">
        <v>4283</v>
      </c>
      <c r="M678" t="s">
        <v>4282</v>
      </c>
      <c r="N678" s="5">
        <v>1286.04</v>
      </c>
      <c r="O678" t="str">
        <f>IF(ABS(Table1[[#This Row],[TotalPrice]]-Table1[[#This Row],[Quantity]]*Table1[[#This Row],[UnitPrice]]) &lt;0.01, "ok",)</f>
        <v>ok</v>
      </c>
      <c r="P678" t="str">
        <f>PROPER(TRIM(Table1[[#This Row],[ShippingAddress]]))</f>
        <v>908 Main St</v>
      </c>
      <c r="Q678" t="str">
        <f>PROPER(TRIM((Table1[[#This Row],[PaymentMethod]])))</f>
        <v>Cash</v>
      </c>
      <c r="R678" t="str">
        <f>PROPER(TRIM(Table1[[#This Row],[ReferralSource]]))</f>
        <v>Google</v>
      </c>
      <c r="S678" s="5">
        <f>Table1[[#This Row],[TotalPrice]]/Table1[[#This Row],[ItemsInCart]]</f>
        <v>142.89333333333332</v>
      </c>
    </row>
    <row r="679" spans="1:19" x14ac:dyDescent="0.3">
      <c r="A679" t="s">
        <v>877</v>
      </c>
      <c r="B679" s="1">
        <v>45432</v>
      </c>
      <c r="C679" t="s">
        <v>2073</v>
      </c>
      <c r="D679" t="s">
        <v>2404</v>
      </c>
      <c r="E679">
        <v>1</v>
      </c>
      <c r="F679">
        <v>14.06</v>
      </c>
      <c r="G679" t="s">
        <v>2625</v>
      </c>
      <c r="H679" t="s">
        <v>3067</v>
      </c>
      <c r="I679" t="s">
        <v>3074</v>
      </c>
      <c r="J679" t="s">
        <v>3938</v>
      </c>
      <c r="K679">
        <v>5</v>
      </c>
      <c r="L679" t="s">
        <v>4275</v>
      </c>
      <c r="M679" t="s">
        <v>4279</v>
      </c>
      <c r="N679" s="5">
        <v>14.06</v>
      </c>
      <c r="O679" t="str">
        <f>IF(ABS(Table1[[#This Row],[TotalPrice]]-Table1[[#This Row],[Quantity]]*Table1[[#This Row],[UnitPrice]]) &lt;0.01, "ok",)</f>
        <v>ok</v>
      </c>
      <c r="P679" t="str">
        <f>PROPER(TRIM(Table1[[#This Row],[ShippingAddress]]))</f>
        <v>471 Main St</v>
      </c>
      <c r="Q679" t="str">
        <f>PROPER(TRIM((Table1[[#This Row],[PaymentMethod]])))</f>
        <v>Credit Card</v>
      </c>
      <c r="R679" t="str">
        <f>PROPER(TRIM(Table1[[#This Row],[ReferralSource]]))</f>
        <v>Referral</v>
      </c>
      <c r="S679" s="5">
        <f>Table1[[#This Row],[TotalPrice]]/Table1[[#This Row],[ItemsInCart]]</f>
        <v>2.8120000000000003</v>
      </c>
    </row>
    <row r="680" spans="1:19" x14ac:dyDescent="0.3">
      <c r="A680" t="s">
        <v>1131</v>
      </c>
      <c r="B680" s="1">
        <v>45432</v>
      </c>
      <c r="C680" t="s">
        <v>2322</v>
      </c>
      <c r="D680" t="s">
        <v>2406</v>
      </c>
      <c r="E680">
        <v>3</v>
      </c>
      <c r="F680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>
        <v>8</v>
      </c>
      <c r="L680" t="s">
        <v>4277</v>
      </c>
      <c r="M680" t="s">
        <v>4282</v>
      </c>
      <c r="N680" s="5">
        <v>1765.32</v>
      </c>
      <c r="O680" t="str">
        <f>IF(ABS(Table1[[#This Row],[TotalPrice]]-Table1[[#This Row],[Quantity]]*Table1[[#This Row],[UnitPrice]]) &lt;0.01, "ok",)</f>
        <v>ok</v>
      </c>
      <c r="P680" t="str">
        <f>PROPER(TRIM(Table1[[#This Row],[ShippingAddress]]))</f>
        <v>858 Main St</v>
      </c>
      <c r="Q680" t="str">
        <f>PROPER(TRIM((Table1[[#This Row],[PaymentMethod]])))</f>
        <v>Gift Card</v>
      </c>
      <c r="R680" t="str">
        <f>PROPER(TRIM(Table1[[#This Row],[ReferralSource]]))</f>
        <v>Google</v>
      </c>
      <c r="S680" s="5">
        <f>Table1[[#This Row],[TotalPrice]]/Table1[[#This Row],[ItemsInCart]]</f>
        <v>220.66499999999999</v>
      </c>
    </row>
    <row r="681" spans="1:19" x14ac:dyDescent="0.3">
      <c r="A681" t="s">
        <v>1041</v>
      </c>
      <c r="B681" s="1">
        <v>45433</v>
      </c>
      <c r="C681" t="s">
        <v>2233</v>
      </c>
      <c r="D681" t="s">
        <v>2408</v>
      </c>
      <c r="E681">
        <v>4</v>
      </c>
      <c r="F681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>
        <v>6</v>
      </c>
      <c r="L681" t="s">
        <v>4283</v>
      </c>
      <c r="M681" t="s">
        <v>4282</v>
      </c>
      <c r="N681" s="5">
        <v>2219.3200000000002</v>
      </c>
      <c r="O681" t="str">
        <f>IF(ABS(Table1[[#This Row],[TotalPrice]]-Table1[[#This Row],[Quantity]]*Table1[[#This Row],[UnitPrice]]) &lt;0.01, "ok",)</f>
        <v>ok</v>
      </c>
      <c r="P681" t="str">
        <f>PROPER(TRIM(Table1[[#This Row],[ShippingAddress]]))</f>
        <v>983 Main St</v>
      </c>
      <c r="Q681" t="str">
        <f>PROPER(TRIM((Table1[[#This Row],[PaymentMethod]])))</f>
        <v>Cash</v>
      </c>
      <c r="R681" t="str">
        <f>PROPER(TRIM(Table1[[#This Row],[ReferralSource]]))</f>
        <v>Google</v>
      </c>
      <c r="S681" s="5">
        <f>Table1[[#This Row],[TotalPrice]]/Table1[[#This Row],[ItemsInCart]]</f>
        <v>369.88666666666671</v>
      </c>
    </row>
    <row r="682" spans="1:19" x14ac:dyDescent="0.3">
      <c r="A682" t="s">
        <v>91</v>
      </c>
      <c r="B682" s="1">
        <v>45436</v>
      </c>
      <c r="C682" t="s">
        <v>1291</v>
      </c>
      <c r="D682" t="s">
        <v>2404</v>
      </c>
      <c r="E682">
        <v>1</v>
      </c>
      <c r="F682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>
        <v>5</v>
      </c>
      <c r="L682" t="s">
        <v>4283</v>
      </c>
      <c r="M682" t="s">
        <v>4282</v>
      </c>
      <c r="N682" s="5">
        <v>583.17999999999995</v>
      </c>
      <c r="O682" t="str">
        <f>IF(ABS(Table1[[#This Row],[TotalPrice]]-Table1[[#This Row],[Quantity]]*Table1[[#This Row],[UnitPrice]]) &lt;0.01, "ok",)</f>
        <v>ok</v>
      </c>
      <c r="P682" t="str">
        <f>PROPER(TRIM(Table1[[#This Row],[ShippingAddress]]))</f>
        <v>348 Main St</v>
      </c>
      <c r="Q682" t="str">
        <f>PROPER(TRIM((Table1[[#This Row],[PaymentMethod]])))</f>
        <v>Credit Card</v>
      </c>
      <c r="R682" t="str">
        <f>PROPER(TRIM(Table1[[#This Row],[ReferralSource]]))</f>
        <v>Google</v>
      </c>
      <c r="S682" s="5">
        <f>Table1[[#This Row],[TotalPrice]]/Table1[[#This Row],[ItemsInCart]]</f>
        <v>116.636</v>
      </c>
    </row>
    <row r="683" spans="1:19" x14ac:dyDescent="0.3">
      <c r="A683" t="s">
        <v>377</v>
      </c>
      <c r="B683" s="1">
        <v>45436</v>
      </c>
      <c r="C683" t="s">
        <v>1577</v>
      </c>
      <c r="D683" t="s">
        <v>2408</v>
      </c>
      <c r="E683">
        <v>5</v>
      </c>
      <c r="F683">
        <v>113.87</v>
      </c>
      <c r="G683" t="s">
        <v>2452</v>
      </c>
      <c r="H683" t="s">
        <v>3067</v>
      </c>
      <c r="I683" t="s">
        <v>3074</v>
      </c>
      <c r="J683" t="s">
        <v>3438</v>
      </c>
      <c r="K683">
        <v>6</v>
      </c>
      <c r="L683" t="s">
        <v>4275</v>
      </c>
      <c r="M683" t="s">
        <v>4280</v>
      </c>
      <c r="N683" s="5">
        <v>569.35</v>
      </c>
      <c r="O683" t="str">
        <f>IF(ABS(Table1[[#This Row],[TotalPrice]]-Table1[[#This Row],[Quantity]]*Table1[[#This Row],[UnitPrice]]) &lt;0.01, "ok",)</f>
        <v>ok</v>
      </c>
      <c r="P683" t="str">
        <f>PROPER(TRIM(Table1[[#This Row],[ShippingAddress]]))</f>
        <v>871 Main St</v>
      </c>
      <c r="Q683" t="str">
        <f>PROPER(TRIM((Table1[[#This Row],[PaymentMethod]])))</f>
        <v>Credit Card</v>
      </c>
      <c r="R683" t="str">
        <f>PROPER(TRIM(Table1[[#This Row],[ReferralSource]]))</f>
        <v>Email</v>
      </c>
      <c r="S683" s="5">
        <f>Table1[[#This Row],[TotalPrice]]/Table1[[#This Row],[ItemsInCart]]</f>
        <v>94.891666666666666</v>
      </c>
    </row>
    <row r="684" spans="1:19" x14ac:dyDescent="0.3">
      <c r="A684" t="s">
        <v>552</v>
      </c>
      <c r="B684" s="1">
        <v>45436</v>
      </c>
      <c r="C684" t="s">
        <v>1752</v>
      </c>
      <c r="D684" t="s">
        <v>2404</v>
      </c>
      <c r="E684">
        <v>3</v>
      </c>
      <c r="F684">
        <v>490.74</v>
      </c>
      <c r="G684" t="s">
        <v>2809</v>
      </c>
      <c r="H684" t="s">
        <v>3069</v>
      </c>
      <c r="I684" t="s">
        <v>3070</v>
      </c>
      <c r="J684" t="s">
        <v>3613</v>
      </c>
      <c r="K684">
        <v>3</v>
      </c>
      <c r="L684" t="s">
        <v>4277</v>
      </c>
      <c r="M684" t="s">
        <v>4280</v>
      </c>
      <c r="N684" s="5">
        <v>1472.22</v>
      </c>
      <c r="O684" t="str">
        <f>IF(ABS(Table1[[#This Row],[TotalPrice]]-Table1[[#This Row],[Quantity]]*Table1[[#This Row],[UnitPrice]]) &lt;0.01, "ok",)</f>
        <v>ok</v>
      </c>
      <c r="P684" t="str">
        <f>PROPER(TRIM(Table1[[#This Row],[ShippingAddress]]))</f>
        <v>100 Main St</v>
      </c>
      <c r="Q684" t="str">
        <f>PROPER(TRIM((Table1[[#This Row],[PaymentMethod]])))</f>
        <v>Cash</v>
      </c>
      <c r="R684" t="str">
        <f>PROPER(TRIM(Table1[[#This Row],[ReferralSource]]))</f>
        <v>Email</v>
      </c>
      <c r="S684" s="5">
        <f>Table1[[#This Row],[TotalPrice]]/Table1[[#This Row],[ItemsInCart]]</f>
        <v>490.74</v>
      </c>
    </row>
    <row r="685" spans="1:19" x14ac:dyDescent="0.3">
      <c r="A685" t="s">
        <v>1132</v>
      </c>
      <c r="B685" s="1">
        <v>45436</v>
      </c>
      <c r="C685" t="s">
        <v>2323</v>
      </c>
      <c r="D685" t="s">
        <v>2404</v>
      </c>
      <c r="E685">
        <v>3</v>
      </c>
      <c r="F685">
        <v>251.48</v>
      </c>
      <c r="G685" t="s">
        <v>2729</v>
      </c>
      <c r="H685" t="s">
        <v>3067</v>
      </c>
      <c r="I685" t="s">
        <v>3072</v>
      </c>
      <c r="J685" t="s">
        <v>4193</v>
      </c>
      <c r="K685">
        <v>4</v>
      </c>
      <c r="L685" t="s">
        <v>4283</v>
      </c>
      <c r="M685" t="s">
        <v>4280</v>
      </c>
      <c r="N685" s="5">
        <v>754.43999999999994</v>
      </c>
      <c r="O685" t="str">
        <f>IF(ABS(Table1[[#This Row],[TotalPrice]]-Table1[[#This Row],[Quantity]]*Table1[[#This Row],[UnitPrice]]) &lt;0.01, "ok",)</f>
        <v>ok</v>
      </c>
      <c r="P685" t="str">
        <f>PROPER(TRIM(Table1[[#This Row],[ShippingAddress]]))</f>
        <v>359 Main St</v>
      </c>
      <c r="Q685" t="str">
        <f>PROPER(TRIM((Table1[[#This Row],[PaymentMethod]])))</f>
        <v>Credit Card</v>
      </c>
      <c r="R685" t="str">
        <f>PROPER(TRIM(Table1[[#This Row],[ReferralSource]]))</f>
        <v>Email</v>
      </c>
      <c r="S685" s="5">
        <f>Table1[[#This Row],[TotalPrice]]/Table1[[#This Row],[ItemsInCart]]</f>
        <v>188.60999999999999</v>
      </c>
    </row>
    <row r="686" spans="1:19" x14ac:dyDescent="0.3">
      <c r="A686" t="s">
        <v>881</v>
      </c>
      <c r="B686" s="1">
        <v>45438</v>
      </c>
      <c r="C686" t="s">
        <v>2077</v>
      </c>
      <c r="D686" t="s">
        <v>2407</v>
      </c>
      <c r="E686">
        <v>4</v>
      </c>
      <c r="F686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>
        <v>4</v>
      </c>
      <c r="L686" t="s">
        <v>4276</v>
      </c>
      <c r="M686" t="s">
        <v>4281</v>
      </c>
      <c r="N686" s="5">
        <v>570.32000000000005</v>
      </c>
      <c r="O686" t="str">
        <f>IF(ABS(Table1[[#This Row],[TotalPrice]]-Table1[[#This Row],[Quantity]]*Table1[[#This Row],[UnitPrice]]) &lt;0.01, "ok",)</f>
        <v>ok</v>
      </c>
      <c r="P686" t="str">
        <f>PROPER(TRIM(Table1[[#This Row],[ShippingAddress]]))</f>
        <v>351 Main St</v>
      </c>
      <c r="Q686" t="str">
        <f>PROPER(TRIM((Table1[[#This Row],[PaymentMethod]])))</f>
        <v>Cash</v>
      </c>
      <c r="R686" t="str">
        <f>PROPER(TRIM(Table1[[#This Row],[ReferralSource]]))</f>
        <v>Facebook</v>
      </c>
      <c r="S686" s="5">
        <f>Table1[[#This Row],[TotalPrice]]/Table1[[#This Row],[ItemsInCart]]</f>
        <v>142.58000000000001</v>
      </c>
    </row>
    <row r="687" spans="1:19" x14ac:dyDescent="0.3">
      <c r="A687" t="s">
        <v>923</v>
      </c>
      <c r="B687" s="1">
        <v>45439</v>
      </c>
      <c r="C687" t="s">
        <v>2119</v>
      </c>
      <c r="D687" t="s">
        <v>2405</v>
      </c>
      <c r="E687">
        <v>2</v>
      </c>
      <c r="F68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>
        <v>5</v>
      </c>
      <c r="L687" t="s">
        <v>4276</v>
      </c>
      <c r="M687" t="s">
        <v>4278</v>
      </c>
      <c r="N687" s="5">
        <v>583.70000000000005</v>
      </c>
      <c r="O687" t="str">
        <f>IF(ABS(Table1[[#This Row],[TotalPrice]]-Table1[[#This Row],[Quantity]]*Table1[[#This Row],[UnitPrice]]) &lt;0.01, "ok",)</f>
        <v>ok</v>
      </c>
      <c r="P687" t="str">
        <f>PROPER(TRIM(Table1[[#This Row],[ShippingAddress]]))</f>
        <v>569 Main St</v>
      </c>
      <c r="Q687" t="str">
        <f>PROPER(TRIM((Table1[[#This Row],[PaymentMethod]])))</f>
        <v>Cash</v>
      </c>
      <c r="R687" t="str">
        <f>PROPER(TRIM(Table1[[#This Row],[ReferralSource]]))</f>
        <v>Instagram</v>
      </c>
      <c r="S687" s="5">
        <f>Table1[[#This Row],[TotalPrice]]/Table1[[#This Row],[ItemsInCart]]</f>
        <v>116.74000000000001</v>
      </c>
    </row>
    <row r="688" spans="1:19" x14ac:dyDescent="0.3">
      <c r="A688" t="s">
        <v>985</v>
      </c>
      <c r="B688" s="1">
        <v>45439</v>
      </c>
      <c r="C688" t="s">
        <v>2178</v>
      </c>
      <c r="D688" t="s">
        <v>2403</v>
      </c>
      <c r="E688">
        <v>2</v>
      </c>
      <c r="F688">
        <v>605.26</v>
      </c>
      <c r="G688" t="s">
        <v>2415</v>
      </c>
      <c r="H688" t="s">
        <v>3069</v>
      </c>
      <c r="I688" t="s">
        <v>3071</v>
      </c>
      <c r="J688" t="s">
        <v>4046</v>
      </c>
      <c r="K688">
        <v>4</v>
      </c>
      <c r="L688" t="s">
        <v>4277</v>
      </c>
      <c r="M688" t="s">
        <v>4279</v>
      </c>
      <c r="N688" s="5">
        <v>1210.52</v>
      </c>
      <c r="O688" t="str">
        <f>IF(ABS(Table1[[#This Row],[TotalPrice]]-Table1[[#This Row],[Quantity]]*Table1[[#This Row],[UnitPrice]]) &lt;0.01, "ok",)</f>
        <v>ok</v>
      </c>
      <c r="P688" t="str">
        <f>PROPER(TRIM(Table1[[#This Row],[ShippingAddress]]))</f>
        <v>934 Main St</v>
      </c>
      <c r="Q688" t="str">
        <f>PROPER(TRIM((Table1[[#This Row],[PaymentMethod]])))</f>
        <v>Cash</v>
      </c>
      <c r="R688" t="str">
        <f>PROPER(TRIM(Table1[[#This Row],[ReferralSource]]))</f>
        <v>Referral</v>
      </c>
      <c r="S688" s="5">
        <f>Table1[[#This Row],[TotalPrice]]/Table1[[#This Row],[ItemsInCart]]</f>
        <v>302.63</v>
      </c>
    </row>
    <row r="689" spans="1:19" x14ac:dyDescent="0.3">
      <c r="A689" t="s">
        <v>1020</v>
      </c>
      <c r="B689" s="1">
        <v>45439</v>
      </c>
      <c r="C689" t="s">
        <v>2213</v>
      </c>
      <c r="D689" t="s">
        <v>2405</v>
      </c>
      <c r="E689">
        <v>5</v>
      </c>
      <c r="F689">
        <v>420.98</v>
      </c>
      <c r="G689" t="s">
        <v>2868</v>
      </c>
      <c r="H689" t="s">
        <v>3069</v>
      </c>
      <c r="I689" t="s">
        <v>3073</v>
      </c>
      <c r="J689" t="s">
        <v>4081</v>
      </c>
      <c r="K689">
        <v>7</v>
      </c>
      <c r="L689" t="s">
        <v>4275</v>
      </c>
      <c r="M689" t="s">
        <v>4281</v>
      </c>
      <c r="N689" s="5">
        <v>2104.9</v>
      </c>
      <c r="O689" t="str">
        <f>IF(ABS(Table1[[#This Row],[TotalPrice]]-Table1[[#This Row],[Quantity]]*Table1[[#This Row],[UnitPrice]]) &lt;0.01, "ok",)</f>
        <v>ok</v>
      </c>
      <c r="P689" t="str">
        <f>PROPER(TRIM(Table1[[#This Row],[ShippingAddress]]))</f>
        <v>860 Main St</v>
      </c>
      <c r="Q689" t="str">
        <f>PROPER(TRIM((Table1[[#This Row],[PaymentMethod]])))</f>
        <v>Cash</v>
      </c>
      <c r="R689" t="str">
        <f>PROPER(TRIM(Table1[[#This Row],[ReferralSource]]))</f>
        <v>Facebook</v>
      </c>
      <c r="S689" s="5">
        <f>Table1[[#This Row],[TotalPrice]]/Table1[[#This Row],[ItemsInCart]]</f>
        <v>300.7</v>
      </c>
    </row>
    <row r="690" spans="1:19" x14ac:dyDescent="0.3">
      <c r="A690" t="s">
        <v>498</v>
      </c>
      <c r="B690" s="1">
        <v>45441</v>
      </c>
      <c r="C690" t="s">
        <v>1698</v>
      </c>
      <c r="D690" t="s">
        <v>2406</v>
      </c>
      <c r="E690">
        <v>4</v>
      </c>
      <c r="F690">
        <v>15.01</v>
      </c>
      <c r="G690" t="s">
        <v>2736</v>
      </c>
      <c r="H690" t="s">
        <v>3069</v>
      </c>
      <c r="I690" t="s">
        <v>3071</v>
      </c>
      <c r="J690" t="s">
        <v>3559</v>
      </c>
      <c r="K690">
        <v>6</v>
      </c>
      <c r="L690" t="s">
        <v>4283</v>
      </c>
      <c r="M690" t="s">
        <v>4281</v>
      </c>
      <c r="N690" s="5">
        <v>60.04</v>
      </c>
      <c r="O690" t="str">
        <f>IF(ABS(Table1[[#This Row],[TotalPrice]]-Table1[[#This Row],[Quantity]]*Table1[[#This Row],[UnitPrice]]) &lt;0.01, "ok",)</f>
        <v>ok</v>
      </c>
      <c r="P690" t="str">
        <f>PROPER(TRIM(Table1[[#This Row],[ShippingAddress]]))</f>
        <v>767 Main St</v>
      </c>
      <c r="Q690" t="str">
        <f>PROPER(TRIM((Table1[[#This Row],[PaymentMethod]])))</f>
        <v>Cash</v>
      </c>
      <c r="R690" t="str">
        <f>PROPER(TRIM(Table1[[#This Row],[ReferralSource]]))</f>
        <v>Facebook</v>
      </c>
      <c r="S690" s="5">
        <f>Table1[[#This Row],[TotalPrice]]/Table1[[#This Row],[ItemsInCart]]</f>
        <v>10.006666666666666</v>
      </c>
    </row>
    <row r="691" spans="1:19" x14ac:dyDescent="0.3">
      <c r="A691" t="s">
        <v>590</v>
      </c>
      <c r="B691" s="1">
        <v>45441</v>
      </c>
      <c r="C691" t="s">
        <v>1790</v>
      </c>
      <c r="D691" t="s">
        <v>2408</v>
      </c>
      <c r="E691">
        <v>5</v>
      </c>
      <c r="F691">
        <v>79.08</v>
      </c>
      <c r="G691" t="s">
        <v>2710</v>
      </c>
      <c r="H691" t="s">
        <v>3069</v>
      </c>
      <c r="I691" t="s">
        <v>3074</v>
      </c>
      <c r="J691" t="s">
        <v>3651</v>
      </c>
      <c r="K691">
        <v>8</v>
      </c>
      <c r="L691" t="s">
        <v>4283</v>
      </c>
      <c r="M691" t="s">
        <v>4281</v>
      </c>
      <c r="N691" s="5">
        <v>395.4</v>
      </c>
      <c r="O691" t="str">
        <f>IF(ABS(Table1[[#This Row],[TotalPrice]]-Table1[[#This Row],[Quantity]]*Table1[[#This Row],[UnitPrice]]) &lt;0.01, "ok",)</f>
        <v>ok</v>
      </c>
      <c r="P691" t="str">
        <f>PROPER(TRIM(Table1[[#This Row],[ShippingAddress]]))</f>
        <v>747 Main St</v>
      </c>
      <c r="Q691" t="str">
        <f>PROPER(TRIM((Table1[[#This Row],[PaymentMethod]])))</f>
        <v>Cash</v>
      </c>
      <c r="R691" t="str">
        <f>PROPER(TRIM(Table1[[#This Row],[ReferralSource]]))</f>
        <v>Facebook</v>
      </c>
      <c r="S691" s="5">
        <f>Table1[[#This Row],[TotalPrice]]/Table1[[#This Row],[ItemsInCart]]</f>
        <v>49.424999999999997</v>
      </c>
    </row>
    <row r="692" spans="1:19" x14ac:dyDescent="0.3">
      <c r="A692" t="s">
        <v>1171</v>
      </c>
      <c r="B692" s="1">
        <v>45441</v>
      </c>
      <c r="C692" t="s">
        <v>2360</v>
      </c>
      <c r="D692" t="s">
        <v>2403</v>
      </c>
      <c r="E692">
        <v>3</v>
      </c>
      <c r="F692">
        <v>301.55</v>
      </c>
      <c r="G692" t="s">
        <v>2605</v>
      </c>
      <c r="H692" t="s">
        <v>3065</v>
      </c>
      <c r="I692" t="s">
        <v>3073</v>
      </c>
      <c r="J692" t="s">
        <v>4232</v>
      </c>
      <c r="K692">
        <v>5</v>
      </c>
      <c r="L692" t="s">
        <v>4276</v>
      </c>
      <c r="M692" t="s">
        <v>4282</v>
      </c>
      <c r="N692" s="5">
        <v>904.65000000000009</v>
      </c>
      <c r="O692" t="str">
        <f>IF(ABS(Table1[[#This Row],[TotalPrice]]-Table1[[#This Row],[Quantity]]*Table1[[#This Row],[UnitPrice]]) &lt;0.01, "ok",)</f>
        <v>ok</v>
      </c>
      <c r="P692" t="str">
        <f>PROPER(TRIM(Table1[[#This Row],[ShippingAddress]]))</f>
        <v>242 Main St</v>
      </c>
      <c r="Q692" t="str">
        <f>PROPER(TRIM((Table1[[#This Row],[PaymentMethod]])))</f>
        <v>Debit Card</v>
      </c>
      <c r="R692" t="str">
        <f>PROPER(TRIM(Table1[[#This Row],[ReferralSource]]))</f>
        <v>Google</v>
      </c>
      <c r="S692" s="5">
        <f>Table1[[#This Row],[TotalPrice]]/Table1[[#This Row],[ItemsInCart]]</f>
        <v>180.93</v>
      </c>
    </row>
    <row r="693" spans="1:19" x14ac:dyDescent="0.3">
      <c r="A693" t="s">
        <v>924</v>
      </c>
      <c r="B693" s="1">
        <v>45443</v>
      </c>
      <c r="C693" t="s">
        <v>2120</v>
      </c>
      <c r="D693" t="s">
        <v>2407</v>
      </c>
      <c r="E693">
        <v>3</v>
      </c>
      <c r="F693">
        <v>308.98</v>
      </c>
      <c r="G693" t="s">
        <v>2481</v>
      </c>
      <c r="H693" t="s">
        <v>3069</v>
      </c>
      <c r="I693" t="s">
        <v>3073</v>
      </c>
      <c r="J693" t="s">
        <v>3985</v>
      </c>
      <c r="K693">
        <v>3</v>
      </c>
      <c r="L693" t="s">
        <v>4275</v>
      </c>
      <c r="M693" t="s">
        <v>4278</v>
      </c>
      <c r="N693" s="5">
        <v>926.94</v>
      </c>
      <c r="O693" t="str">
        <f>IF(ABS(Table1[[#This Row],[TotalPrice]]-Table1[[#This Row],[Quantity]]*Table1[[#This Row],[UnitPrice]]) &lt;0.01, "ok",)</f>
        <v>ok</v>
      </c>
      <c r="P693" t="str">
        <f>PROPER(TRIM(Table1[[#This Row],[ShippingAddress]]))</f>
        <v>348 Main St</v>
      </c>
      <c r="Q693" t="str">
        <f>PROPER(TRIM((Table1[[#This Row],[PaymentMethod]])))</f>
        <v>Cash</v>
      </c>
      <c r="R693" t="str">
        <f>PROPER(TRIM(Table1[[#This Row],[ReferralSource]]))</f>
        <v>Instagram</v>
      </c>
      <c r="S693" s="5">
        <f>Table1[[#This Row],[TotalPrice]]/Table1[[#This Row],[ItemsInCart]]</f>
        <v>308.98</v>
      </c>
    </row>
    <row r="694" spans="1:19" x14ac:dyDescent="0.3">
      <c r="A694" t="s">
        <v>964</v>
      </c>
      <c r="B694" s="1">
        <v>45443</v>
      </c>
      <c r="C694" t="s">
        <v>2158</v>
      </c>
      <c r="D694" t="s">
        <v>2408</v>
      </c>
      <c r="E694">
        <v>1</v>
      </c>
      <c r="F694">
        <v>596.24</v>
      </c>
      <c r="G694" t="s">
        <v>2428</v>
      </c>
      <c r="H694" t="s">
        <v>3067</v>
      </c>
      <c r="I694" t="s">
        <v>3072</v>
      </c>
      <c r="J694" t="s">
        <v>4025</v>
      </c>
      <c r="K694">
        <v>4</v>
      </c>
      <c r="L694" t="s">
        <v>4276</v>
      </c>
      <c r="M694" t="s">
        <v>4278</v>
      </c>
      <c r="N694" s="5">
        <v>596.24</v>
      </c>
      <c r="O694" t="str">
        <f>IF(ABS(Table1[[#This Row],[TotalPrice]]-Table1[[#This Row],[Quantity]]*Table1[[#This Row],[UnitPrice]]) &lt;0.01, "ok",)</f>
        <v>ok</v>
      </c>
      <c r="P694" t="str">
        <f>PROPER(TRIM(Table1[[#This Row],[ShippingAddress]]))</f>
        <v>891 Main St</v>
      </c>
      <c r="Q694" t="str">
        <f>PROPER(TRIM((Table1[[#This Row],[PaymentMethod]])))</f>
        <v>Credit Card</v>
      </c>
      <c r="R694" t="str">
        <f>PROPER(TRIM(Table1[[#This Row],[ReferralSource]]))</f>
        <v>Instagram</v>
      </c>
      <c r="S694" s="5">
        <f>Table1[[#This Row],[TotalPrice]]/Table1[[#This Row],[ItemsInCart]]</f>
        <v>149.06</v>
      </c>
    </row>
    <row r="695" spans="1:19" x14ac:dyDescent="0.3">
      <c r="A695" t="s">
        <v>1050</v>
      </c>
      <c r="B695" s="1">
        <v>45443</v>
      </c>
      <c r="C695" t="s">
        <v>2242</v>
      </c>
      <c r="D695" t="s">
        <v>2404</v>
      </c>
      <c r="E695">
        <v>3</v>
      </c>
      <c r="F695">
        <v>413.83</v>
      </c>
      <c r="G695" t="s">
        <v>2474</v>
      </c>
      <c r="H695" t="s">
        <v>3068</v>
      </c>
      <c r="I695" t="s">
        <v>3070</v>
      </c>
      <c r="J695" t="s">
        <v>4111</v>
      </c>
      <c r="K695">
        <v>8</v>
      </c>
      <c r="L695" t="s">
        <v>4275</v>
      </c>
      <c r="M695" t="s">
        <v>4281</v>
      </c>
      <c r="N695" s="5">
        <v>1241.49</v>
      </c>
      <c r="O695" t="str">
        <f>IF(ABS(Table1[[#This Row],[TotalPrice]]-Table1[[#This Row],[Quantity]]*Table1[[#This Row],[UnitPrice]]) &lt;0.01, "ok",)</f>
        <v>ok</v>
      </c>
      <c r="P695" t="str">
        <f>PROPER(TRIM(Table1[[#This Row],[ShippingAddress]]))</f>
        <v>552 Main St</v>
      </c>
      <c r="Q695" t="str">
        <f>PROPER(TRIM((Table1[[#This Row],[PaymentMethod]])))</f>
        <v>Gift Card</v>
      </c>
      <c r="R695" t="str">
        <f>PROPER(TRIM(Table1[[#This Row],[ReferralSource]]))</f>
        <v>Facebook</v>
      </c>
      <c r="S695" s="5">
        <f>Table1[[#This Row],[TotalPrice]]/Table1[[#This Row],[ItemsInCart]]</f>
        <v>155.18625</v>
      </c>
    </row>
    <row r="696" spans="1:19" x14ac:dyDescent="0.3">
      <c r="A696" t="s">
        <v>110</v>
      </c>
      <c r="B696" s="1">
        <v>45444</v>
      </c>
      <c r="C696" t="s">
        <v>1310</v>
      </c>
      <c r="D696" t="s">
        <v>2404</v>
      </c>
      <c r="E696">
        <v>2</v>
      </c>
      <c r="F696">
        <v>232.83</v>
      </c>
      <c r="G696" t="s">
        <v>2483</v>
      </c>
      <c r="H696" t="s">
        <v>3068</v>
      </c>
      <c r="I696" t="s">
        <v>3073</v>
      </c>
      <c r="J696" t="s">
        <v>3171</v>
      </c>
      <c r="K696">
        <v>7</v>
      </c>
      <c r="L696" t="s">
        <v>4283</v>
      </c>
      <c r="M696" t="s">
        <v>4278</v>
      </c>
      <c r="N696" s="5">
        <v>465.66</v>
      </c>
      <c r="O696" t="str">
        <f>IF(ABS(Table1[[#This Row],[TotalPrice]]-Table1[[#This Row],[Quantity]]*Table1[[#This Row],[UnitPrice]]) &lt;0.01, "ok",)</f>
        <v>ok</v>
      </c>
      <c r="P696" t="str">
        <f>PROPER(TRIM(Table1[[#This Row],[ShippingAddress]]))</f>
        <v>103 Main St</v>
      </c>
      <c r="Q696" t="str">
        <f>PROPER(TRIM((Table1[[#This Row],[PaymentMethod]])))</f>
        <v>Gift Card</v>
      </c>
      <c r="R696" t="str">
        <f>PROPER(TRIM(Table1[[#This Row],[ReferralSource]]))</f>
        <v>Instagram</v>
      </c>
      <c r="S696" s="5">
        <f>Table1[[#This Row],[TotalPrice]]/Table1[[#This Row],[ItemsInCart]]</f>
        <v>66.522857142857148</v>
      </c>
    </row>
    <row r="697" spans="1:19" x14ac:dyDescent="0.3">
      <c r="A697" t="s">
        <v>344</v>
      </c>
      <c r="B697" s="1">
        <v>45445</v>
      </c>
      <c r="C697" t="s">
        <v>1544</v>
      </c>
      <c r="D697" t="s">
        <v>2409</v>
      </c>
      <c r="E697">
        <v>5</v>
      </c>
      <c r="F69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>
        <v>5</v>
      </c>
      <c r="L697" t="s">
        <v>4275</v>
      </c>
      <c r="M697" t="s">
        <v>4278</v>
      </c>
      <c r="N697" s="5">
        <v>1302.6500000000001</v>
      </c>
      <c r="O697" t="str">
        <f>IF(ABS(Table1[[#This Row],[TotalPrice]]-Table1[[#This Row],[Quantity]]*Table1[[#This Row],[UnitPrice]]) &lt;0.01, "ok",)</f>
        <v>ok</v>
      </c>
      <c r="P697" t="str">
        <f>PROPER(TRIM(Table1[[#This Row],[ShippingAddress]]))</f>
        <v>532 Main St</v>
      </c>
      <c r="Q697" t="str">
        <f>PROPER(TRIM((Table1[[#This Row],[PaymentMethod]])))</f>
        <v>Gift Card</v>
      </c>
      <c r="R697" t="str">
        <f>PROPER(TRIM(Table1[[#This Row],[ReferralSource]]))</f>
        <v>Instagram</v>
      </c>
      <c r="S697" s="5">
        <f>Table1[[#This Row],[TotalPrice]]/Table1[[#This Row],[ItemsInCart]]</f>
        <v>260.53000000000003</v>
      </c>
    </row>
    <row r="698" spans="1:19" x14ac:dyDescent="0.3">
      <c r="A698" t="s">
        <v>870</v>
      </c>
      <c r="B698" s="1">
        <v>45446</v>
      </c>
      <c r="C698" t="s">
        <v>2066</v>
      </c>
      <c r="D698" t="s">
        <v>2404</v>
      </c>
      <c r="E698">
        <v>1</v>
      </c>
      <c r="F698">
        <v>586.62</v>
      </c>
      <c r="G698" t="s">
        <v>2452</v>
      </c>
      <c r="H698" t="s">
        <v>3065</v>
      </c>
      <c r="I698" t="s">
        <v>3070</v>
      </c>
      <c r="J698" t="s">
        <v>3931</v>
      </c>
      <c r="K698">
        <v>5</v>
      </c>
      <c r="L698" t="s">
        <v>4283</v>
      </c>
      <c r="M698" t="s">
        <v>4281</v>
      </c>
      <c r="N698" s="5">
        <v>586.62</v>
      </c>
      <c r="O698" t="str">
        <f>IF(ABS(Table1[[#This Row],[TotalPrice]]-Table1[[#This Row],[Quantity]]*Table1[[#This Row],[UnitPrice]]) &lt;0.01, "ok",)</f>
        <v>ok</v>
      </c>
      <c r="P698" t="str">
        <f>PROPER(TRIM(Table1[[#This Row],[ShippingAddress]]))</f>
        <v>871 Main St</v>
      </c>
      <c r="Q698" t="str">
        <f>PROPER(TRIM((Table1[[#This Row],[PaymentMethod]])))</f>
        <v>Debit Card</v>
      </c>
      <c r="R698" t="str">
        <f>PROPER(TRIM(Table1[[#This Row],[ReferralSource]]))</f>
        <v>Facebook</v>
      </c>
      <c r="S698" s="5">
        <f>Table1[[#This Row],[TotalPrice]]/Table1[[#This Row],[ItemsInCart]]</f>
        <v>117.324</v>
      </c>
    </row>
    <row r="699" spans="1:19" x14ac:dyDescent="0.3">
      <c r="A699" t="s">
        <v>1116</v>
      </c>
      <c r="B699" s="1">
        <v>45446</v>
      </c>
      <c r="C699" t="s">
        <v>1228</v>
      </c>
      <c r="D699" t="s">
        <v>2406</v>
      </c>
      <c r="E699">
        <v>4</v>
      </c>
      <c r="F699">
        <v>347.17</v>
      </c>
      <c r="G699" t="s">
        <v>2904</v>
      </c>
      <c r="H699" t="s">
        <v>3065</v>
      </c>
      <c r="I699" t="s">
        <v>3070</v>
      </c>
      <c r="J699" t="s">
        <v>4177</v>
      </c>
      <c r="K699">
        <v>8</v>
      </c>
      <c r="L699" t="s">
        <v>4283</v>
      </c>
      <c r="M699" t="s">
        <v>4278</v>
      </c>
      <c r="N699" s="5">
        <v>1388.68</v>
      </c>
      <c r="O699" t="str">
        <f>IF(ABS(Table1[[#This Row],[TotalPrice]]-Table1[[#This Row],[Quantity]]*Table1[[#This Row],[UnitPrice]]) &lt;0.01, "ok",)</f>
        <v>ok</v>
      </c>
      <c r="P699" t="str">
        <f>PROPER(TRIM(Table1[[#This Row],[ShippingAddress]]))</f>
        <v>997 Main St</v>
      </c>
      <c r="Q699" t="str">
        <f>PROPER(TRIM((Table1[[#This Row],[PaymentMethod]])))</f>
        <v>Debit Card</v>
      </c>
      <c r="R699" t="str">
        <f>PROPER(TRIM(Table1[[#This Row],[ReferralSource]]))</f>
        <v>Instagram</v>
      </c>
      <c r="S699" s="5">
        <f>Table1[[#This Row],[TotalPrice]]/Table1[[#This Row],[ItemsInCart]]</f>
        <v>173.58500000000001</v>
      </c>
    </row>
    <row r="700" spans="1:19" x14ac:dyDescent="0.3">
      <c r="A700" t="s">
        <v>906</v>
      </c>
      <c r="B700" s="1">
        <v>45447</v>
      </c>
      <c r="C700" t="s">
        <v>2102</v>
      </c>
      <c r="D700" t="s">
        <v>2409</v>
      </c>
      <c r="E700">
        <v>1</v>
      </c>
      <c r="F700">
        <v>394.53</v>
      </c>
      <c r="G700" t="s">
        <v>2975</v>
      </c>
      <c r="H700" t="s">
        <v>3069</v>
      </c>
      <c r="I700" t="s">
        <v>3070</v>
      </c>
      <c r="J700" t="s">
        <v>3967</v>
      </c>
      <c r="K700">
        <v>2</v>
      </c>
      <c r="L700" t="s">
        <v>4276</v>
      </c>
      <c r="M700" t="s">
        <v>4279</v>
      </c>
      <c r="N700" s="5">
        <v>394.53</v>
      </c>
      <c r="O700" t="str">
        <f>IF(ABS(Table1[[#This Row],[TotalPrice]]-Table1[[#This Row],[Quantity]]*Table1[[#This Row],[UnitPrice]]) &lt;0.01, "ok",)</f>
        <v>ok</v>
      </c>
      <c r="P700" t="str">
        <f>PROPER(TRIM(Table1[[#This Row],[ShippingAddress]]))</f>
        <v>480 Main St</v>
      </c>
      <c r="Q700" t="str">
        <f>PROPER(TRIM((Table1[[#This Row],[PaymentMethod]])))</f>
        <v>Cash</v>
      </c>
      <c r="R700" t="str">
        <f>PROPER(TRIM(Table1[[#This Row],[ReferralSource]]))</f>
        <v>Referral</v>
      </c>
      <c r="S700" s="5">
        <f>Table1[[#This Row],[TotalPrice]]/Table1[[#This Row],[ItemsInCart]]</f>
        <v>197.26499999999999</v>
      </c>
    </row>
    <row r="701" spans="1:19" x14ac:dyDescent="0.3">
      <c r="A701" t="s">
        <v>666</v>
      </c>
      <c r="B701" s="1">
        <v>45448</v>
      </c>
      <c r="C701" t="s">
        <v>1865</v>
      </c>
      <c r="D701" t="s">
        <v>2406</v>
      </c>
      <c r="E701">
        <v>5</v>
      </c>
      <c r="F701">
        <v>341.84</v>
      </c>
      <c r="G701" t="s">
        <v>2860</v>
      </c>
      <c r="H701" t="s">
        <v>3066</v>
      </c>
      <c r="I701" t="s">
        <v>3070</v>
      </c>
      <c r="J701" t="s">
        <v>3727</v>
      </c>
      <c r="K701">
        <v>8</v>
      </c>
      <c r="L701" t="s">
        <v>4276</v>
      </c>
      <c r="M701" t="s">
        <v>4278</v>
      </c>
      <c r="N701" s="5">
        <v>1709.2</v>
      </c>
      <c r="O701" t="str">
        <f>IF(ABS(Table1[[#This Row],[TotalPrice]]-Table1[[#This Row],[Quantity]]*Table1[[#This Row],[UnitPrice]]) &lt;0.01, "ok",)</f>
        <v>ok</v>
      </c>
      <c r="P701" t="str">
        <f>PROPER(TRIM(Table1[[#This Row],[ShippingAddress]]))</f>
        <v>328 Main St</v>
      </c>
      <c r="Q701" t="str">
        <f>PROPER(TRIM((Table1[[#This Row],[PaymentMethod]])))</f>
        <v>Online</v>
      </c>
      <c r="R701" t="str">
        <f>PROPER(TRIM(Table1[[#This Row],[ReferralSource]]))</f>
        <v>Instagram</v>
      </c>
      <c r="S701" s="5">
        <f>Table1[[#This Row],[TotalPrice]]/Table1[[#This Row],[ItemsInCart]]</f>
        <v>213.65</v>
      </c>
    </row>
    <row r="702" spans="1:19" x14ac:dyDescent="0.3">
      <c r="A702" t="s">
        <v>374</v>
      </c>
      <c r="B702" s="1">
        <v>45449</v>
      </c>
      <c r="C702" t="s">
        <v>1574</v>
      </c>
      <c r="D702" t="s">
        <v>2404</v>
      </c>
      <c r="E702">
        <v>4</v>
      </c>
      <c r="F702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>
        <v>8</v>
      </c>
      <c r="L702" t="s">
        <v>4283</v>
      </c>
      <c r="M702" t="s">
        <v>4278</v>
      </c>
      <c r="N702" s="5">
        <v>2358.2800000000002</v>
      </c>
      <c r="O702" t="str">
        <f>IF(ABS(Table1[[#This Row],[TotalPrice]]-Table1[[#This Row],[Quantity]]*Table1[[#This Row],[UnitPrice]]) &lt;0.01, "ok",)</f>
        <v>ok</v>
      </c>
      <c r="P702" t="str">
        <f>PROPER(TRIM(Table1[[#This Row],[ShippingAddress]]))</f>
        <v>779 Main St</v>
      </c>
      <c r="Q702" t="str">
        <f>PROPER(TRIM((Table1[[#This Row],[PaymentMethod]])))</f>
        <v>Cash</v>
      </c>
      <c r="R702" t="str">
        <f>PROPER(TRIM(Table1[[#This Row],[ReferralSource]]))</f>
        <v>Instagram</v>
      </c>
      <c r="S702" s="5">
        <f>Table1[[#This Row],[TotalPrice]]/Table1[[#This Row],[ItemsInCart]]</f>
        <v>294.78500000000003</v>
      </c>
    </row>
    <row r="703" spans="1:19" x14ac:dyDescent="0.3">
      <c r="A703" t="s">
        <v>548</v>
      </c>
      <c r="B703" s="1">
        <v>45449</v>
      </c>
      <c r="C703" t="s">
        <v>1748</v>
      </c>
      <c r="D703" t="s">
        <v>2406</v>
      </c>
      <c r="E703">
        <v>3</v>
      </c>
      <c r="F703">
        <v>648.59</v>
      </c>
      <c r="G703" t="s">
        <v>2807</v>
      </c>
      <c r="H703" t="s">
        <v>3065</v>
      </c>
      <c r="I703" t="s">
        <v>3071</v>
      </c>
      <c r="J703" t="s">
        <v>3609</v>
      </c>
      <c r="K703">
        <v>4</v>
      </c>
      <c r="L703" t="s">
        <v>4275</v>
      </c>
      <c r="M703" t="s">
        <v>4280</v>
      </c>
      <c r="N703" s="5">
        <v>1945.77</v>
      </c>
      <c r="O703" t="str">
        <f>IF(ABS(Table1[[#This Row],[TotalPrice]]-Table1[[#This Row],[Quantity]]*Table1[[#This Row],[UnitPrice]]) &lt;0.01, "ok",)</f>
        <v>ok</v>
      </c>
      <c r="P703" t="str">
        <f>PROPER(TRIM(Table1[[#This Row],[ShippingAddress]]))</f>
        <v>906 Main St</v>
      </c>
      <c r="Q703" t="str">
        <f>PROPER(TRIM((Table1[[#This Row],[PaymentMethod]])))</f>
        <v>Debit Card</v>
      </c>
      <c r="R703" t="str">
        <f>PROPER(TRIM(Table1[[#This Row],[ReferralSource]]))</f>
        <v>Email</v>
      </c>
      <c r="S703" s="5">
        <f>Table1[[#This Row],[TotalPrice]]/Table1[[#This Row],[ItemsInCart]]</f>
        <v>486.4425</v>
      </c>
    </row>
    <row r="704" spans="1:19" x14ac:dyDescent="0.3">
      <c r="A704" t="s">
        <v>320</v>
      </c>
      <c r="B704" s="1">
        <v>45450</v>
      </c>
      <c r="C704" t="s">
        <v>1520</v>
      </c>
      <c r="D704" t="s">
        <v>2407</v>
      </c>
      <c r="E704">
        <v>2</v>
      </c>
      <c r="F704">
        <v>57.07</v>
      </c>
      <c r="G704" t="s">
        <v>2669</v>
      </c>
      <c r="H704" t="s">
        <v>3065</v>
      </c>
      <c r="I704" t="s">
        <v>3072</v>
      </c>
      <c r="J704" t="s">
        <v>3381</v>
      </c>
      <c r="K704">
        <v>3</v>
      </c>
      <c r="L704" t="s">
        <v>4275</v>
      </c>
      <c r="M704" t="s">
        <v>4278</v>
      </c>
      <c r="N704" s="5">
        <v>114.14</v>
      </c>
      <c r="O704" t="str">
        <f>IF(ABS(Table1[[#This Row],[TotalPrice]]-Table1[[#This Row],[Quantity]]*Table1[[#This Row],[UnitPrice]]) &lt;0.01, "ok",)</f>
        <v>ok</v>
      </c>
      <c r="P704" t="str">
        <f>PROPER(TRIM(Table1[[#This Row],[ShippingAddress]]))</f>
        <v>238 Main St</v>
      </c>
      <c r="Q704" t="str">
        <f>PROPER(TRIM((Table1[[#This Row],[PaymentMethod]])))</f>
        <v>Debit Card</v>
      </c>
      <c r="R704" t="str">
        <f>PROPER(TRIM(Table1[[#This Row],[ReferralSource]]))</f>
        <v>Instagram</v>
      </c>
      <c r="S704" s="5">
        <f>Table1[[#This Row],[TotalPrice]]/Table1[[#This Row],[ItemsInCart]]</f>
        <v>38.046666666666667</v>
      </c>
    </row>
    <row r="705" spans="1:19" x14ac:dyDescent="0.3">
      <c r="A705" t="s">
        <v>745</v>
      </c>
      <c r="B705" s="1">
        <v>45450</v>
      </c>
      <c r="C705" t="s">
        <v>1942</v>
      </c>
      <c r="D705" t="s">
        <v>2407</v>
      </c>
      <c r="E705">
        <v>5</v>
      </c>
      <c r="F705">
        <v>584.46</v>
      </c>
      <c r="G705" t="s">
        <v>2896</v>
      </c>
      <c r="H705" t="s">
        <v>3067</v>
      </c>
      <c r="I705" t="s">
        <v>3072</v>
      </c>
      <c r="J705" t="s">
        <v>3806</v>
      </c>
      <c r="K705">
        <v>8</v>
      </c>
      <c r="L705" t="s">
        <v>4283</v>
      </c>
      <c r="M705" t="s">
        <v>4280</v>
      </c>
      <c r="N705" s="5">
        <v>2922.3</v>
      </c>
      <c r="O705" t="str">
        <f>IF(ABS(Table1[[#This Row],[TotalPrice]]-Table1[[#This Row],[Quantity]]*Table1[[#This Row],[UnitPrice]]) &lt;0.01, "ok",)</f>
        <v>ok</v>
      </c>
      <c r="P705" t="str">
        <f>PROPER(TRIM(Table1[[#This Row],[ShippingAddress]]))</f>
        <v>308 Main St</v>
      </c>
      <c r="Q705" t="str">
        <f>PROPER(TRIM((Table1[[#This Row],[PaymentMethod]])))</f>
        <v>Credit Card</v>
      </c>
      <c r="R705" t="str">
        <f>PROPER(TRIM(Table1[[#This Row],[ReferralSource]]))</f>
        <v>Email</v>
      </c>
      <c r="S705" s="5">
        <f>Table1[[#This Row],[TotalPrice]]/Table1[[#This Row],[ItemsInCart]]</f>
        <v>365.28750000000002</v>
      </c>
    </row>
    <row r="706" spans="1:19" x14ac:dyDescent="0.3">
      <c r="A706" t="s">
        <v>208</v>
      </c>
      <c r="B706" s="1">
        <v>45451</v>
      </c>
      <c r="C706" t="s">
        <v>1408</v>
      </c>
      <c r="D706" t="s">
        <v>2403</v>
      </c>
      <c r="E706">
        <v>1</v>
      </c>
      <c r="F706">
        <v>249.57</v>
      </c>
      <c r="G706" t="s">
        <v>2585</v>
      </c>
      <c r="H706" t="s">
        <v>3069</v>
      </c>
      <c r="I706" t="s">
        <v>3070</v>
      </c>
      <c r="J706" t="s">
        <v>3269</v>
      </c>
      <c r="K706">
        <v>3</v>
      </c>
      <c r="L706" t="s">
        <v>4276</v>
      </c>
      <c r="M706" t="s">
        <v>4282</v>
      </c>
      <c r="N706" s="5">
        <v>249.57</v>
      </c>
      <c r="O706" t="str">
        <f>IF(ABS(Table1[[#This Row],[TotalPrice]]-Table1[[#This Row],[Quantity]]*Table1[[#This Row],[UnitPrice]]) &lt;0.01, "ok",)</f>
        <v>ok</v>
      </c>
      <c r="P706" t="str">
        <f>PROPER(TRIM(Table1[[#This Row],[ShippingAddress]]))</f>
        <v>899 Main St</v>
      </c>
      <c r="Q706" t="str">
        <f>PROPER(TRIM((Table1[[#This Row],[PaymentMethod]])))</f>
        <v>Cash</v>
      </c>
      <c r="R706" t="str">
        <f>PROPER(TRIM(Table1[[#This Row],[ReferralSource]]))</f>
        <v>Google</v>
      </c>
      <c r="S706" s="5">
        <f>Table1[[#This Row],[TotalPrice]]/Table1[[#This Row],[ItemsInCart]]</f>
        <v>83.19</v>
      </c>
    </row>
    <row r="707" spans="1:19" x14ac:dyDescent="0.3">
      <c r="A707" t="s">
        <v>280</v>
      </c>
      <c r="B707" s="1">
        <v>45451</v>
      </c>
      <c r="C707" t="s">
        <v>1480</v>
      </c>
      <c r="D707" t="s">
        <v>2406</v>
      </c>
      <c r="E707">
        <v>4</v>
      </c>
      <c r="F70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>
        <v>6</v>
      </c>
      <c r="L707" t="s">
        <v>4276</v>
      </c>
      <c r="M707" t="s">
        <v>4279</v>
      </c>
      <c r="N707" s="5">
        <v>2332.2800000000002</v>
      </c>
      <c r="O707" t="str">
        <f>IF(ABS(Table1[[#This Row],[TotalPrice]]-Table1[[#This Row],[Quantity]]*Table1[[#This Row],[UnitPrice]]) &lt;0.01, "ok",)</f>
        <v>ok</v>
      </c>
      <c r="P707" t="str">
        <f>PROPER(TRIM(Table1[[#This Row],[ShippingAddress]]))</f>
        <v>589 Main St</v>
      </c>
      <c r="Q707" t="str">
        <f>PROPER(TRIM((Table1[[#This Row],[PaymentMethod]])))</f>
        <v>Credit Card</v>
      </c>
      <c r="R707" t="str">
        <f>PROPER(TRIM(Table1[[#This Row],[ReferralSource]]))</f>
        <v>Referral</v>
      </c>
      <c r="S707" s="5">
        <f>Table1[[#This Row],[TotalPrice]]/Table1[[#This Row],[ItemsInCart]]</f>
        <v>388.71333333333337</v>
      </c>
    </row>
    <row r="708" spans="1:19" x14ac:dyDescent="0.3">
      <c r="A708" t="s">
        <v>458</v>
      </c>
      <c r="B708" s="1">
        <v>45451</v>
      </c>
      <c r="C708" t="s">
        <v>1658</v>
      </c>
      <c r="D708" t="s">
        <v>2407</v>
      </c>
      <c r="E708">
        <v>1</v>
      </c>
      <c r="F708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>
        <v>6</v>
      </c>
      <c r="L708" t="s">
        <v>4276</v>
      </c>
      <c r="M708" t="s">
        <v>4278</v>
      </c>
      <c r="N708" s="5">
        <v>135.16999999999999</v>
      </c>
      <c r="O708" t="str">
        <f>IF(ABS(Table1[[#This Row],[TotalPrice]]-Table1[[#This Row],[Quantity]]*Table1[[#This Row],[UnitPrice]]) &lt;0.01, "ok",)</f>
        <v>ok</v>
      </c>
      <c r="P708" t="str">
        <f>PROPER(TRIM(Table1[[#This Row],[ShippingAddress]]))</f>
        <v>585 Main St</v>
      </c>
      <c r="Q708" t="str">
        <f>PROPER(TRIM((Table1[[#This Row],[PaymentMethod]])))</f>
        <v>Online</v>
      </c>
      <c r="R708" t="str">
        <f>PROPER(TRIM(Table1[[#This Row],[ReferralSource]]))</f>
        <v>Instagram</v>
      </c>
      <c r="S708" s="5">
        <f>Table1[[#This Row],[TotalPrice]]/Table1[[#This Row],[ItemsInCart]]</f>
        <v>22.528333333333332</v>
      </c>
    </row>
    <row r="709" spans="1:19" x14ac:dyDescent="0.3">
      <c r="A709" t="s">
        <v>475</v>
      </c>
      <c r="B709" s="1">
        <v>45451</v>
      </c>
      <c r="C709" t="s">
        <v>1675</v>
      </c>
      <c r="D709" t="s">
        <v>2405</v>
      </c>
      <c r="E709">
        <v>1</v>
      </c>
      <c r="F709">
        <v>401.82</v>
      </c>
      <c r="G709" t="s">
        <v>2618</v>
      </c>
      <c r="H709" t="s">
        <v>3067</v>
      </c>
      <c r="I709" t="s">
        <v>3070</v>
      </c>
      <c r="J709" t="s">
        <v>3536</v>
      </c>
      <c r="K709">
        <v>5</v>
      </c>
      <c r="L709" t="s">
        <v>4276</v>
      </c>
      <c r="M709" t="s">
        <v>4282</v>
      </c>
      <c r="N709" s="5">
        <v>401.82</v>
      </c>
      <c r="O709" t="str">
        <f>IF(ABS(Table1[[#This Row],[TotalPrice]]-Table1[[#This Row],[Quantity]]*Table1[[#This Row],[UnitPrice]]) &lt;0.01, "ok",)</f>
        <v>ok</v>
      </c>
      <c r="P709" t="str">
        <f>PROPER(TRIM(Table1[[#This Row],[ShippingAddress]]))</f>
        <v>407 Main St</v>
      </c>
      <c r="Q709" t="str">
        <f>PROPER(TRIM((Table1[[#This Row],[PaymentMethod]])))</f>
        <v>Credit Card</v>
      </c>
      <c r="R709" t="str">
        <f>PROPER(TRIM(Table1[[#This Row],[ReferralSource]]))</f>
        <v>Google</v>
      </c>
      <c r="S709" s="5">
        <f>Table1[[#This Row],[TotalPrice]]/Table1[[#This Row],[ItemsInCart]]</f>
        <v>80.364000000000004</v>
      </c>
    </row>
    <row r="710" spans="1:19" x14ac:dyDescent="0.3">
      <c r="A710" t="s">
        <v>1148</v>
      </c>
      <c r="B710" s="1">
        <v>45451</v>
      </c>
      <c r="C710" t="s">
        <v>2338</v>
      </c>
      <c r="D710" t="s">
        <v>2409</v>
      </c>
      <c r="E710">
        <v>4</v>
      </c>
      <c r="F710">
        <v>38.28</v>
      </c>
      <c r="G710" t="s">
        <v>3039</v>
      </c>
      <c r="H710" t="s">
        <v>3065</v>
      </c>
      <c r="I710" t="s">
        <v>3071</v>
      </c>
      <c r="J710" t="s">
        <v>4209</v>
      </c>
      <c r="K710">
        <v>4</v>
      </c>
      <c r="L710" t="s">
        <v>4277</v>
      </c>
      <c r="M710" t="s">
        <v>4281</v>
      </c>
      <c r="N710" s="5">
        <v>153.12</v>
      </c>
      <c r="O710" t="str">
        <f>IF(ABS(Table1[[#This Row],[TotalPrice]]-Table1[[#This Row],[Quantity]]*Table1[[#This Row],[UnitPrice]]) &lt;0.01, "ok",)</f>
        <v>ok</v>
      </c>
      <c r="P710" t="str">
        <f>PROPER(TRIM(Table1[[#This Row],[ShippingAddress]]))</f>
        <v>950 Main St</v>
      </c>
      <c r="Q710" t="str">
        <f>PROPER(TRIM((Table1[[#This Row],[PaymentMethod]])))</f>
        <v>Debit Card</v>
      </c>
      <c r="R710" t="str">
        <f>PROPER(TRIM(Table1[[#This Row],[ReferralSource]]))</f>
        <v>Facebook</v>
      </c>
      <c r="S710" s="5">
        <f>Table1[[#This Row],[TotalPrice]]/Table1[[#This Row],[ItemsInCart]]</f>
        <v>38.28</v>
      </c>
    </row>
    <row r="711" spans="1:19" x14ac:dyDescent="0.3">
      <c r="A711" t="s">
        <v>550</v>
      </c>
      <c r="B711" s="1">
        <v>45452</v>
      </c>
      <c r="C711" t="s">
        <v>1750</v>
      </c>
      <c r="D711" t="s">
        <v>2406</v>
      </c>
      <c r="E711">
        <v>1</v>
      </c>
      <c r="F711">
        <v>616.1</v>
      </c>
      <c r="G711" t="s">
        <v>2808</v>
      </c>
      <c r="H711" t="s">
        <v>3069</v>
      </c>
      <c r="I711" t="s">
        <v>3072</v>
      </c>
      <c r="J711" t="s">
        <v>3611</v>
      </c>
      <c r="K711">
        <v>6</v>
      </c>
      <c r="L711" t="s">
        <v>4283</v>
      </c>
      <c r="M711" t="s">
        <v>4280</v>
      </c>
      <c r="N711" s="5">
        <v>616.1</v>
      </c>
      <c r="O711" t="str">
        <f>IF(ABS(Table1[[#This Row],[TotalPrice]]-Table1[[#This Row],[Quantity]]*Table1[[#This Row],[UnitPrice]]) &lt;0.01, "ok",)</f>
        <v>ok</v>
      </c>
      <c r="P711" t="str">
        <f>PROPER(TRIM(Table1[[#This Row],[ShippingAddress]]))</f>
        <v>124 Main St</v>
      </c>
      <c r="Q711" t="str">
        <f>PROPER(TRIM((Table1[[#This Row],[PaymentMethod]])))</f>
        <v>Cash</v>
      </c>
      <c r="R711" t="str">
        <f>PROPER(TRIM(Table1[[#This Row],[ReferralSource]]))</f>
        <v>Email</v>
      </c>
      <c r="S711" s="5">
        <f>Table1[[#This Row],[TotalPrice]]/Table1[[#This Row],[ItemsInCart]]</f>
        <v>102.68333333333334</v>
      </c>
    </row>
    <row r="712" spans="1:19" x14ac:dyDescent="0.3">
      <c r="A712" t="s">
        <v>716</v>
      </c>
      <c r="B712" s="1">
        <v>45452</v>
      </c>
      <c r="C712" t="s">
        <v>1914</v>
      </c>
      <c r="D712" t="s">
        <v>2407</v>
      </c>
      <c r="E712">
        <v>3</v>
      </c>
      <c r="F712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>
        <v>6</v>
      </c>
      <c r="L712" t="s">
        <v>4283</v>
      </c>
      <c r="M712" t="s">
        <v>4280</v>
      </c>
      <c r="N712" s="5">
        <v>1687.65</v>
      </c>
      <c r="O712" t="str">
        <f>IF(ABS(Table1[[#This Row],[TotalPrice]]-Table1[[#This Row],[Quantity]]*Table1[[#This Row],[UnitPrice]]) &lt;0.01, "ok",)</f>
        <v>ok</v>
      </c>
      <c r="P712" t="str">
        <f>PROPER(TRIM(Table1[[#This Row],[ShippingAddress]]))</f>
        <v>154 Main St</v>
      </c>
      <c r="Q712" t="str">
        <f>PROPER(TRIM((Table1[[#This Row],[PaymentMethod]])))</f>
        <v>Debit Card</v>
      </c>
      <c r="R712" t="str">
        <f>PROPER(TRIM(Table1[[#This Row],[ReferralSource]]))</f>
        <v>Email</v>
      </c>
      <c r="S712" s="5">
        <f>Table1[[#This Row],[TotalPrice]]/Table1[[#This Row],[ItemsInCart]]</f>
        <v>281.27500000000003</v>
      </c>
    </row>
    <row r="713" spans="1:19" x14ac:dyDescent="0.3">
      <c r="A713" t="s">
        <v>890</v>
      </c>
      <c r="B713" s="1">
        <v>45452</v>
      </c>
      <c r="C713" t="s">
        <v>2086</v>
      </c>
      <c r="D713" t="s">
        <v>2406</v>
      </c>
      <c r="E713">
        <v>5</v>
      </c>
      <c r="F713">
        <v>608.91</v>
      </c>
      <c r="G713" t="s">
        <v>2900</v>
      </c>
      <c r="H713" t="s">
        <v>3068</v>
      </c>
      <c r="I713" t="s">
        <v>3074</v>
      </c>
      <c r="J713" t="s">
        <v>3951</v>
      </c>
      <c r="K713">
        <v>6</v>
      </c>
      <c r="L713" t="s">
        <v>4275</v>
      </c>
      <c r="M713" t="s">
        <v>4282</v>
      </c>
      <c r="N713" s="5">
        <v>3044.55</v>
      </c>
      <c r="O713" t="str">
        <f>IF(ABS(Table1[[#This Row],[TotalPrice]]-Table1[[#This Row],[Quantity]]*Table1[[#This Row],[UnitPrice]]) &lt;0.01, "ok",)</f>
        <v>ok</v>
      </c>
      <c r="P713" t="str">
        <f>PROPER(TRIM(Table1[[#This Row],[ShippingAddress]]))</f>
        <v>200 Main St</v>
      </c>
      <c r="Q713" t="str">
        <f>PROPER(TRIM((Table1[[#This Row],[PaymentMethod]])))</f>
        <v>Gift Card</v>
      </c>
      <c r="R713" t="str">
        <f>PROPER(TRIM(Table1[[#This Row],[ReferralSource]]))</f>
        <v>Google</v>
      </c>
      <c r="S713" s="5">
        <f>Table1[[#This Row],[TotalPrice]]/Table1[[#This Row],[ItemsInCart]]</f>
        <v>507.42500000000001</v>
      </c>
    </row>
    <row r="714" spans="1:19" x14ac:dyDescent="0.3">
      <c r="A714" t="s">
        <v>986</v>
      </c>
      <c r="B714" s="1">
        <v>45452</v>
      </c>
      <c r="C714" t="s">
        <v>2179</v>
      </c>
      <c r="D714" t="s">
        <v>2408</v>
      </c>
      <c r="E714">
        <v>1</v>
      </c>
      <c r="F714">
        <v>90.27</v>
      </c>
      <c r="G714" t="s">
        <v>2993</v>
      </c>
      <c r="H714" t="s">
        <v>3069</v>
      </c>
      <c r="I714" t="s">
        <v>3073</v>
      </c>
      <c r="J714" t="s">
        <v>4047</v>
      </c>
      <c r="K714">
        <v>5</v>
      </c>
      <c r="L714" t="s">
        <v>4275</v>
      </c>
      <c r="M714" t="s">
        <v>4281</v>
      </c>
      <c r="N714" s="5">
        <v>90.27</v>
      </c>
      <c r="O714" t="str">
        <f>IF(ABS(Table1[[#This Row],[TotalPrice]]-Table1[[#This Row],[Quantity]]*Table1[[#This Row],[UnitPrice]]) &lt;0.01, "ok",)</f>
        <v>ok</v>
      </c>
      <c r="P714" t="str">
        <f>PROPER(TRIM(Table1[[#This Row],[ShippingAddress]]))</f>
        <v>816 Main St</v>
      </c>
      <c r="Q714" t="str">
        <f>PROPER(TRIM((Table1[[#This Row],[PaymentMethod]])))</f>
        <v>Cash</v>
      </c>
      <c r="R714" t="str">
        <f>PROPER(TRIM(Table1[[#This Row],[ReferralSource]]))</f>
        <v>Facebook</v>
      </c>
      <c r="S714" s="5">
        <f>Table1[[#This Row],[TotalPrice]]/Table1[[#This Row],[ItemsInCart]]</f>
        <v>18.053999999999998</v>
      </c>
    </row>
    <row r="715" spans="1:19" x14ac:dyDescent="0.3">
      <c r="A715" t="s">
        <v>106</v>
      </c>
      <c r="B715" s="1">
        <v>45453</v>
      </c>
      <c r="C715" t="s">
        <v>1306</v>
      </c>
      <c r="D715" t="s">
        <v>2407</v>
      </c>
      <c r="E715">
        <v>4</v>
      </c>
      <c r="F715">
        <v>48.61</v>
      </c>
      <c r="G715" t="s">
        <v>2496</v>
      </c>
      <c r="H715" t="s">
        <v>3066</v>
      </c>
      <c r="I715" t="s">
        <v>3070</v>
      </c>
      <c r="J715" t="s">
        <v>3167</v>
      </c>
      <c r="K715">
        <v>7</v>
      </c>
      <c r="L715" t="s">
        <v>4276</v>
      </c>
      <c r="M715" t="s">
        <v>4281</v>
      </c>
      <c r="N715" s="5">
        <v>194.44</v>
      </c>
      <c r="O715" t="str">
        <f>IF(ABS(Table1[[#This Row],[TotalPrice]]-Table1[[#This Row],[Quantity]]*Table1[[#This Row],[UnitPrice]]) &lt;0.01, "ok",)</f>
        <v>ok</v>
      </c>
      <c r="P715" t="str">
        <f>PROPER(TRIM(Table1[[#This Row],[ShippingAddress]]))</f>
        <v>203 Main St</v>
      </c>
      <c r="Q715" t="str">
        <f>PROPER(TRIM((Table1[[#This Row],[PaymentMethod]])))</f>
        <v>Online</v>
      </c>
      <c r="R715" t="str">
        <f>PROPER(TRIM(Table1[[#This Row],[ReferralSource]]))</f>
        <v>Facebook</v>
      </c>
      <c r="S715" s="5">
        <f>Table1[[#This Row],[TotalPrice]]/Table1[[#This Row],[ItemsInCart]]</f>
        <v>27.777142857142856</v>
      </c>
    </row>
    <row r="716" spans="1:19" x14ac:dyDescent="0.3">
      <c r="A716" t="s">
        <v>212</v>
      </c>
      <c r="B716" s="1">
        <v>45454</v>
      </c>
      <c r="C716" t="s">
        <v>1412</v>
      </c>
      <c r="D716" t="s">
        <v>2408</v>
      </c>
      <c r="E716">
        <v>4</v>
      </c>
      <c r="F716">
        <v>340.3</v>
      </c>
      <c r="G716" t="s">
        <v>2444</v>
      </c>
      <c r="H716" t="s">
        <v>3069</v>
      </c>
      <c r="I716" t="s">
        <v>3071</v>
      </c>
      <c r="J716" t="s">
        <v>3273</v>
      </c>
      <c r="K716">
        <v>8</v>
      </c>
      <c r="L716" t="s">
        <v>4275</v>
      </c>
      <c r="M716" t="s">
        <v>4279</v>
      </c>
      <c r="N716" s="5">
        <v>1361.2</v>
      </c>
      <c r="O716" t="str">
        <f>IF(ABS(Table1[[#This Row],[TotalPrice]]-Table1[[#This Row],[Quantity]]*Table1[[#This Row],[UnitPrice]]) &lt;0.01, "ok",)</f>
        <v>ok</v>
      </c>
      <c r="P716" t="str">
        <f>PROPER(TRIM(Table1[[#This Row],[ShippingAddress]]))</f>
        <v>926 Main St</v>
      </c>
      <c r="Q716" t="str">
        <f>PROPER(TRIM((Table1[[#This Row],[PaymentMethod]])))</f>
        <v>Cash</v>
      </c>
      <c r="R716" t="str">
        <f>PROPER(TRIM(Table1[[#This Row],[ReferralSource]]))</f>
        <v>Referral</v>
      </c>
      <c r="S716" s="5">
        <f>Table1[[#This Row],[TotalPrice]]/Table1[[#This Row],[ItemsInCart]]</f>
        <v>170.15</v>
      </c>
    </row>
    <row r="717" spans="1:19" x14ac:dyDescent="0.3">
      <c r="A717" t="s">
        <v>1177</v>
      </c>
      <c r="B717" s="1">
        <v>45454</v>
      </c>
      <c r="C717" t="s">
        <v>2366</v>
      </c>
      <c r="D717" t="s">
        <v>2408</v>
      </c>
      <c r="E717">
        <v>3</v>
      </c>
      <c r="F71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>
        <v>7</v>
      </c>
      <c r="L717" t="s">
        <v>4277</v>
      </c>
      <c r="M717" t="s">
        <v>4278</v>
      </c>
      <c r="N717" s="5">
        <v>918.87000000000012</v>
      </c>
      <c r="O717" t="str">
        <f>IF(ABS(Table1[[#This Row],[TotalPrice]]-Table1[[#This Row],[Quantity]]*Table1[[#This Row],[UnitPrice]]) &lt;0.01, "ok",)</f>
        <v>ok</v>
      </c>
      <c r="P717" t="str">
        <f>PROPER(TRIM(Table1[[#This Row],[ShippingAddress]]))</f>
        <v>966 Main St</v>
      </c>
      <c r="Q717" t="str">
        <f>PROPER(TRIM((Table1[[#This Row],[PaymentMethod]])))</f>
        <v>Credit Card</v>
      </c>
      <c r="R717" t="str">
        <f>PROPER(TRIM(Table1[[#This Row],[ReferralSource]]))</f>
        <v>Instagram</v>
      </c>
      <c r="S717" s="5">
        <f>Table1[[#This Row],[TotalPrice]]/Table1[[#This Row],[ItemsInCart]]</f>
        <v>131.26714285714289</v>
      </c>
    </row>
    <row r="718" spans="1:19" x14ac:dyDescent="0.3">
      <c r="A718" t="s">
        <v>758</v>
      </c>
      <c r="B718" s="1">
        <v>45455</v>
      </c>
      <c r="C718" t="s">
        <v>1955</v>
      </c>
      <c r="D718" t="s">
        <v>2405</v>
      </c>
      <c r="E718">
        <v>2</v>
      </c>
      <c r="F718">
        <v>461.37</v>
      </c>
      <c r="G718" t="s">
        <v>2900</v>
      </c>
      <c r="H718" t="s">
        <v>3069</v>
      </c>
      <c r="I718" t="s">
        <v>3073</v>
      </c>
      <c r="J718" t="s">
        <v>3819</v>
      </c>
      <c r="K718">
        <v>5</v>
      </c>
      <c r="L718" t="s">
        <v>4275</v>
      </c>
      <c r="M718" t="s">
        <v>4282</v>
      </c>
      <c r="N718" s="5">
        <v>922.74</v>
      </c>
      <c r="O718" t="str">
        <f>IF(ABS(Table1[[#This Row],[TotalPrice]]-Table1[[#This Row],[Quantity]]*Table1[[#This Row],[UnitPrice]]) &lt;0.01, "ok",)</f>
        <v>ok</v>
      </c>
      <c r="P718" t="str">
        <f>PROPER(TRIM(Table1[[#This Row],[ShippingAddress]]))</f>
        <v>200 Main St</v>
      </c>
      <c r="Q718" t="str">
        <f>PROPER(TRIM((Table1[[#This Row],[PaymentMethod]])))</f>
        <v>Cash</v>
      </c>
      <c r="R718" t="str">
        <f>PROPER(TRIM(Table1[[#This Row],[ReferralSource]]))</f>
        <v>Google</v>
      </c>
      <c r="S718" s="5">
        <f>Table1[[#This Row],[TotalPrice]]/Table1[[#This Row],[ItemsInCart]]</f>
        <v>184.548</v>
      </c>
    </row>
    <row r="719" spans="1:19" x14ac:dyDescent="0.3">
      <c r="A719" t="s">
        <v>785</v>
      </c>
      <c r="B719" s="1">
        <v>45455</v>
      </c>
      <c r="C719" t="s">
        <v>1982</v>
      </c>
      <c r="D719" t="s">
        <v>2404</v>
      </c>
      <c r="E719">
        <v>3</v>
      </c>
      <c r="F719">
        <v>692.44</v>
      </c>
      <c r="G719" t="s">
        <v>2724</v>
      </c>
      <c r="H719" t="s">
        <v>3065</v>
      </c>
      <c r="I719" t="s">
        <v>3071</v>
      </c>
      <c r="J719" t="s">
        <v>3846</v>
      </c>
      <c r="K719">
        <v>8</v>
      </c>
      <c r="L719" t="s">
        <v>4276</v>
      </c>
      <c r="M719" t="s">
        <v>4282</v>
      </c>
      <c r="N719" s="5">
        <v>2077.3200000000002</v>
      </c>
      <c r="O719" t="str">
        <f>IF(ABS(Table1[[#This Row],[TotalPrice]]-Table1[[#This Row],[Quantity]]*Table1[[#This Row],[UnitPrice]]) &lt;0.01, "ok",)</f>
        <v>ok</v>
      </c>
      <c r="P719" t="str">
        <f>PROPER(TRIM(Table1[[#This Row],[ShippingAddress]]))</f>
        <v>272 Main St</v>
      </c>
      <c r="Q719" t="str">
        <f>PROPER(TRIM((Table1[[#This Row],[PaymentMethod]])))</f>
        <v>Debit Card</v>
      </c>
      <c r="R719" t="str">
        <f>PROPER(TRIM(Table1[[#This Row],[ReferralSource]]))</f>
        <v>Google</v>
      </c>
      <c r="S719" s="5">
        <f>Table1[[#This Row],[TotalPrice]]/Table1[[#This Row],[ItemsInCart]]</f>
        <v>259.66500000000002</v>
      </c>
    </row>
    <row r="720" spans="1:19" x14ac:dyDescent="0.3">
      <c r="A720" t="s">
        <v>157</v>
      </c>
      <c r="B720" s="1">
        <v>45456</v>
      </c>
      <c r="C720" t="s">
        <v>1357</v>
      </c>
      <c r="D720" t="s">
        <v>2406</v>
      </c>
      <c r="E720">
        <v>4</v>
      </c>
      <c r="F720">
        <v>400.07</v>
      </c>
      <c r="G720" t="s">
        <v>2543</v>
      </c>
      <c r="H720" t="s">
        <v>3066</v>
      </c>
      <c r="I720" t="s">
        <v>3070</v>
      </c>
      <c r="J720" t="s">
        <v>3218</v>
      </c>
      <c r="K720">
        <v>5</v>
      </c>
      <c r="L720" t="s">
        <v>4283</v>
      </c>
      <c r="M720" t="s">
        <v>4279</v>
      </c>
      <c r="N720" s="5">
        <v>1600.28</v>
      </c>
      <c r="O720" t="str">
        <f>IF(ABS(Table1[[#This Row],[TotalPrice]]-Table1[[#This Row],[Quantity]]*Table1[[#This Row],[UnitPrice]]) &lt;0.01, "ok",)</f>
        <v>ok</v>
      </c>
      <c r="P720" t="str">
        <f>PROPER(TRIM(Table1[[#This Row],[ShippingAddress]]))</f>
        <v>933 Main St</v>
      </c>
      <c r="Q720" t="str">
        <f>PROPER(TRIM((Table1[[#This Row],[PaymentMethod]])))</f>
        <v>Online</v>
      </c>
      <c r="R720" t="str">
        <f>PROPER(TRIM(Table1[[#This Row],[ReferralSource]]))</f>
        <v>Referral</v>
      </c>
      <c r="S720" s="5">
        <f>Table1[[#This Row],[TotalPrice]]/Table1[[#This Row],[ItemsInCart]]</f>
        <v>320.05599999999998</v>
      </c>
    </row>
    <row r="721" spans="1:19" x14ac:dyDescent="0.3">
      <c r="A721" t="s">
        <v>338</v>
      </c>
      <c r="B721" s="1">
        <v>45456</v>
      </c>
      <c r="C721" t="s">
        <v>1538</v>
      </c>
      <c r="D721" t="s">
        <v>2405</v>
      </c>
      <c r="E721">
        <v>3</v>
      </c>
      <c r="F721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>
        <v>5</v>
      </c>
      <c r="L721" t="s">
        <v>4283</v>
      </c>
      <c r="M721" t="s">
        <v>4279</v>
      </c>
      <c r="N721" s="5">
        <v>212.79</v>
      </c>
      <c r="O721" t="str">
        <f>IF(ABS(Table1[[#This Row],[TotalPrice]]-Table1[[#This Row],[Quantity]]*Table1[[#This Row],[UnitPrice]]) &lt;0.01, "ok",)</f>
        <v>ok</v>
      </c>
      <c r="P721" t="str">
        <f>PROPER(TRIM(Table1[[#This Row],[ShippingAddress]]))</f>
        <v>847 Main St</v>
      </c>
      <c r="Q721" t="str">
        <f>PROPER(TRIM((Table1[[#This Row],[PaymentMethod]])))</f>
        <v>Debit Card</v>
      </c>
      <c r="R721" t="str">
        <f>PROPER(TRIM(Table1[[#This Row],[ReferralSource]]))</f>
        <v>Referral</v>
      </c>
      <c r="S721" s="5">
        <f>Table1[[#This Row],[TotalPrice]]/Table1[[#This Row],[ItemsInCart]]</f>
        <v>42.558</v>
      </c>
    </row>
    <row r="722" spans="1:19" x14ac:dyDescent="0.3">
      <c r="A722" t="s">
        <v>730</v>
      </c>
      <c r="B722" s="1">
        <v>45456</v>
      </c>
      <c r="C722" t="s">
        <v>1927</v>
      </c>
      <c r="D722" t="s">
        <v>2406</v>
      </c>
      <c r="E722">
        <v>3</v>
      </c>
      <c r="F722">
        <v>454.29</v>
      </c>
      <c r="G722" t="s">
        <v>2428</v>
      </c>
      <c r="H722" t="s">
        <v>3067</v>
      </c>
      <c r="I722" t="s">
        <v>3074</v>
      </c>
      <c r="J722" t="s">
        <v>3791</v>
      </c>
      <c r="K722">
        <v>4</v>
      </c>
      <c r="L722" t="s">
        <v>4277</v>
      </c>
      <c r="M722" t="s">
        <v>4282</v>
      </c>
      <c r="N722" s="5">
        <v>1362.87</v>
      </c>
      <c r="O722" t="str">
        <f>IF(ABS(Table1[[#This Row],[TotalPrice]]-Table1[[#This Row],[Quantity]]*Table1[[#This Row],[UnitPrice]]) &lt;0.01, "ok",)</f>
        <v>ok</v>
      </c>
      <c r="P722" t="str">
        <f>PROPER(TRIM(Table1[[#This Row],[ShippingAddress]]))</f>
        <v>891 Main St</v>
      </c>
      <c r="Q722" t="str">
        <f>PROPER(TRIM((Table1[[#This Row],[PaymentMethod]])))</f>
        <v>Credit Card</v>
      </c>
      <c r="R722" t="str">
        <f>PROPER(TRIM(Table1[[#This Row],[ReferralSource]]))</f>
        <v>Google</v>
      </c>
      <c r="S722" s="5">
        <f>Table1[[#This Row],[TotalPrice]]/Table1[[#This Row],[ItemsInCart]]</f>
        <v>340.71749999999997</v>
      </c>
    </row>
    <row r="723" spans="1:19" x14ac:dyDescent="0.3">
      <c r="A723" t="s">
        <v>753</v>
      </c>
      <c r="B723" s="1">
        <v>45456</v>
      </c>
      <c r="C723" t="s">
        <v>1950</v>
      </c>
      <c r="D723" t="s">
        <v>2404</v>
      </c>
      <c r="E723">
        <v>4</v>
      </c>
      <c r="F723">
        <v>386.73</v>
      </c>
      <c r="G723" t="s">
        <v>2532</v>
      </c>
      <c r="H723" t="s">
        <v>3069</v>
      </c>
      <c r="I723" t="s">
        <v>3073</v>
      </c>
      <c r="J723" t="s">
        <v>3814</v>
      </c>
      <c r="K723">
        <v>4</v>
      </c>
      <c r="L723" t="s">
        <v>4275</v>
      </c>
      <c r="M723" t="s">
        <v>4281</v>
      </c>
      <c r="N723" s="5">
        <v>1546.92</v>
      </c>
      <c r="O723" t="str">
        <f>IF(ABS(Table1[[#This Row],[TotalPrice]]-Table1[[#This Row],[Quantity]]*Table1[[#This Row],[UnitPrice]]) &lt;0.01, "ok",)</f>
        <v>ok</v>
      </c>
      <c r="P723" t="str">
        <f>PROPER(TRIM(Table1[[#This Row],[ShippingAddress]]))</f>
        <v>513 Main St</v>
      </c>
      <c r="Q723" t="str">
        <f>PROPER(TRIM((Table1[[#This Row],[PaymentMethod]])))</f>
        <v>Cash</v>
      </c>
      <c r="R723" t="str">
        <f>PROPER(TRIM(Table1[[#This Row],[ReferralSource]]))</f>
        <v>Facebook</v>
      </c>
      <c r="S723" s="5">
        <f>Table1[[#This Row],[TotalPrice]]/Table1[[#This Row],[ItemsInCart]]</f>
        <v>386.73</v>
      </c>
    </row>
    <row r="724" spans="1:19" x14ac:dyDescent="0.3">
      <c r="A724" t="s">
        <v>336</v>
      </c>
      <c r="B724" s="1">
        <v>45457</v>
      </c>
      <c r="C724" t="s">
        <v>1536</v>
      </c>
      <c r="D724" t="s">
        <v>2404</v>
      </c>
      <c r="E724">
        <v>5</v>
      </c>
      <c r="F724">
        <v>231.82</v>
      </c>
      <c r="G724" t="s">
        <v>2678</v>
      </c>
      <c r="H724" t="s">
        <v>3065</v>
      </c>
      <c r="I724" t="s">
        <v>3073</v>
      </c>
      <c r="J724" t="s">
        <v>3397</v>
      </c>
      <c r="K724">
        <v>6</v>
      </c>
      <c r="L724" t="s">
        <v>4275</v>
      </c>
      <c r="M724" t="s">
        <v>4281</v>
      </c>
      <c r="N724" s="5">
        <v>1159.0999999999999</v>
      </c>
      <c r="O724" t="str">
        <f>IF(ABS(Table1[[#This Row],[TotalPrice]]-Table1[[#This Row],[Quantity]]*Table1[[#This Row],[UnitPrice]]) &lt;0.01, "ok",)</f>
        <v>ok</v>
      </c>
      <c r="P724" t="str">
        <f>PROPER(TRIM(Table1[[#This Row],[ShippingAddress]]))</f>
        <v>339 Main St</v>
      </c>
      <c r="Q724" t="str">
        <f>PROPER(TRIM((Table1[[#This Row],[PaymentMethod]])))</f>
        <v>Debit Card</v>
      </c>
      <c r="R724" t="str">
        <f>PROPER(TRIM(Table1[[#This Row],[ReferralSource]]))</f>
        <v>Facebook</v>
      </c>
      <c r="S724" s="5">
        <f>Table1[[#This Row],[TotalPrice]]/Table1[[#This Row],[ItemsInCart]]</f>
        <v>193.18333333333331</v>
      </c>
    </row>
    <row r="725" spans="1:19" x14ac:dyDescent="0.3">
      <c r="A725" t="s">
        <v>1070</v>
      </c>
      <c r="B725" s="1">
        <v>45457</v>
      </c>
      <c r="C725" t="s">
        <v>2262</v>
      </c>
      <c r="D725" t="s">
        <v>2404</v>
      </c>
      <c r="E725">
        <v>2</v>
      </c>
      <c r="F725">
        <v>486.35</v>
      </c>
      <c r="G725" t="s">
        <v>2566</v>
      </c>
      <c r="H725" t="s">
        <v>3066</v>
      </c>
      <c r="I725" t="s">
        <v>3074</v>
      </c>
      <c r="J725" t="s">
        <v>4131</v>
      </c>
      <c r="K725">
        <v>6</v>
      </c>
      <c r="L725" t="s">
        <v>4275</v>
      </c>
      <c r="M725" t="s">
        <v>4279</v>
      </c>
      <c r="N725" s="5">
        <v>972.7</v>
      </c>
      <c r="O725" t="str">
        <f>IF(ABS(Table1[[#This Row],[TotalPrice]]-Table1[[#This Row],[Quantity]]*Table1[[#This Row],[UnitPrice]]) &lt;0.01, "ok",)</f>
        <v>ok</v>
      </c>
      <c r="P725" t="str">
        <f>PROPER(TRIM(Table1[[#This Row],[ShippingAddress]]))</f>
        <v>790 Main St</v>
      </c>
      <c r="Q725" t="str">
        <f>PROPER(TRIM((Table1[[#This Row],[PaymentMethod]])))</f>
        <v>Online</v>
      </c>
      <c r="R725" t="str">
        <f>PROPER(TRIM(Table1[[#This Row],[ReferralSource]]))</f>
        <v>Referral</v>
      </c>
      <c r="S725" s="5">
        <f>Table1[[#This Row],[TotalPrice]]/Table1[[#This Row],[ItemsInCart]]</f>
        <v>162.11666666666667</v>
      </c>
    </row>
    <row r="726" spans="1:19" x14ac:dyDescent="0.3">
      <c r="A726" t="s">
        <v>624</v>
      </c>
      <c r="B726" s="1">
        <v>45459</v>
      </c>
      <c r="C726" t="s">
        <v>1823</v>
      </c>
      <c r="D726" t="s">
        <v>2409</v>
      </c>
      <c r="E726">
        <v>5</v>
      </c>
      <c r="F726">
        <v>389.62</v>
      </c>
      <c r="G726" t="s">
        <v>2460</v>
      </c>
      <c r="H726" t="s">
        <v>3069</v>
      </c>
      <c r="I726" t="s">
        <v>3072</v>
      </c>
      <c r="J726" t="s">
        <v>3685</v>
      </c>
      <c r="K726">
        <v>7</v>
      </c>
      <c r="L726" t="s">
        <v>4276</v>
      </c>
      <c r="M726" t="s">
        <v>4281</v>
      </c>
      <c r="N726" s="5">
        <v>1948.1</v>
      </c>
      <c r="O726" t="str">
        <f>IF(ABS(Table1[[#This Row],[TotalPrice]]-Table1[[#This Row],[Quantity]]*Table1[[#This Row],[UnitPrice]]) &lt;0.01, "ok",)</f>
        <v>ok</v>
      </c>
      <c r="P726" t="str">
        <f>PROPER(TRIM(Table1[[#This Row],[ShippingAddress]]))</f>
        <v>623 Main St</v>
      </c>
      <c r="Q726" t="str">
        <f>PROPER(TRIM((Table1[[#This Row],[PaymentMethod]])))</f>
        <v>Cash</v>
      </c>
      <c r="R726" t="str">
        <f>PROPER(TRIM(Table1[[#This Row],[ReferralSource]]))</f>
        <v>Facebook</v>
      </c>
      <c r="S726" s="5">
        <f>Table1[[#This Row],[TotalPrice]]/Table1[[#This Row],[ItemsInCart]]</f>
        <v>278.3</v>
      </c>
    </row>
    <row r="727" spans="1:19" x14ac:dyDescent="0.3">
      <c r="A727" t="s">
        <v>1048</v>
      </c>
      <c r="B727" s="1">
        <v>45459</v>
      </c>
      <c r="C727" t="s">
        <v>2240</v>
      </c>
      <c r="D727" t="s">
        <v>2407</v>
      </c>
      <c r="E727">
        <v>4</v>
      </c>
      <c r="F727">
        <v>517.98</v>
      </c>
      <c r="G727" t="s">
        <v>3008</v>
      </c>
      <c r="H727" t="s">
        <v>3069</v>
      </c>
      <c r="I727" t="s">
        <v>3071</v>
      </c>
      <c r="J727" t="s">
        <v>4109</v>
      </c>
      <c r="K727">
        <v>8</v>
      </c>
      <c r="L727" t="s">
        <v>4276</v>
      </c>
      <c r="M727" t="s">
        <v>4281</v>
      </c>
      <c r="N727" s="5">
        <v>2071.92</v>
      </c>
      <c r="O727" t="str">
        <f>IF(ABS(Table1[[#This Row],[TotalPrice]]-Table1[[#This Row],[Quantity]]*Table1[[#This Row],[UnitPrice]]) &lt;0.01, "ok",)</f>
        <v>ok</v>
      </c>
      <c r="P727" t="str">
        <f>PROPER(TRIM(Table1[[#This Row],[ShippingAddress]]))</f>
        <v>766 Main St</v>
      </c>
      <c r="Q727" t="str">
        <f>PROPER(TRIM((Table1[[#This Row],[PaymentMethod]])))</f>
        <v>Cash</v>
      </c>
      <c r="R727" t="str">
        <f>PROPER(TRIM(Table1[[#This Row],[ReferralSource]]))</f>
        <v>Facebook</v>
      </c>
      <c r="S727" s="5">
        <f>Table1[[#This Row],[TotalPrice]]/Table1[[#This Row],[ItemsInCart]]</f>
        <v>258.99</v>
      </c>
    </row>
    <row r="728" spans="1:19" x14ac:dyDescent="0.3">
      <c r="A728" t="s">
        <v>936</v>
      </c>
      <c r="B728" s="1">
        <v>45460</v>
      </c>
      <c r="C728" t="s">
        <v>2132</v>
      </c>
      <c r="D728" t="s">
        <v>2409</v>
      </c>
      <c r="E728">
        <v>2</v>
      </c>
      <c r="F728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>
        <v>3</v>
      </c>
      <c r="L728" t="s">
        <v>4283</v>
      </c>
      <c r="M728" t="s">
        <v>4278</v>
      </c>
      <c r="N728" s="5">
        <v>1127.6400000000001</v>
      </c>
      <c r="O728" t="str">
        <f>IF(ABS(Table1[[#This Row],[TotalPrice]]-Table1[[#This Row],[Quantity]]*Table1[[#This Row],[UnitPrice]]) &lt;0.01, "ok",)</f>
        <v>ok</v>
      </c>
      <c r="P728" t="str">
        <f>PROPER(TRIM(Table1[[#This Row],[ShippingAddress]]))</f>
        <v>487 Main St</v>
      </c>
      <c r="Q728" t="str">
        <f>PROPER(TRIM((Table1[[#This Row],[PaymentMethod]])))</f>
        <v>Credit Card</v>
      </c>
      <c r="R728" t="str">
        <f>PROPER(TRIM(Table1[[#This Row],[ReferralSource]]))</f>
        <v>Instagram</v>
      </c>
      <c r="S728" s="5">
        <f>Table1[[#This Row],[TotalPrice]]/Table1[[#This Row],[ItemsInCart]]</f>
        <v>375.88000000000005</v>
      </c>
    </row>
    <row r="729" spans="1:19" x14ac:dyDescent="0.3">
      <c r="A729" t="s">
        <v>100</v>
      </c>
      <c r="B729" s="1">
        <v>45462</v>
      </c>
      <c r="C729" t="s">
        <v>1300</v>
      </c>
      <c r="D729" t="s">
        <v>2407</v>
      </c>
      <c r="E729">
        <v>5</v>
      </c>
      <c r="F729">
        <v>643.03</v>
      </c>
      <c r="G729" t="s">
        <v>2490</v>
      </c>
      <c r="H729" t="s">
        <v>3066</v>
      </c>
      <c r="I729" t="s">
        <v>3071</v>
      </c>
      <c r="J729" t="s">
        <v>3161</v>
      </c>
      <c r="K729">
        <v>5</v>
      </c>
      <c r="L729" t="s">
        <v>4276</v>
      </c>
      <c r="M729" t="s">
        <v>4279</v>
      </c>
      <c r="N729" s="5">
        <v>3215.15</v>
      </c>
      <c r="O729" t="str">
        <f>IF(ABS(Table1[[#This Row],[TotalPrice]]-Table1[[#This Row],[Quantity]]*Table1[[#This Row],[UnitPrice]]) &lt;0.01, "ok",)</f>
        <v>ok</v>
      </c>
      <c r="P729" t="str">
        <f>PROPER(TRIM(Table1[[#This Row],[ShippingAddress]]))</f>
        <v>447 Main St</v>
      </c>
      <c r="Q729" t="str">
        <f>PROPER(TRIM((Table1[[#This Row],[PaymentMethod]])))</f>
        <v>Online</v>
      </c>
      <c r="R729" t="str">
        <f>PROPER(TRIM(Table1[[#This Row],[ReferralSource]]))</f>
        <v>Referral</v>
      </c>
      <c r="S729" s="5">
        <f>Table1[[#This Row],[TotalPrice]]/Table1[[#This Row],[ItemsInCart]]</f>
        <v>643.03</v>
      </c>
    </row>
    <row r="730" spans="1:19" x14ac:dyDescent="0.3">
      <c r="A730" t="s">
        <v>310</v>
      </c>
      <c r="B730" s="1">
        <v>45462</v>
      </c>
      <c r="C730" t="s">
        <v>1510</v>
      </c>
      <c r="D730" t="s">
        <v>2409</v>
      </c>
      <c r="E730">
        <v>5</v>
      </c>
      <c r="F730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>
        <v>10</v>
      </c>
      <c r="L730" t="s">
        <v>4277</v>
      </c>
      <c r="M730" t="s">
        <v>4279</v>
      </c>
      <c r="N730" s="5">
        <v>3194</v>
      </c>
      <c r="O730" t="str">
        <f>IF(ABS(Table1[[#This Row],[TotalPrice]]-Table1[[#This Row],[Quantity]]*Table1[[#This Row],[UnitPrice]]) &lt;0.01, "ok",)</f>
        <v>ok</v>
      </c>
      <c r="P730" t="str">
        <f>PROPER(TRIM(Table1[[#This Row],[ShippingAddress]]))</f>
        <v>434 Main St</v>
      </c>
      <c r="Q730" t="str">
        <f>PROPER(TRIM((Table1[[#This Row],[PaymentMethod]])))</f>
        <v>Debit Card</v>
      </c>
      <c r="R730" t="str">
        <f>PROPER(TRIM(Table1[[#This Row],[ReferralSource]]))</f>
        <v>Referral</v>
      </c>
      <c r="S730" s="5">
        <f>Table1[[#This Row],[TotalPrice]]/Table1[[#This Row],[ItemsInCart]]</f>
        <v>319.39999999999998</v>
      </c>
    </row>
    <row r="731" spans="1:19" x14ac:dyDescent="0.3">
      <c r="A731" t="s">
        <v>425</v>
      </c>
      <c r="B731" s="1">
        <v>45462</v>
      </c>
      <c r="C731" t="s">
        <v>1625</v>
      </c>
      <c r="D731" t="s">
        <v>2409</v>
      </c>
      <c r="E731">
        <v>2</v>
      </c>
      <c r="F731">
        <v>39.51</v>
      </c>
      <c r="G731" t="s">
        <v>2549</v>
      </c>
      <c r="H731" t="s">
        <v>3066</v>
      </c>
      <c r="I731" t="s">
        <v>3070</v>
      </c>
      <c r="J731" t="s">
        <v>3486</v>
      </c>
      <c r="K731">
        <v>5</v>
      </c>
      <c r="L731" t="s">
        <v>4283</v>
      </c>
      <c r="M731" t="s">
        <v>4281</v>
      </c>
      <c r="N731" s="5">
        <v>79.02</v>
      </c>
      <c r="O731" t="str">
        <f>IF(ABS(Table1[[#This Row],[TotalPrice]]-Table1[[#This Row],[Quantity]]*Table1[[#This Row],[UnitPrice]]) &lt;0.01, "ok",)</f>
        <v>ok</v>
      </c>
      <c r="P731" t="str">
        <f>PROPER(TRIM(Table1[[#This Row],[ShippingAddress]]))</f>
        <v>981 Main St</v>
      </c>
      <c r="Q731" t="str">
        <f>PROPER(TRIM((Table1[[#This Row],[PaymentMethod]])))</f>
        <v>Online</v>
      </c>
      <c r="R731" t="str">
        <f>PROPER(TRIM(Table1[[#This Row],[ReferralSource]]))</f>
        <v>Facebook</v>
      </c>
      <c r="S731" s="5">
        <f>Table1[[#This Row],[TotalPrice]]/Table1[[#This Row],[ItemsInCart]]</f>
        <v>15.803999999999998</v>
      </c>
    </row>
    <row r="732" spans="1:19" x14ac:dyDescent="0.3">
      <c r="A732" t="s">
        <v>1077</v>
      </c>
      <c r="B732" s="1">
        <v>45462</v>
      </c>
      <c r="C732" t="s">
        <v>2269</v>
      </c>
      <c r="D732" t="s">
        <v>2409</v>
      </c>
      <c r="E732">
        <v>2</v>
      </c>
      <c r="F732">
        <v>320.68</v>
      </c>
      <c r="G732" t="s">
        <v>2564</v>
      </c>
      <c r="H732" t="s">
        <v>3067</v>
      </c>
      <c r="I732" t="s">
        <v>3070</v>
      </c>
      <c r="J732" t="s">
        <v>4138</v>
      </c>
      <c r="K732">
        <v>5</v>
      </c>
      <c r="L732" t="s">
        <v>4276</v>
      </c>
      <c r="M732" t="s">
        <v>4279</v>
      </c>
      <c r="N732" s="5">
        <v>641.36</v>
      </c>
      <c r="O732" t="str">
        <f>IF(ABS(Table1[[#This Row],[TotalPrice]]-Table1[[#This Row],[Quantity]]*Table1[[#This Row],[UnitPrice]]) &lt;0.01, "ok",)</f>
        <v>ok</v>
      </c>
      <c r="P732" t="str">
        <f>PROPER(TRIM(Table1[[#This Row],[ShippingAddress]]))</f>
        <v>336 Main St</v>
      </c>
      <c r="Q732" t="str">
        <f>PROPER(TRIM((Table1[[#This Row],[PaymentMethod]])))</f>
        <v>Credit Card</v>
      </c>
      <c r="R732" t="str">
        <f>PROPER(TRIM(Table1[[#This Row],[ReferralSource]]))</f>
        <v>Referral</v>
      </c>
      <c r="S732" s="5">
        <f>Table1[[#This Row],[TotalPrice]]/Table1[[#This Row],[ItemsInCart]]</f>
        <v>128.27199999999999</v>
      </c>
    </row>
    <row r="733" spans="1:19" x14ac:dyDescent="0.3">
      <c r="A733" t="s">
        <v>1093</v>
      </c>
      <c r="B733" s="1">
        <v>45463</v>
      </c>
      <c r="C733" t="s">
        <v>2285</v>
      </c>
      <c r="D733" t="s">
        <v>2404</v>
      </c>
      <c r="E733">
        <v>5</v>
      </c>
      <c r="F733">
        <v>634</v>
      </c>
      <c r="G733" t="s">
        <v>2980</v>
      </c>
      <c r="H733" t="s">
        <v>3068</v>
      </c>
      <c r="I733" t="s">
        <v>3073</v>
      </c>
      <c r="J733" t="s">
        <v>4154</v>
      </c>
      <c r="K733">
        <v>8</v>
      </c>
      <c r="L733" t="s">
        <v>4283</v>
      </c>
      <c r="M733" t="s">
        <v>4280</v>
      </c>
      <c r="N733" s="5">
        <v>3170</v>
      </c>
      <c r="O733" t="str">
        <f>IF(ABS(Table1[[#This Row],[TotalPrice]]-Table1[[#This Row],[Quantity]]*Table1[[#This Row],[UnitPrice]]) &lt;0.01, "ok",)</f>
        <v>ok</v>
      </c>
      <c r="P733" t="str">
        <f>PROPER(TRIM(Table1[[#This Row],[ShippingAddress]]))</f>
        <v>144 Main St</v>
      </c>
      <c r="Q733" t="str">
        <f>PROPER(TRIM((Table1[[#This Row],[PaymentMethod]])))</f>
        <v>Gift Card</v>
      </c>
      <c r="R733" t="str">
        <f>PROPER(TRIM(Table1[[#This Row],[ReferralSource]]))</f>
        <v>Email</v>
      </c>
      <c r="S733" s="5">
        <f>Table1[[#This Row],[TotalPrice]]/Table1[[#This Row],[ItemsInCart]]</f>
        <v>396.25</v>
      </c>
    </row>
    <row r="734" spans="1:19" x14ac:dyDescent="0.3">
      <c r="A734" t="s">
        <v>1209</v>
      </c>
      <c r="B734" s="1">
        <v>45463</v>
      </c>
      <c r="C734" t="s">
        <v>2398</v>
      </c>
      <c r="D734" t="s">
        <v>2409</v>
      </c>
      <c r="E734">
        <v>1</v>
      </c>
      <c r="F734">
        <v>107.04</v>
      </c>
      <c r="G734" t="s">
        <v>3062</v>
      </c>
      <c r="H734" t="s">
        <v>3067</v>
      </c>
      <c r="I734" t="s">
        <v>3071</v>
      </c>
      <c r="J734" t="s">
        <v>4270</v>
      </c>
      <c r="K734">
        <v>6</v>
      </c>
      <c r="L734" t="s">
        <v>4276</v>
      </c>
      <c r="M734" t="s">
        <v>4282</v>
      </c>
      <c r="N734" s="5">
        <v>107.04</v>
      </c>
      <c r="O734" t="str">
        <f>IF(ABS(Table1[[#This Row],[TotalPrice]]-Table1[[#This Row],[Quantity]]*Table1[[#This Row],[UnitPrice]]) &lt;0.01, "ok",)</f>
        <v>ok</v>
      </c>
      <c r="P734" t="str">
        <f>PROPER(TRIM(Table1[[#This Row],[ShippingAddress]]))</f>
        <v>392 Main St</v>
      </c>
      <c r="Q734" t="str">
        <f>PROPER(TRIM((Table1[[#This Row],[PaymentMethod]])))</f>
        <v>Credit Card</v>
      </c>
      <c r="R734" t="str">
        <f>PROPER(TRIM(Table1[[#This Row],[ReferralSource]]))</f>
        <v>Google</v>
      </c>
      <c r="S734" s="5">
        <f>Table1[[#This Row],[TotalPrice]]/Table1[[#This Row],[ItemsInCart]]</f>
        <v>17.84</v>
      </c>
    </row>
    <row r="735" spans="1:19" x14ac:dyDescent="0.3">
      <c r="A735" t="s">
        <v>930</v>
      </c>
      <c r="B735" s="1">
        <v>45464</v>
      </c>
      <c r="C735" t="s">
        <v>2126</v>
      </c>
      <c r="D735" t="s">
        <v>2407</v>
      </c>
      <c r="E735">
        <v>5</v>
      </c>
      <c r="F735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>
        <v>6</v>
      </c>
      <c r="L735" t="s">
        <v>4283</v>
      </c>
      <c r="M735" t="s">
        <v>4279</v>
      </c>
      <c r="N735" s="5">
        <v>2894.15</v>
      </c>
      <c r="O735" t="str">
        <f>IF(ABS(Table1[[#This Row],[TotalPrice]]-Table1[[#This Row],[Quantity]]*Table1[[#This Row],[UnitPrice]]) &lt;0.01, "ok",)</f>
        <v>ok</v>
      </c>
      <c r="P735" t="str">
        <f>PROPER(TRIM(Table1[[#This Row],[ShippingAddress]]))</f>
        <v>165 Main St</v>
      </c>
      <c r="Q735" t="str">
        <f>PROPER(TRIM((Table1[[#This Row],[PaymentMethod]])))</f>
        <v>Cash</v>
      </c>
      <c r="R735" t="str">
        <f>PROPER(TRIM(Table1[[#This Row],[ReferralSource]]))</f>
        <v>Referral</v>
      </c>
      <c r="S735" s="5">
        <f>Table1[[#This Row],[TotalPrice]]/Table1[[#This Row],[ItemsInCart]]</f>
        <v>482.35833333333335</v>
      </c>
    </row>
    <row r="736" spans="1:19" x14ac:dyDescent="0.3">
      <c r="A736" t="s">
        <v>962</v>
      </c>
      <c r="B736" s="1">
        <v>45464</v>
      </c>
      <c r="C736" t="s">
        <v>1659</v>
      </c>
      <c r="D736" t="s">
        <v>2404</v>
      </c>
      <c r="E736">
        <v>2</v>
      </c>
      <c r="F736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>
        <v>2</v>
      </c>
      <c r="L736" t="s">
        <v>4283</v>
      </c>
      <c r="M736" t="s">
        <v>4282</v>
      </c>
      <c r="N736" s="5">
        <v>1188.1400000000001</v>
      </c>
      <c r="O736" t="str">
        <f>IF(ABS(Table1[[#This Row],[TotalPrice]]-Table1[[#This Row],[Quantity]]*Table1[[#This Row],[UnitPrice]]) &lt;0.01, "ok",)</f>
        <v>ok</v>
      </c>
      <c r="P736" t="str">
        <f>PROPER(TRIM(Table1[[#This Row],[ShippingAddress]]))</f>
        <v>739 Main St</v>
      </c>
      <c r="Q736" t="str">
        <f>PROPER(TRIM((Table1[[#This Row],[PaymentMethod]])))</f>
        <v>Gift Card</v>
      </c>
      <c r="R736" t="str">
        <f>PROPER(TRIM(Table1[[#This Row],[ReferralSource]]))</f>
        <v>Google</v>
      </c>
      <c r="S736" s="5">
        <f>Table1[[#This Row],[TotalPrice]]/Table1[[#This Row],[ItemsInCart]]</f>
        <v>594.07000000000005</v>
      </c>
    </row>
    <row r="737" spans="1:19" x14ac:dyDescent="0.3">
      <c r="A737" t="s">
        <v>715</v>
      </c>
      <c r="B737" s="1">
        <v>45466</v>
      </c>
      <c r="C737" t="s">
        <v>1913</v>
      </c>
      <c r="D737" t="s">
        <v>2403</v>
      </c>
      <c r="E737">
        <v>3</v>
      </c>
      <c r="F737">
        <v>92.22</v>
      </c>
      <c r="G737" t="s">
        <v>2517</v>
      </c>
      <c r="H737" t="s">
        <v>3067</v>
      </c>
      <c r="I737" t="s">
        <v>3073</v>
      </c>
      <c r="J737" t="s">
        <v>3776</v>
      </c>
      <c r="K737">
        <v>5</v>
      </c>
      <c r="L737" t="s">
        <v>4276</v>
      </c>
      <c r="M737" t="s">
        <v>4280</v>
      </c>
      <c r="N737" s="5">
        <v>276.66000000000003</v>
      </c>
      <c r="O737" t="str">
        <f>IF(ABS(Table1[[#This Row],[TotalPrice]]-Table1[[#This Row],[Quantity]]*Table1[[#This Row],[UnitPrice]]) &lt;0.01, "ok",)</f>
        <v>ok</v>
      </c>
      <c r="P737" t="str">
        <f>PROPER(TRIM(Table1[[#This Row],[ShippingAddress]]))</f>
        <v>115 Main St</v>
      </c>
      <c r="Q737" t="str">
        <f>PROPER(TRIM((Table1[[#This Row],[PaymentMethod]])))</f>
        <v>Credit Card</v>
      </c>
      <c r="R737" t="str">
        <f>PROPER(TRIM(Table1[[#This Row],[ReferralSource]]))</f>
        <v>Email</v>
      </c>
      <c r="S737" s="5">
        <f>Table1[[#This Row],[TotalPrice]]/Table1[[#This Row],[ItemsInCart]]</f>
        <v>55.332000000000008</v>
      </c>
    </row>
    <row r="738" spans="1:19" x14ac:dyDescent="0.3">
      <c r="A738" t="s">
        <v>1154</v>
      </c>
      <c r="B738" s="1">
        <v>45467</v>
      </c>
      <c r="C738" t="s">
        <v>2343</v>
      </c>
      <c r="D738" t="s">
        <v>2407</v>
      </c>
      <c r="E738">
        <v>2</v>
      </c>
      <c r="F738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>
        <v>3</v>
      </c>
      <c r="L738" t="s">
        <v>4283</v>
      </c>
      <c r="M738" t="s">
        <v>4279</v>
      </c>
      <c r="N738" s="5">
        <v>1105.6600000000001</v>
      </c>
      <c r="O738" t="str">
        <f>IF(ABS(Table1[[#This Row],[TotalPrice]]-Table1[[#This Row],[Quantity]]*Table1[[#This Row],[UnitPrice]]) &lt;0.01, "ok",)</f>
        <v>ok</v>
      </c>
      <c r="P738" t="str">
        <f>PROPER(TRIM(Table1[[#This Row],[ShippingAddress]]))</f>
        <v>904 Main St</v>
      </c>
      <c r="Q738" t="str">
        <f>PROPER(TRIM((Table1[[#This Row],[PaymentMethod]])))</f>
        <v>Credit Card</v>
      </c>
      <c r="R738" t="str">
        <f>PROPER(TRIM(Table1[[#This Row],[ReferralSource]]))</f>
        <v>Referral</v>
      </c>
      <c r="S738" s="5">
        <f>Table1[[#This Row],[TotalPrice]]/Table1[[#This Row],[ItemsInCart]]</f>
        <v>368.55333333333334</v>
      </c>
    </row>
    <row r="739" spans="1:19" x14ac:dyDescent="0.3">
      <c r="A739" t="s">
        <v>992</v>
      </c>
      <c r="B739" s="1">
        <v>45468</v>
      </c>
      <c r="C739" t="s">
        <v>2185</v>
      </c>
      <c r="D739" t="s">
        <v>2407</v>
      </c>
      <c r="E739">
        <v>4</v>
      </c>
      <c r="F739">
        <v>107.49</v>
      </c>
      <c r="G739" t="s">
        <v>2887</v>
      </c>
      <c r="H739" t="s">
        <v>3069</v>
      </c>
      <c r="I739" t="s">
        <v>3073</v>
      </c>
      <c r="J739" t="s">
        <v>4053</v>
      </c>
      <c r="K739">
        <v>5</v>
      </c>
      <c r="L739" t="s">
        <v>4283</v>
      </c>
      <c r="M739" t="s">
        <v>4282</v>
      </c>
      <c r="N739" s="5">
        <v>429.96</v>
      </c>
      <c r="O739" t="str">
        <f>IF(ABS(Table1[[#This Row],[TotalPrice]]-Table1[[#This Row],[Quantity]]*Table1[[#This Row],[UnitPrice]]) &lt;0.01, "ok",)</f>
        <v>ok</v>
      </c>
      <c r="P739" t="str">
        <f>PROPER(TRIM(Table1[[#This Row],[ShippingAddress]]))</f>
        <v>993 Main St</v>
      </c>
      <c r="Q739" t="str">
        <f>PROPER(TRIM((Table1[[#This Row],[PaymentMethod]])))</f>
        <v>Cash</v>
      </c>
      <c r="R739" t="str">
        <f>PROPER(TRIM(Table1[[#This Row],[ReferralSource]]))</f>
        <v>Google</v>
      </c>
      <c r="S739" s="5">
        <f>Table1[[#This Row],[TotalPrice]]/Table1[[#This Row],[ItemsInCart]]</f>
        <v>85.99199999999999</v>
      </c>
    </row>
    <row r="740" spans="1:19" x14ac:dyDescent="0.3">
      <c r="A740" t="s">
        <v>1162</v>
      </c>
      <c r="B740" s="1">
        <v>45468</v>
      </c>
      <c r="C740" t="s">
        <v>2351</v>
      </c>
      <c r="D740" t="s">
        <v>2404</v>
      </c>
      <c r="E740">
        <v>1</v>
      </c>
      <c r="F740">
        <v>355.15</v>
      </c>
      <c r="G740" t="s">
        <v>3045</v>
      </c>
      <c r="H740" t="s">
        <v>3069</v>
      </c>
      <c r="I740" t="s">
        <v>3072</v>
      </c>
      <c r="J740" t="s">
        <v>4223</v>
      </c>
      <c r="K740">
        <v>2</v>
      </c>
      <c r="L740" t="s">
        <v>4275</v>
      </c>
      <c r="M740" t="s">
        <v>4280</v>
      </c>
      <c r="N740" s="5">
        <v>355.15</v>
      </c>
      <c r="O740" t="str">
        <f>IF(ABS(Table1[[#This Row],[TotalPrice]]-Table1[[#This Row],[Quantity]]*Table1[[#This Row],[UnitPrice]]) &lt;0.01, "ok",)</f>
        <v>ok</v>
      </c>
      <c r="P740" t="str">
        <f>PROPER(TRIM(Table1[[#This Row],[ShippingAddress]]))</f>
        <v>442 Main St</v>
      </c>
      <c r="Q740" t="str">
        <f>PROPER(TRIM((Table1[[#This Row],[PaymentMethod]])))</f>
        <v>Cash</v>
      </c>
      <c r="R740" t="str">
        <f>PROPER(TRIM(Table1[[#This Row],[ReferralSource]]))</f>
        <v>Email</v>
      </c>
      <c r="S740" s="5">
        <f>Table1[[#This Row],[TotalPrice]]/Table1[[#This Row],[ItemsInCart]]</f>
        <v>177.57499999999999</v>
      </c>
    </row>
    <row r="741" spans="1:19" x14ac:dyDescent="0.3">
      <c r="A741" t="s">
        <v>60</v>
      </c>
      <c r="B741" s="1">
        <v>45469</v>
      </c>
      <c r="C741" t="s">
        <v>1260</v>
      </c>
      <c r="D741" t="s">
        <v>2403</v>
      </c>
      <c r="E741">
        <v>4</v>
      </c>
      <c r="F741">
        <v>550.14</v>
      </c>
      <c r="G741" t="s">
        <v>2454</v>
      </c>
      <c r="H741" t="s">
        <v>3065</v>
      </c>
      <c r="I741" t="s">
        <v>3074</v>
      </c>
      <c r="J741" t="s">
        <v>3121</v>
      </c>
      <c r="K741">
        <v>4</v>
      </c>
      <c r="L741" t="s">
        <v>4276</v>
      </c>
      <c r="M741" t="s">
        <v>4278</v>
      </c>
      <c r="N741" s="5">
        <v>2200.56</v>
      </c>
      <c r="O741" t="str">
        <f>IF(ABS(Table1[[#This Row],[TotalPrice]]-Table1[[#This Row],[Quantity]]*Table1[[#This Row],[UnitPrice]]) &lt;0.01, "ok",)</f>
        <v>ok</v>
      </c>
      <c r="P741" t="str">
        <f>PROPER(TRIM(Table1[[#This Row],[ShippingAddress]]))</f>
        <v>223 Main St</v>
      </c>
      <c r="Q741" t="str">
        <f>PROPER(TRIM((Table1[[#This Row],[PaymentMethod]])))</f>
        <v>Debit Card</v>
      </c>
      <c r="R741" t="str">
        <f>PROPER(TRIM(Table1[[#This Row],[ReferralSource]]))</f>
        <v>Instagram</v>
      </c>
      <c r="S741" s="5">
        <f>Table1[[#This Row],[TotalPrice]]/Table1[[#This Row],[ItemsInCart]]</f>
        <v>550.14</v>
      </c>
    </row>
    <row r="742" spans="1:19" x14ac:dyDescent="0.3">
      <c r="A742" t="s">
        <v>401</v>
      </c>
      <c r="B742" s="1">
        <v>45470</v>
      </c>
      <c r="C742" t="s">
        <v>1601</v>
      </c>
      <c r="D742" t="s">
        <v>2407</v>
      </c>
      <c r="E742">
        <v>2</v>
      </c>
      <c r="F742">
        <v>39.53</v>
      </c>
      <c r="G742" t="s">
        <v>2418</v>
      </c>
      <c r="H742" t="s">
        <v>3067</v>
      </c>
      <c r="I742" t="s">
        <v>3070</v>
      </c>
      <c r="J742" t="s">
        <v>3462</v>
      </c>
      <c r="K742">
        <v>3</v>
      </c>
      <c r="L742" t="s">
        <v>4277</v>
      </c>
      <c r="M742" t="s">
        <v>4282</v>
      </c>
      <c r="N742" s="5">
        <v>79.06</v>
      </c>
      <c r="O742" t="str">
        <f>IF(ABS(Table1[[#This Row],[TotalPrice]]-Table1[[#This Row],[Quantity]]*Table1[[#This Row],[UnitPrice]]) &lt;0.01, "ok",)</f>
        <v>ok</v>
      </c>
      <c r="P742" t="str">
        <f>PROPER(TRIM(Table1[[#This Row],[ShippingAddress]]))</f>
        <v>904 Main St</v>
      </c>
      <c r="Q742" t="str">
        <f>PROPER(TRIM((Table1[[#This Row],[PaymentMethod]])))</f>
        <v>Credit Card</v>
      </c>
      <c r="R742" t="str">
        <f>PROPER(TRIM(Table1[[#This Row],[ReferralSource]]))</f>
        <v>Google</v>
      </c>
      <c r="S742" s="5">
        <f>Table1[[#This Row],[TotalPrice]]/Table1[[#This Row],[ItemsInCart]]</f>
        <v>26.353333333333335</v>
      </c>
    </row>
    <row r="743" spans="1:19" x14ac:dyDescent="0.3">
      <c r="A743" t="s">
        <v>770</v>
      </c>
      <c r="B743" s="1">
        <v>45470</v>
      </c>
      <c r="C743" t="s">
        <v>1967</v>
      </c>
      <c r="D743" t="s">
        <v>2404</v>
      </c>
      <c r="E743">
        <v>1</v>
      </c>
      <c r="F743">
        <v>283.69</v>
      </c>
      <c r="G743" t="s">
        <v>2464</v>
      </c>
      <c r="H743" t="s">
        <v>3068</v>
      </c>
      <c r="I743" t="s">
        <v>3070</v>
      </c>
      <c r="J743" t="s">
        <v>3831</v>
      </c>
      <c r="K743">
        <v>6</v>
      </c>
      <c r="L743" t="s">
        <v>4283</v>
      </c>
      <c r="M743" t="s">
        <v>4282</v>
      </c>
      <c r="N743" s="5">
        <v>283.69</v>
      </c>
      <c r="O743" t="str">
        <f>IF(ABS(Table1[[#This Row],[TotalPrice]]-Table1[[#This Row],[Quantity]]*Table1[[#This Row],[UnitPrice]]) &lt;0.01, "ok",)</f>
        <v>ok</v>
      </c>
      <c r="P743" t="str">
        <f>PROPER(TRIM(Table1[[#This Row],[ShippingAddress]]))</f>
        <v>202 Main St</v>
      </c>
      <c r="Q743" t="str">
        <f>PROPER(TRIM((Table1[[#This Row],[PaymentMethod]])))</f>
        <v>Gift Card</v>
      </c>
      <c r="R743" t="str">
        <f>PROPER(TRIM(Table1[[#This Row],[ReferralSource]]))</f>
        <v>Google</v>
      </c>
      <c r="S743" s="5">
        <f>Table1[[#This Row],[TotalPrice]]/Table1[[#This Row],[ItemsInCart]]</f>
        <v>47.281666666666666</v>
      </c>
    </row>
    <row r="744" spans="1:19" x14ac:dyDescent="0.3">
      <c r="A744" t="s">
        <v>1008</v>
      </c>
      <c r="B744" s="1">
        <v>45470</v>
      </c>
      <c r="C744" t="s">
        <v>2201</v>
      </c>
      <c r="D744" t="s">
        <v>2405</v>
      </c>
      <c r="E744">
        <v>4</v>
      </c>
      <c r="F744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 s="5">
        <v>2462.6</v>
      </c>
      <c r="O744" t="str">
        <f>IF(ABS(Table1[[#This Row],[TotalPrice]]-Table1[[#This Row],[Quantity]]*Table1[[#This Row],[UnitPrice]]) &lt;0.01, "ok",)</f>
        <v>ok</v>
      </c>
      <c r="P744" t="str">
        <f>PROPER(TRIM(Table1[[#This Row],[ShippingAddress]]))</f>
        <v>971 Main St</v>
      </c>
      <c r="Q744" t="str">
        <f>PROPER(TRIM((Table1[[#This Row],[PaymentMethod]])))</f>
        <v>Debit Card</v>
      </c>
      <c r="R744" t="str">
        <f>PROPER(TRIM(Table1[[#This Row],[ReferralSource]]))</f>
        <v>Google</v>
      </c>
      <c r="S744" s="5">
        <f>Table1[[#This Row],[TotalPrice]]/Table1[[#This Row],[ItemsInCart]]</f>
        <v>273.62222222222221</v>
      </c>
    </row>
    <row r="745" spans="1:19" x14ac:dyDescent="0.3">
      <c r="A745" t="s">
        <v>749</v>
      </c>
      <c r="B745" s="1">
        <v>45471</v>
      </c>
      <c r="C745" t="s">
        <v>1946</v>
      </c>
      <c r="D745" t="s">
        <v>2403</v>
      </c>
      <c r="E745">
        <v>4</v>
      </c>
      <c r="F745">
        <v>44.07</v>
      </c>
      <c r="G745" t="s">
        <v>2729</v>
      </c>
      <c r="H745" t="s">
        <v>3065</v>
      </c>
      <c r="I745" t="s">
        <v>3074</v>
      </c>
      <c r="J745" t="s">
        <v>3810</v>
      </c>
      <c r="K745">
        <v>6</v>
      </c>
      <c r="L745" t="s">
        <v>4283</v>
      </c>
      <c r="M745" t="s">
        <v>4280</v>
      </c>
      <c r="N745" s="5">
        <v>176.28</v>
      </c>
      <c r="O745" t="str">
        <f>IF(ABS(Table1[[#This Row],[TotalPrice]]-Table1[[#This Row],[Quantity]]*Table1[[#This Row],[UnitPrice]]) &lt;0.01, "ok",)</f>
        <v>ok</v>
      </c>
      <c r="P745" t="str">
        <f>PROPER(TRIM(Table1[[#This Row],[ShippingAddress]]))</f>
        <v>359 Main St</v>
      </c>
      <c r="Q745" t="str">
        <f>PROPER(TRIM((Table1[[#This Row],[PaymentMethod]])))</f>
        <v>Debit Card</v>
      </c>
      <c r="R745" t="str">
        <f>PROPER(TRIM(Table1[[#This Row],[ReferralSource]]))</f>
        <v>Email</v>
      </c>
      <c r="S745" s="5">
        <f>Table1[[#This Row],[TotalPrice]]/Table1[[#This Row],[ItemsInCart]]</f>
        <v>29.38</v>
      </c>
    </row>
    <row r="746" spans="1:19" x14ac:dyDescent="0.3">
      <c r="A746" t="s">
        <v>375</v>
      </c>
      <c r="B746" s="1">
        <v>45472</v>
      </c>
      <c r="C746" t="s">
        <v>1575</v>
      </c>
      <c r="D746" t="s">
        <v>2407</v>
      </c>
      <c r="E746">
        <v>5</v>
      </c>
      <c r="F746">
        <v>659.85</v>
      </c>
      <c r="G746" t="s">
        <v>2713</v>
      </c>
      <c r="H746" t="s">
        <v>3067</v>
      </c>
      <c r="I746" t="s">
        <v>3073</v>
      </c>
      <c r="J746" t="s">
        <v>3436</v>
      </c>
      <c r="K746">
        <v>9</v>
      </c>
      <c r="L746" t="s">
        <v>4275</v>
      </c>
      <c r="M746" t="s">
        <v>4281</v>
      </c>
      <c r="N746" s="5">
        <v>3299.25</v>
      </c>
      <c r="O746" t="str">
        <f>IF(ABS(Table1[[#This Row],[TotalPrice]]-Table1[[#This Row],[Quantity]]*Table1[[#This Row],[UnitPrice]]) &lt;0.01, "ok",)</f>
        <v>ok</v>
      </c>
      <c r="P746" t="str">
        <f>PROPER(TRIM(Table1[[#This Row],[ShippingAddress]]))</f>
        <v>197 Main St</v>
      </c>
      <c r="Q746" t="str">
        <f>PROPER(TRIM((Table1[[#This Row],[PaymentMethod]])))</f>
        <v>Credit Card</v>
      </c>
      <c r="R746" t="str">
        <f>PROPER(TRIM(Table1[[#This Row],[ReferralSource]]))</f>
        <v>Facebook</v>
      </c>
      <c r="S746" s="5">
        <f>Table1[[#This Row],[TotalPrice]]/Table1[[#This Row],[ItemsInCart]]</f>
        <v>366.58333333333331</v>
      </c>
    </row>
    <row r="747" spans="1:19" x14ac:dyDescent="0.3">
      <c r="A747" t="s">
        <v>882</v>
      </c>
      <c r="B747" s="1">
        <v>45472</v>
      </c>
      <c r="C747" t="s">
        <v>2078</v>
      </c>
      <c r="D747" t="s">
        <v>2403</v>
      </c>
      <c r="E747">
        <v>4</v>
      </c>
      <c r="F747">
        <v>316.32</v>
      </c>
      <c r="G747" t="s">
        <v>2961</v>
      </c>
      <c r="H747" t="s">
        <v>3065</v>
      </c>
      <c r="I747" t="s">
        <v>3073</v>
      </c>
      <c r="J747" t="s">
        <v>3943</v>
      </c>
      <c r="K747">
        <v>7</v>
      </c>
      <c r="L747" t="s">
        <v>4283</v>
      </c>
      <c r="M747" t="s">
        <v>4281</v>
      </c>
      <c r="N747" s="5">
        <v>1265.28</v>
      </c>
      <c r="O747" t="str">
        <f>IF(ABS(Table1[[#This Row],[TotalPrice]]-Table1[[#This Row],[Quantity]]*Table1[[#This Row],[UnitPrice]]) &lt;0.01, "ok",)</f>
        <v>ok</v>
      </c>
      <c r="P747" t="str">
        <f>PROPER(TRIM(Table1[[#This Row],[ShippingAddress]]))</f>
        <v>309 Main St</v>
      </c>
      <c r="Q747" t="str">
        <f>PROPER(TRIM((Table1[[#This Row],[PaymentMethod]])))</f>
        <v>Debit Card</v>
      </c>
      <c r="R747" t="str">
        <f>PROPER(TRIM(Table1[[#This Row],[ReferralSource]]))</f>
        <v>Facebook</v>
      </c>
      <c r="S747" s="5">
        <f>Table1[[#This Row],[TotalPrice]]/Table1[[#This Row],[ItemsInCart]]</f>
        <v>180.75428571428571</v>
      </c>
    </row>
    <row r="748" spans="1:19" x14ac:dyDescent="0.3">
      <c r="A748" t="s">
        <v>655</v>
      </c>
      <c r="B748" s="1">
        <v>45473</v>
      </c>
      <c r="C748" t="s">
        <v>1854</v>
      </c>
      <c r="D748" t="s">
        <v>2407</v>
      </c>
      <c r="E748">
        <v>4</v>
      </c>
      <c r="F748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>
        <v>9</v>
      </c>
      <c r="L748" t="s">
        <v>4277</v>
      </c>
      <c r="M748" t="s">
        <v>4282</v>
      </c>
      <c r="N748" s="5">
        <v>2270.2800000000002</v>
      </c>
      <c r="O748" t="str">
        <f>IF(ABS(Table1[[#This Row],[TotalPrice]]-Table1[[#This Row],[Quantity]]*Table1[[#This Row],[UnitPrice]]) &lt;0.01, "ok",)</f>
        <v>ok</v>
      </c>
      <c r="P748" t="str">
        <f>PROPER(TRIM(Table1[[#This Row],[ShippingAddress]]))</f>
        <v>814 Main St</v>
      </c>
      <c r="Q748" t="str">
        <f>PROPER(TRIM((Table1[[#This Row],[PaymentMethod]])))</f>
        <v>Debit Card</v>
      </c>
      <c r="R748" t="str">
        <f>PROPER(TRIM(Table1[[#This Row],[ReferralSource]]))</f>
        <v>Google</v>
      </c>
      <c r="S748" s="5">
        <f>Table1[[#This Row],[TotalPrice]]/Table1[[#This Row],[ItemsInCart]]</f>
        <v>252.25333333333336</v>
      </c>
    </row>
    <row r="749" spans="1:19" x14ac:dyDescent="0.3">
      <c r="A749" t="s">
        <v>340</v>
      </c>
      <c r="B749" s="1">
        <v>45474</v>
      </c>
      <c r="C749" t="s">
        <v>1540</v>
      </c>
      <c r="D749" t="s">
        <v>2408</v>
      </c>
      <c r="E749">
        <v>5</v>
      </c>
      <c r="F749">
        <v>670.48</v>
      </c>
      <c r="G749" t="s">
        <v>2429</v>
      </c>
      <c r="H749" t="s">
        <v>3068</v>
      </c>
      <c r="I749" t="s">
        <v>3072</v>
      </c>
      <c r="J749" t="s">
        <v>3401</v>
      </c>
      <c r="K749">
        <v>5</v>
      </c>
      <c r="L749" t="s">
        <v>4275</v>
      </c>
      <c r="M749" t="s">
        <v>4281</v>
      </c>
      <c r="N749" s="5">
        <v>3352.4</v>
      </c>
      <c r="O749" t="str">
        <f>IF(ABS(Table1[[#This Row],[TotalPrice]]-Table1[[#This Row],[Quantity]]*Table1[[#This Row],[UnitPrice]]) &lt;0.01, "ok",)</f>
        <v>ok</v>
      </c>
      <c r="P749" t="str">
        <f>PROPER(TRIM(Table1[[#This Row],[ShippingAddress]]))</f>
        <v>273 Main St</v>
      </c>
      <c r="Q749" t="str">
        <f>PROPER(TRIM((Table1[[#This Row],[PaymentMethod]])))</f>
        <v>Gift Card</v>
      </c>
      <c r="R749" t="str">
        <f>PROPER(TRIM(Table1[[#This Row],[ReferralSource]]))</f>
        <v>Facebook</v>
      </c>
      <c r="S749" s="5">
        <f>Table1[[#This Row],[TotalPrice]]/Table1[[#This Row],[ItemsInCart]]</f>
        <v>670.48</v>
      </c>
    </row>
    <row r="750" spans="1:19" x14ac:dyDescent="0.3">
      <c r="A750" t="s">
        <v>472</v>
      </c>
      <c r="B750" s="1">
        <v>45475</v>
      </c>
      <c r="C750" t="s">
        <v>1672</v>
      </c>
      <c r="D750" t="s">
        <v>2403</v>
      </c>
      <c r="E750">
        <v>4</v>
      </c>
      <c r="F750">
        <v>510.58</v>
      </c>
      <c r="G750" t="s">
        <v>2495</v>
      </c>
      <c r="H750" t="s">
        <v>3067</v>
      </c>
      <c r="I750" t="s">
        <v>3072</v>
      </c>
      <c r="J750" t="s">
        <v>3533</v>
      </c>
      <c r="K750">
        <v>7</v>
      </c>
      <c r="L750" t="s">
        <v>4277</v>
      </c>
      <c r="M750" t="s">
        <v>4280</v>
      </c>
      <c r="N750" s="5">
        <v>2042.32</v>
      </c>
      <c r="O750" t="str">
        <f>IF(ABS(Table1[[#This Row],[TotalPrice]]-Table1[[#This Row],[Quantity]]*Table1[[#This Row],[UnitPrice]]) &lt;0.01, "ok",)</f>
        <v>ok</v>
      </c>
      <c r="P750" t="str">
        <f>PROPER(TRIM(Table1[[#This Row],[ShippingAddress]]))</f>
        <v>196 Main St</v>
      </c>
      <c r="Q750" t="str">
        <f>PROPER(TRIM((Table1[[#This Row],[PaymentMethod]])))</f>
        <v>Credit Card</v>
      </c>
      <c r="R750" t="str">
        <f>PROPER(TRIM(Table1[[#This Row],[ReferralSource]]))</f>
        <v>Email</v>
      </c>
      <c r="S750" s="5">
        <f>Table1[[#This Row],[TotalPrice]]/Table1[[#This Row],[ItemsInCart]]</f>
        <v>291.76</v>
      </c>
    </row>
    <row r="751" spans="1:19" x14ac:dyDescent="0.3">
      <c r="A751" t="s">
        <v>545</v>
      </c>
      <c r="B751" s="1">
        <v>45475</v>
      </c>
      <c r="C751" t="s">
        <v>1745</v>
      </c>
      <c r="D751" t="s">
        <v>2409</v>
      </c>
      <c r="E751">
        <v>5</v>
      </c>
      <c r="F751">
        <v>320.01</v>
      </c>
      <c r="G751" t="s">
        <v>2805</v>
      </c>
      <c r="H751" t="s">
        <v>3068</v>
      </c>
      <c r="I751" t="s">
        <v>3073</v>
      </c>
      <c r="J751" t="s">
        <v>3606</v>
      </c>
      <c r="K751">
        <v>6</v>
      </c>
      <c r="L751" t="s">
        <v>4283</v>
      </c>
      <c r="M751" t="s">
        <v>4279</v>
      </c>
      <c r="N751" s="5">
        <v>1600.05</v>
      </c>
      <c r="O751" t="str">
        <f>IF(ABS(Table1[[#This Row],[TotalPrice]]-Table1[[#This Row],[Quantity]]*Table1[[#This Row],[UnitPrice]]) &lt;0.01, "ok",)</f>
        <v>ok</v>
      </c>
      <c r="P751" t="str">
        <f>PROPER(TRIM(Table1[[#This Row],[ShippingAddress]]))</f>
        <v>722 Main St</v>
      </c>
      <c r="Q751" t="str">
        <f>PROPER(TRIM((Table1[[#This Row],[PaymentMethod]])))</f>
        <v>Gift Card</v>
      </c>
      <c r="R751" t="str">
        <f>PROPER(TRIM(Table1[[#This Row],[ReferralSource]]))</f>
        <v>Referral</v>
      </c>
      <c r="S751" s="5">
        <f>Table1[[#This Row],[TotalPrice]]/Table1[[#This Row],[ItemsInCart]]</f>
        <v>266.67500000000001</v>
      </c>
    </row>
    <row r="752" spans="1:19" x14ac:dyDescent="0.3">
      <c r="A752" t="s">
        <v>346</v>
      </c>
      <c r="B752" s="1">
        <v>45476</v>
      </c>
      <c r="C752" t="s">
        <v>1546</v>
      </c>
      <c r="D752" t="s">
        <v>2409</v>
      </c>
      <c r="E752">
        <v>5</v>
      </c>
      <c r="F752">
        <v>125.02</v>
      </c>
      <c r="G752" t="s">
        <v>2686</v>
      </c>
      <c r="H752" t="s">
        <v>3065</v>
      </c>
      <c r="I752" t="s">
        <v>3074</v>
      </c>
      <c r="J752" t="s">
        <v>3407</v>
      </c>
      <c r="K752">
        <v>9</v>
      </c>
      <c r="L752" t="s">
        <v>4275</v>
      </c>
      <c r="M752" t="s">
        <v>4282</v>
      </c>
      <c r="N752" s="5">
        <v>625.1</v>
      </c>
      <c r="O752" t="str">
        <f>IF(ABS(Table1[[#This Row],[TotalPrice]]-Table1[[#This Row],[Quantity]]*Table1[[#This Row],[UnitPrice]]) &lt;0.01, "ok",)</f>
        <v>ok</v>
      </c>
      <c r="P752" t="str">
        <f>PROPER(TRIM(Table1[[#This Row],[ShippingAddress]]))</f>
        <v>607 Main St</v>
      </c>
      <c r="Q752" t="str">
        <f>PROPER(TRIM((Table1[[#This Row],[PaymentMethod]])))</f>
        <v>Debit Card</v>
      </c>
      <c r="R752" t="str">
        <f>PROPER(TRIM(Table1[[#This Row],[ReferralSource]]))</f>
        <v>Google</v>
      </c>
      <c r="S752" s="5">
        <f>Table1[[#This Row],[TotalPrice]]/Table1[[#This Row],[ItemsInCart]]</f>
        <v>69.455555555555563</v>
      </c>
    </row>
    <row r="753" spans="1:19" x14ac:dyDescent="0.3">
      <c r="A753" t="s">
        <v>725</v>
      </c>
      <c r="B753" s="1">
        <v>45477</v>
      </c>
      <c r="C753" t="s">
        <v>1923</v>
      </c>
      <c r="D753" t="s">
        <v>2405</v>
      </c>
      <c r="E753">
        <v>2</v>
      </c>
      <c r="F753">
        <v>475.78</v>
      </c>
      <c r="G753" t="s">
        <v>2886</v>
      </c>
      <c r="H753" t="s">
        <v>3066</v>
      </c>
      <c r="I753" t="s">
        <v>3070</v>
      </c>
      <c r="J753" t="s">
        <v>3786</v>
      </c>
      <c r="K753">
        <v>2</v>
      </c>
      <c r="L753" t="s">
        <v>4277</v>
      </c>
      <c r="M753" t="s">
        <v>4282</v>
      </c>
      <c r="N753" s="5">
        <v>951.56</v>
      </c>
      <c r="O753" t="str">
        <f>IF(ABS(Table1[[#This Row],[TotalPrice]]-Table1[[#This Row],[Quantity]]*Table1[[#This Row],[UnitPrice]]) &lt;0.01, "ok",)</f>
        <v>ok</v>
      </c>
      <c r="P753" t="str">
        <f>PROPER(TRIM(Table1[[#This Row],[ShippingAddress]]))</f>
        <v>632 Main St</v>
      </c>
      <c r="Q753" t="str">
        <f>PROPER(TRIM((Table1[[#This Row],[PaymentMethod]])))</f>
        <v>Online</v>
      </c>
      <c r="R753" t="str">
        <f>PROPER(TRIM(Table1[[#This Row],[ReferralSource]]))</f>
        <v>Google</v>
      </c>
      <c r="S753" s="5">
        <f>Table1[[#This Row],[TotalPrice]]/Table1[[#This Row],[ItemsInCart]]</f>
        <v>475.78</v>
      </c>
    </row>
    <row r="754" spans="1:19" x14ac:dyDescent="0.3">
      <c r="A754" t="s">
        <v>860</v>
      </c>
      <c r="B754" s="1">
        <v>45477</v>
      </c>
      <c r="C754" t="s">
        <v>2056</v>
      </c>
      <c r="D754" t="s">
        <v>2409</v>
      </c>
      <c r="E754">
        <v>2</v>
      </c>
      <c r="F754">
        <v>359.86</v>
      </c>
      <c r="G754" t="s">
        <v>2954</v>
      </c>
      <c r="H754" t="s">
        <v>3065</v>
      </c>
      <c r="I754" t="s">
        <v>3071</v>
      </c>
      <c r="J754" t="s">
        <v>3921</v>
      </c>
      <c r="K754">
        <v>4</v>
      </c>
      <c r="L754" t="s">
        <v>4283</v>
      </c>
      <c r="M754" t="s">
        <v>4279</v>
      </c>
      <c r="N754" s="5">
        <v>719.72</v>
      </c>
      <c r="O754" t="str">
        <f>IF(ABS(Table1[[#This Row],[TotalPrice]]-Table1[[#This Row],[Quantity]]*Table1[[#This Row],[UnitPrice]]) &lt;0.01, "ok",)</f>
        <v>ok</v>
      </c>
      <c r="P754" t="str">
        <f>PROPER(TRIM(Table1[[#This Row],[ShippingAddress]]))</f>
        <v>646 Main St</v>
      </c>
      <c r="Q754" t="str">
        <f>PROPER(TRIM((Table1[[#This Row],[PaymentMethod]])))</f>
        <v>Debit Card</v>
      </c>
      <c r="R754" t="str">
        <f>PROPER(TRIM(Table1[[#This Row],[ReferralSource]]))</f>
        <v>Referral</v>
      </c>
      <c r="S754" s="5">
        <f>Table1[[#This Row],[TotalPrice]]/Table1[[#This Row],[ItemsInCart]]</f>
        <v>179.93</v>
      </c>
    </row>
    <row r="755" spans="1:19" x14ac:dyDescent="0.3">
      <c r="A755" t="s">
        <v>682</v>
      </c>
      <c r="B755" s="1">
        <v>45478</v>
      </c>
      <c r="C755" t="s">
        <v>1880</v>
      </c>
      <c r="D755" t="s">
        <v>2403</v>
      </c>
      <c r="E755">
        <v>2</v>
      </c>
      <c r="F755">
        <v>253.67</v>
      </c>
      <c r="G755" t="s">
        <v>2549</v>
      </c>
      <c r="H755" t="s">
        <v>3069</v>
      </c>
      <c r="I755" t="s">
        <v>3072</v>
      </c>
      <c r="J755" t="s">
        <v>3743</v>
      </c>
      <c r="K755">
        <v>3</v>
      </c>
      <c r="L755" t="s">
        <v>4277</v>
      </c>
      <c r="M755" t="s">
        <v>4281</v>
      </c>
      <c r="N755" s="5">
        <v>507.34</v>
      </c>
      <c r="O755" t="str">
        <f>IF(ABS(Table1[[#This Row],[TotalPrice]]-Table1[[#This Row],[Quantity]]*Table1[[#This Row],[UnitPrice]]) &lt;0.01, "ok",)</f>
        <v>ok</v>
      </c>
      <c r="P755" t="str">
        <f>PROPER(TRIM(Table1[[#This Row],[ShippingAddress]]))</f>
        <v>981 Main St</v>
      </c>
      <c r="Q755" t="str">
        <f>PROPER(TRIM((Table1[[#This Row],[PaymentMethod]])))</f>
        <v>Cash</v>
      </c>
      <c r="R755" t="str">
        <f>PROPER(TRIM(Table1[[#This Row],[ReferralSource]]))</f>
        <v>Facebook</v>
      </c>
      <c r="S755" s="5">
        <f>Table1[[#This Row],[TotalPrice]]/Table1[[#This Row],[ItemsInCart]]</f>
        <v>169.11333333333332</v>
      </c>
    </row>
    <row r="756" spans="1:19" x14ac:dyDescent="0.3">
      <c r="A756" t="s">
        <v>1199</v>
      </c>
      <c r="B756" s="1">
        <v>45481</v>
      </c>
      <c r="C756" t="s">
        <v>2388</v>
      </c>
      <c r="D756" t="s">
        <v>2406</v>
      </c>
      <c r="E756">
        <v>1</v>
      </c>
      <c r="F756">
        <v>343.31</v>
      </c>
      <c r="G756" t="s">
        <v>3057</v>
      </c>
      <c r="H756" t="s">
        <v>3068</v>
      </c>
      <c r="I756" t="s">
        <v>3072</v>
      </c>
      <c r="J756" t="s">
        <v>4260</v>
      </c>
      <c r="K756">
        <v>6</v>
      </c>
      <c r="L756" t="s">
        <v>4275</v>
      </c>
      <c r="M756" t="s">
        <v>4282</v>
      </c>
      <c r="N756" s="5">
        <v>343.31</v>
      </c>
      <c r="O756" t="str">
        <f>IF(ABS(Table1[[#This Row],[TotalPrice]]-Table1[[#This Row],[Quantity]]*Table1[[#This Row],[UnitPrice]]) &lt;0.01, "ok",)</f>
        <v>ok</v>
      </c>
      <c r="P756" t="str">
        <f>PROPER(TRIM(Table1[[#This Row],[ShippingAddress]]))</f>
        <v>777 Main St</v>
      </c>
      <c r="Q756" t="str">
        <f>PROPER(TRIM((Table1[[#This Row],[PaymentMethod]])))</f>
        <v>Gift Card</v>
      </c>
      <c r="R756" t="str">
        <f>PROPER(TRIM(Table1[[#This Row],[ReferralSource]]))</f>
        <v>Google</v>
      </c>
      <c r="S756" s="5">
        <f>Table1[[#This Row],[TotalPrice]]/Table1[[#This Row],[ItemsInCart]]</f>
        <v>57.218333333333334</v>
      </c>
    </row>
    <row r="757" spans="1:19" x14ac:dyDescent="0.3">
      <c r="A757" t="s">
        <v>1097</v>
      </c>
      <c r="B757" s="1">
        <v>45482</v>
      </c>
      <c r="C757" t="s">
        <v>2289</v>
      </c>
      <c r="D757" t="s">
        <v>2406</v>
      </c>
      <c r="E757">
        <v>1</v>
      </c>
      <c r="F757">
        <v>123.28</v>
      </c>
      <c r="G757" t="s">
        <v>2440</v>
      </c>
      <c r="H757" t="s">
        <v>3067</v>
      </c>
      <c r="I757" t="s">
        <v>3073</v>
      </c>
      <c r="J757" t="s">
        <v>4158</v>
      </c>
      <c r="K757">
        <v>3</v>
      </c>
      <c r="L757" t="s">
        <v>4275</v>
      </c>
      <c r="M757" t="s">
        <v>4280</v>
      </c>
      <c r="N757" s="5">
        <v>123.28</v>
      </c>
      <c r="O757" t="str">
        <f>IF(ABS(Table1[[#This Row],[TotalPrice]]-Table1[[#This Row],[Quantity]]*Table1[[#This Row],[UnitPrice]]) &lt;0.01, "ok",)</f>
        <v>ok</v>
      </c>
      <c r="P757" t="str">
        <f>PROPER(TRIM(Table1[[#This Row],[ShippingAddress]]))</f>
        <v>895 Main St</v>
      </c>
      <c r="Q757" t="str">
        <f>PROPER(TRIM((Table1[[#This Row],[PaymentMethod]])))</f>
        <v>Credit Card</v>
      </c>
      <c r="R757" t="str">
        <f>PROPER(TRIM(Table1[[#This Row],[ReferralSource]]))</f>
        <v>Email</v>
      </c>
      <c r="S757" s="5">
        <f>Table1[[#This Row],[TotalPrice]]/Table1[[#This Row],[ItemsInCart]]</f>
        <v>41.093333333333334</v>
      </c>
    </row>
    <row r="758" spans="1:19" x14ac:dyDescent="0.3">
      <c r="A758" t="s">
        <v>704</v>
      </c>
      <c r="B758" s="1">
        <v>45485</v>
      </c>
      <c r="C758" t="s">
        <v>1902</v>
      </c>
      <c r="D758" t="s">
        <v>2403</v>
      </c>
      <c r="E758">
        <v>1</v>
      </c>
      <c r="F758">
        <v>24.48</v>
      </c>
      <c r="G758" t="s">
        <v>2445</v>
      </c>
      <c r="H758" t="s">
        <v>3068</v>
      </c>
      <c r="I758" t="s">
        <v>3072</v>
      </c>
      <c r="J758" t="s">
        <v>3765</v>
      </c>
      <c r="K758">
        <v>1</v>
      </c>
      <c r="L758" t="s">
        <v>4283</v>
      </c>
      <c r="M758" t="s">
        <v>4278</v>
      </c>
      <c r="N758" s="5">
        <v>24.48</v>
      </c>
      <c r="O758" t="str">
        <f>IF(ABS(Table1[[#This Row],[TotalPrice]]-Table1[[#This Row],[Quantity]]*Table1[[#This Row],[UnitPrice]]) &lt;0.01, "ok",)</f>
        <v>ok</v>
      </c>
      <c r="P758" t="str">
        <f>PROPER(TRIM(Table1[[#This Row],[ShippingAddress]]))</f>
        <v>128 Main St</v>
      </c>
      <c r="Q758" t="str">
        <f>PROPER(TRIM((Table1[[#This Row],[PaymentMethod]])))</f>
        <v>Gift Card</v>
      </c>
      <c r="R758" t="str">
        <f>PROPER(TRIM(Table1[[#This Row],[ReferralSource]]))</f>
        <v>Instagram</v>
      </c>
      <c r="S758" s="5">
        <f>Table1[[#This Row],[TotalPrice]]/Table1[[#This Row],[ItemsInCart]]</f>
        <v>24.48</v>
      </c>
    </row>
    <row r="759" spans="1:19" x14ac:dyDescent="0.3">
      <c r="A759" t="s">
        <v>916</v>
      </c>
      <c r="B759" s="1">
        <v>45486</v>
      </c>
      <c r="C759" t="s">
        <v>2112</v>
      </c>
      <c r="D759" t="s">
        <v>2403</v>
      </c>
      <c r="E759">
        <v>4</v>
      </c>
      <c r="F759">
        <v>180.25</v>
      </c>
      <c r="G759" t="s">
        <v>2469</v>
      </c>
      <c r="H759" t="s">
        <v>3065</v>
      </c>
      <c r="I759" t="s">
        <v>3071</v>
      </c>
      <c r="J759" t="s">
        <v>3977</v>
      </c>
      <c r="K759">
        <v>7</v>
      </c>
      <c r="L759" t="s">
        <v>4283</v>
      </c>
      <c r="M759" t="s">
        <v>4281</v>
      </c>
      <c r="N759" s="5">
        <v>721</v>
      </c>
      <c r="O759" t="str">
        <f>IF(ABS(Table1[[#This Row],[TotalPrice]]-Table1[[#This Row],[Quantity]]*Table1[[#This Row],[UnitPrice]]) &lt;0.01, "ok",)</f>
        <v>ok</v>
      </c>
      <c r="P759" t="str">
        <f>PROPER(TRIM(Table1[[#This Row],[ShippingAddress]]))</f>
        <v>813 Main St</v>
      </c>
      <c r="Q759" t="str">
        <f>PROPER(TRIM((Table1[[#This Row],[PaymentMethod]])))</f>
        <v>Debit Card</v>
      </c>
      <c r="R759" t="str">
        <f>PROPER(TRIM(Table1[[#This Row],[ReferralSource]]))</f>
        <v>Facebook</v>
      </c>
      <c r="S759" s="5">
        <f>Table1[[#This Row],[TotalPrice]]/Table1[[#This Row],[ItemsInCart]]</f>
        <v>103</v>
      </c>
    </row>
    <row r="760" spans="1:19" x14ac:dyDescent="0.3">
      <c r="A760" t="s">
        <v>407</v>
      </c>
      <c r="B760" s="1">
        <v>45487</v>
      </c>
      <c r="C760" t="s">
        <v>1607</v>
      </c>
      <c r="D760" t="s">
        <v>2407</v>
      </c>
      <c r="E760">
        <v>1</v>
      </c>
      <c r="F760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>
        <v>3</v>
      </c>
      <c r="L760" t="s">
        <v>4283</v>
      </c>
      <c r="M760" t="s">
        <v>4282</v>
      </c>
      <c r="N760" s="5">
        <v>75.010000000000005</v>
      </c>
      <c r="O760" t="str">
        <f>IF(ABS(Table1[[#This Row],[TotalPrice]]-Table1[[#This Row],[Quantity]]*Table1[[#This Row],[UnitPrice]]) &lt;0.01, "ok",)</f>
        <v>ok</v>
      </c>
      <c r="P760" t="str">
        <f>PROPER(TRIM(Table1[[#This Row],[ShippingAddress]]))</f>
        <v>921 Main St</v>
      </c>
      <c r="Q760" t="str">
        <f>PROPER(TRIM((Table1[[#This Row],[PaymentMethod]])))</f>
        <v>Credit Card</v>
      </c>
      <c r="R760" t="str">
        <f>PROPER(TRIM(Table1[[#This Row],[ReferralSource]]))</f>
        <v>Google</v>
      </c>
      <c r="S760" s="5">
        <f>Table1[[#This Row],[TotalPrice]]/Table1[[#This Row],[ItemsInCart]]</f>
        <v>25.003333333333334</v>
      </c>
    </row>
    <row r="761" spans="1:19" x14ac:dyDescent="0.3">
      <c r="A761" t="s">
        <v>762</v>
      </c>
      <c r="B761" s="1">
        <v>45488</v>
      </c>
      <c r="C761" t="s">
        <v>1959</v>
      </c>
      <c r="D761" t="s">
        <v>2405</v>
      </c>
      <c r="E761">
        <v>3</v>
      </c>
      <c r="F761">
        <v>70.81</v>
      </c>
      <c r="G761" t="s">
        <v>2789</v>
      </c>
      <c r="H761" t="s">
        <v>3067</v>
      </c>
      <c r="I761" t="s">
        <v>3070</v>
      </c>
      <c r="J761" t="s">
        <v>3823</v>
      </c>
      <c r="K761">
        <v>8</v>
      </c>
      <c r="L761" t="s">
        <v>4276</v>
      </c>
      <c r="M761" t="s">
        <v>4279</v>
      </c>
      <c r="N761" s="5">
        <v>212.43</v>
      </c>
      <c r="O761" t="str">
        <f>IF(ABS(Table1[[#This Row],[TotalPrice]]-Table1[[#This Row],[Quantity]]*Table1[[#This Row],[UnitPrice]]) &lt;0.01, "ok",)</f>
        <v>ok</v>
      </c>
      <c r="P761" t="str">
        <f>PROPER(TRIM(Table1[[#This Row],[ShippingAddress]]))</f>
        <v>249 Main St</v>
      </c>
      <c r="Q761" t="str">
        <f>PROPER(TRIM((Table1[[#This Row],[PaymentMethod]])))</f>
        <v>Credit Card</v>
      </c>
      <c r="R761" t="str">
        <f>PROPER(TRIM(Table1[[#This Row],[ReferralSource]]))</f>
        <v>Referral</v>
      </c>
      <c r="S761" s="5">
        <f>Table1[[#This Row],[TotalPrice]]/Table1[[#This Row],[ItemsInCart]]</f>
        <v>26.553750000000001</v>
      </c>
    </row>
    <row r="762" spans="1:19" x14ac:dyDescent="0.3">
      <c r="A762" t="s">
        <v>572</v>
      </c>
      <c r="B762" s="1">
        <v>45489</v>
      </c>
      <c r="C762" t="s">
        <v>1772</v>
      </c>
      <c r="D762" t="s">
        <v>2404</v>
      </c>
      <c r="E762">
        <v>4</v>
      </c>
      <c r="F762">
        <v>628.12</v>
      </c>
      <c r="G762" t="s">
        <v>2819</v>
      </c>
      <c r="H762" t="s">
        <v>3066</v>
      </c>
      <c r="I762" t="s">
        <v>3073</v>
      </c>
      <c r="J762" t="s">
        <v>3633</v>
      </c>
      <c r="K762">
        <v>6</v>
      </c>
      <c r="L762" t="s">
        <v>4277</v>
      </c>
      <c r="M762" t="s">
        <v>4278</v>
      </c>
      <c r="N762" s="5">
        <v>2512.48</v>
      </c>
      <c r="O762" t="str">
        <f>IF(ABS(Table1[[#This Row],[TotalPrice]]-Table1[[#This Row],[Quantity]]*Table1[[#This Row],[UnitPrice]]) &lt;0.01, "ok",)</f>
        <v>ok</v>
      </c>
      <c r="P762" t="str">
        <f>PROPER(TRIM(Table1[[#This Row],[ShippingAddress]]))</f>
        <v>485 Main St</v>
      </c>
      <c r="Q762" t="str">
        <f>PROPER(TRIM((Table1[[#This Row],[PaymentMethod]])))</f>
        <v>Online</v>
      </c>
      <c r="R762" t="str">
        <f>PROPER(TRIM(Table1[[#This Row],[ReferralSource]]))</f>
        <v>Instagram</v>
      </c>
      <c r="S762" s="5">
        <f>Table1[[#This Row],[TotalPrice]]/Table1[[#This Row],[ItemsInCart]]</f>
        <v>418.74666666666667</v>
      </c>
    </row>
    <row r="763" spans="1:19" x14ac:dyDescent="0.3">
      <c r="A763" t="s">
        <v>633</v>
      </c>
      <c r="B763" s="1">
        <v>45489</v>
      </c>
      <c r="C763" t="s">
        <v>1832</v>
      </c>
      <c r="D763" t="s">
        <v>2408</v>
      </c>
      <c r="E763">
        <v>1</v>
      </c>
      <c r="F763">
        <v>532.89</v>
      </c>
      <c r="G763" t="s">
        <v>2783</v>
      </c>
      <c r="H763" t="s">
        <v>3068</v>
      </c>
      <c r="I763" t="s">
        <v>3074</v>
      </c>
      <c r="J763" t="s">
        <v>3694</v>
      </c>
      <c r="K763">
        <v>2</v>
      </c>
      <c r="L763" t="s">
        <v>4283</v>
      </c>
      <c r="M763" t="s">
        <v>4279</v>
      </c>
      <c r="N763" s="5">
        <v>532.89</v>
      </c>
      <c r="O763" t="str">
        <f>IF(ABS(Table1[[#This Row],[TotalPrice]]-Table1[[#This Row],[Quantity]]*Table1[[#This Row],[UnitPrice]]) &lt;0.01, "ok",)</f>
        <v>ok</v>
      </c>
      <c r="P763" t="str">
        <f>PROPER(TRIM(Table1[[#This Row],[ShippingAddress]]))</f>
        <v>764 Main St</v>
      </c>
      <c r="Q763" t="str">
        <f>PROPER(TRIM((Table1[[#This Row],[PaymentMethod]])))</f>
        <v>Gift Card</v>
      </c>
      <c r="R763" t="str">
        <f>PROPER(TRIM(Table1[[#This Row],[ReferralSource]]))</f>
        <v>Referral</v>
      </c>
      <c r="S763" s="5">
        <f>Table1[[#This Row],[TotalPrice]]/Table1[[#This Row],[ItemsInCart]]</f>
        <v>266.44499999999999</v>
      </c>
    </row>
    <row r="764" spans="1:19" x14ac:dyDescent="0.3">
      <c r="A764" t="s">
        <v>544</v>
      </c>
      <c r="B764" s="1">
        <v>45491</v>
      </c>
      <c r="C764" t="s">
        <v>1744</v>
      </c>
      <c r="D764" t="s">
        <v>2406</v>
      </c>
      <c r="E764">
        <v>4</v>
      </c>
      <c r="F764">
        <v>89.41</v>
      </c>
      <c r="G764" t="s">
        <v>2804</v>
      </c>
      <c r="H764" t="s">
        <v>3066</v>
      </c>
      <c r="I764" t="s">
        <v>3074</v>
      </c>
      <c r="J764" t="s">
        <v>3605</v>
      </c>
      <c r="K764">
        <v>9</v>
      </c>
      <c r="L764" t="s">
        <v>4283</v>
      </c>
      <c r="M764" t="s">
        <v>4282</v>
      </c>
      <c r="N764" s="5">
        <v>357.64</v>
      </c>
      <c r="O764" t="str">
        <f>IF(ABS(Table1[[#This Row],[TotalPrice]]-Table1[[#This Row],[Quantity]]*Table1[[#This Row],[UnitPrice]]) &lt;0.01, "ok",)</f>
        <v>ok</v>
      </c>
      <c r="P764" t="str">
        <f>PROPER(TRIM(Table1[[#This Row],[ShippingAddress]]))</f>
        <v>613 Main St</v>
      </c>
      <c r="Q764" t="str">
        <f>PROPER(TRIM((Table1[[#This Row],[PaymentMethod]])))</f>
        <v>Online</v>
      </c>
      <c r="R764" t="str">
        <f>PROPER(TRIM(Table1[[#This Row],[ReferralSource]]))</f>
        <v>Google</v>
      </c>
      <c r="S764" s="5">
        <f>Table1[[#This Row],[TotalPrice]]/Table1[[#This Row],[ItemsInCart]]</f>
        <v>39.737777777777779</v>
      </c>
    </row>
    <row r="765" spans="1:19" x14ac:dyDescent="0.3">
      <c r="A765" t="s">
        <v>1063</v>
      </c>
      <c r="B765" s="1">
        <v>45491</v>
      </c>
      <c r="C765" t="s">
        <v>2255</v>
      </c>
      <c r="D765" t="s">
        <v>2409</v>
      </c>
      <c r="E765">
        <v>5</v>
      </c>
      <c r="F765">
        <v>391.86</v>
      </c>
      <c r="G765" t="s">
        <v>2430</v>
      </c>
      <c r="H765" t="s">
        <v>3067</v>
      </c>
      <c r="I765" t="s">
        <v>3070</v>
      </c>
      <c r="J765" t="s">
        <v>4124</v>
      </c>
      <c r="K765">
        <v>6</v>
      </c>
      <c r="L765" t="s">
        <v>4283</v>
      </c>
      <c r="M765" t="s">
        <v>4278</v>
      </c>
      <c r="N765" s="5">
        <v>1959.3</v>
      </c>
      <c r="O765" t="str">
        <f>IF(ABS(Table1[[#This Row],[TotalPrice]]-Table1[[#This Row],[Quantity]]*Table1[[#This Row],[UnitPrice]]) &lt;0.01, "ok",)</f>
        <v>ok</v>
      </c>
      <c r="P765" t="str">
        <f>PROPER(TRIM(Table1[[#This Row],[ShippingAddress]]))</f>
        <v>587 Main St</v>
      </c>
      <c r="Q765" t="str">
        <f>PROPER(TRIM((Table1[[#This Row],[PaymentMethod]])))</f>
        <v>Credit Card</v>
      </c>
      <c r="R765" t="str">
        <f>PROPER(TRIM(Table1[[#This Row],[ReferralSource]]))</f>
        <v>Instagram</v>
      </c>
      <c r="S765" s="5">
        <f>Table1[[#This Row],[TotalPrice]]/Table1[[#This Row],[ItemsInCart]]</f>
        <v>326.55</v>
      </c>
    </row>
    <row r="766" spans="1:19" x14ac:dyDescent="0.3">
      <c r="A766" t="s">
        <v>1145</v>
      </c>
      <c r="B766" s="1">
        <v>45491</v>
      </c>
      <c r="C766" t="s">
        <v>2335</v>
      </c>
      <c r="D766" t="s">
        <v>2404</v>
      </c>
      <c r="E766">
        <v>1</v>
      </c>
      <c r="F766">
        <v>694.5</v>
      </c>
      <c r="G766" t="s">
        <v>2651</v>
      </c>
      <c r="H766" t="s">
        <v>3067</v>
      </c>
      <c r="I766" t="s">
        <v>3074</v>
      </c>
      <c r="J766" t="s">
        <v>4206</v>
      </c>
      <c r="K766">
        <v>3</v>
      </c>
      <c r="L766" t="s">
        <v>4277</v>
      </c>
      <c r="M766" t="s">
        <v>4281</v>
      </c>
      <c r="N766" s="5">
        <v>694.5</v>
      </c>
      <c r="O766" t="str">
        <f>IF(ABS(Table1[[#This Row],[TotalPrice]]-Table1[[#This Row],[Quantity]]*Table1[[#This Row],[UnitPrice]]) &lt;0.01, "ok",)</f>
        <v>ok</v>
      </c>
      <c r="P766" t="str">
        <f>PROPER(TRIM(Table1[[#This Row],[ShippingAddress]]))</f>
        <v>195 Main St</v>
      </c>
      <c r="Q766" t="str">
        <f>PROPER(TRIM((Table1[[#This Row],[PaymentMethod]])))</f>
        <v>Credit Card</v>
      </c>
      <c r="R766" t="str">
        <f>PROPER(TRIM(Table1[[#This Row],[ReferralSource]]))</f>
        <v>Facebook</v>
      </c>
      <c r="S766" s="5">
        <f>Table1[[#This Row],[TotalPrice]]/Table1[[#This Row],[ItemsInCart]]</f>
        <v>231.5</v>
      </c>
    </row>
    <row r="767" spans="1:19" x14ac:dyDescent="0.3">
      <c r="A767" t="s">
        <v>437</v>
      </c>
      <c r="B767" s="1">
        <v>45493</v>
      </c>
      <c r="C767" t="s">
        <v>1637</v>
      </c>
      <c r="D767" t="s">
        <v>2407</v>
      </c>
      <c r="E767">
        <v>4</v>
      </c>
      <c r="F767">
        <v>685.2</v>
      </c>
      <c r="G767" t="s">
        <v>2651</v>
      </c>
      <c r="H767" t="s">
        <v>3068</v>
      </c>
      <c r="I767" t="s">
        <v>3071</v>
      </c>
      <c r="J767" t="s">
        <v>3498</v>
      </c>
      <c r="K767">
        <v>6</v>
      </c>
      <c r="L767" t="s">
        <v>4277</v>
      </c>
      <c r="M767" t="s">
        <v>4282</v>
      </c>
      <c r="N767" s="5">
        <v>2740.8</v>
      </c>
      <c r="O767" t="str">
        <f>IF(ABS(Table1[[#This Row],[TotalPrice]]-Table1[[#This Row],[Quantity]]*Table1[[#This Row],[UnitPrice]]) &lt;0.01, "ok",)</f>
        <v>ok</v>
      </c>
      <c r="P767" t="str">
        <f>PROPER(TRIM(Table1[[#This Row],[ShippingAddress]]))</f>
        <v>195 Main St</v>
      </c>
      <c r="Q767" t="str">
        <f>PROPER(TRIM((Table1[[#This Row],[PaymentMethod]])))</f>
        <v>Gift Card</v>
      </c>
      <c r="R767" t="str">
        <f>PROPER(TRIM(Table1[[#This Row],[ReferralSource]]))</f>
        <v>Google</v>
      </c>
      <c r="S767" s="5">
        <f>Table1[[#This Row],[TotalPrice]]/Table1[[#This Row],[ItemsInCart]]</f>
        <v>456.8</v>
      </c>
    </row>
    <row r="768" spans="1:19" x14ac:dyDescent="0.3">
      <c r="A768" t="s">
        <v>754</v>
      </c>
      <c r="B768" s="1">
        <v>45493</v>
      </c>
      <c r="C768" t="s">
        <v>1951</v>
      </c>
      <c r="D768" t="s">
        <v>2409</v>
      </c>
      <c r="E768">
        <v>2</v>
      </c>
      <c r="F768">
        <v>377.47</v>
      </c>
      <c r="G768" t="s">
        <v>2749</v>
      </c>
      <c r="H768" t="s">
        <v>3069</v>
      </c>
      <c r="I768" t="s">
        <v>3074</v>
      </c>
      <c r="J768" t="s">
        <v>3815</v>
      </c>
      <c r="K768">
        <v>7</v>
      </c>
      <c r="L768" t="s">
        <v>4283</v>
      </c>
      <c r="M768" t="s">
        <v>4282</v>
      </c>
      <c r="N768" s="5">
        <v>754.94</v>
      </c>
      <c r="O768" t="str">
        <f>IF(ABS(Table1[[#This Row],[TotalPrice]]-Table1[[#This Row],[Quantity]]*Table1[[#This Row],[UnitPrice]]) &lt;0.01, "ok",)</f>
        <v>ok</v>
      </c>
      <c r="P768" t="str">
        <f>PROPER(TRIM(Table1[[#This Row],[ShippingAddress]]))</f>
        <v>433 Main St</v>
      </c>
      <c r="Q768" t="str">
        <f>PROPER(TRIM((Table1[[#This Row],[PaymentMethod]])))</f>
        <v>Cash</v>
      </c>
      <c r="R768" t="str">
        <f>PROPER(TRIM(Table1[[#This Row],[ReferralSource]]))</f>
        <v>Google</v>
      </c>
      <c r="S768" s="5">
        <f>Table1[[#This Row],[TotalPrice]]/Table1[[#This Row],[ItemsInCart]]</f>
        <v>107.84857142857143</v>
      </c>
    </row>
    <row r="769" spans="1:19" x14ac:dyDescent="0.3">
      <c r="A769" t="s">
        <v>999</v>
      </c>
      <c r="B769" s="1">
        <v>45493</v>
      </c>
      <c r="C769" t="s">
        <v>2192</v>
      </c>
      <c r="D769" t="s">
        <v>2409</v>
      </c>
      <c r="E769">
        <v>1</v>
      </c>
      <c r="F769">
        <v>243.71</v>
      </c>
      <c r="G769" t="s">
        <v>2608</v>
      </c>
      <c r="H769" t="s">
        <v>3068</v>
      </c>
      <c r="I769" t="s">
        <v>3073</v>
      </c>
      <c r="J769" t="s">
        <v>4060</v>
      </c>
      <c r="K769">
        <v>6</v>
      </c>
      <c r="L769" t="s">
        <v>4275</v>
      </c>
      <c r="M769" t="s">
        <v>4282</v>
      </c>
      <c r="N769" s="5">
        <v>243.71</v>
      </c>
      <c r="O769" t="str">
        <f>IF(ABS(Table1[[#This Row],[TotalPrice]]-Table1[[#This Row],[Quantity]]*Table1[[#This Row],[UnitPrice]]) &lt;0.01, "ok",)</f>
        <v>ok</v>
      </c>
      <c r="P769" t="str">
        <f>PROPER(TRIM(Table1[[#This Row],[ShippingAddress]]))</f>
        <v>948 Main St</v>
      </c>
      <c r="Q769" t="str">
        <f>PROPER(TRIM((Table1[[#This Row],[PaymentMethod]])))</f>
        <v>Gift Card</v>
      </c>
      <c r="R769" t="str">
        <f>PROPER(TRIM(Table1[[#This Row],[ReferralSource]]))</f>
        <v>Google</v>
      </c>
      <c r="S769" s="5">
        <f>Table1[[#This Row],[TotalPrice]]/Table1[[#This Row],[ItemsInCart]]</f>
        <v>40.618333333333332</v>
      </c>
    </row>
    <row r="770" spans="1:19" x14ac:dyDescent="0.3">
      <c r="A770" t="s">
        <v>391</v>
      </c>
      <c r="B770" s="1">
        <v>45495</v>
      </c>
      <c r="C770" t="s">
        <v>1591</v>
      </c>
      <c r="D770" t="s">
        <v>2403</v>
      </c>
      <c r="E770">
        <v>1</v>
      </c>
      <c r="F770">
        <v>260.26</v>
      </c>
      <c r="G770" t="s">
        <v>2671</v>
      </c>
      <c r="H770" t="s">
        <v>3066</v>
      </c>
      <c r="I770" t="s">
        <v>3074</v>
      </c>
      <c r="J770" t="s">
        <v>3452</v>
      </c>
      <c r="K770">
        <v>5</v>
      </c>
      <c r="L770" t="s">
        <v>4277</v>
      </c>
      <c r="M770" t="s">
        <v>4278</v>
      </c>
      <c r="N770" s="5">
        <v>260.26</v>
      </c>
      <c r="O770" t="str">
        <f>IF(ABS(Table1[[#This Row],[TotalPrice]]-Table1[[#This Row],[Quantity]]*Table1[[#This Row],[UnitPrice]]) &lt;0.01, "ok",)</f>
        <v>ok</v>
      </c>
      <c r="P770" t="str">
        <f>PROPER(TRIM(Table1[[#This Row],[ShippingAddress]]))</f>
        <v>625 Main St</v>
      </c>
      <c r="Q770" t="str">
        <f>PROPER(TRIM((Table1[[#This Row],[PaymentMethod]])))</f>
        <v>Online</v>
      </c>
      <c r="R770" t="str">
        <f>PROPER(TRIM(Table1[[#This Row],[ReferralSource]]))</f>
        <v>Instagram</v>
      </c>
      <c r="S770" s="5">
        <f>Table1[[#This Row],[TotalPrice]]/Table1[[#This Row],[ItemsInCart]]</f>
        <v>52.052</v>
      </c>
    </row>
    <row r="771" spans="1:19" x14ac:dyDescent="0.3">
      <c r="A771" t="s">
        <v>504</v>
      </c>
      <c r="B771" s="1">
        <v>45495</v>
      </c>
      <c r="C771" t="s">
        <v>1704</v>
      </c>
      <c r="D771" t="s">
        <v>2406</v>
      </c>
      <c r="E771">
        <v>5</v>
      </c>
      <c r="F771">
        <v>467.81</v>
      </c>
      <c r="G771" t="s">
        <v>2786</v>
      </c>
      <c r="H771" t="s">
        <v>3066</v>
      </c>
      <c r="I771" t="s">
        <v>3071</v>
      </c>
      <c r="J771" t="s">
        <v>3565</v>
      </c>
      <c r="K771">
        <v>10</v>
      </c>
      <c r="L771" t="s">
        <v>4283</v>
      </c>
      <c r="M771" t="s">
        <v>4281</v>
      </c>
      <c r="N771" s="5">
        <v>2339.0500000000002</v>
      </c>
      <c r="O771" t="str">
        <f>IF(ABS(Table1[[#This Row],[TotalPrice]]-Table1[[#This Row],[Quantity]]*Table1[[#This Row],[UnitPrice]]) &lt;0.01, "ok",)</f>
        <v>ok</v>
      </c>
      <c r="P771" t="str">
        <f>PROPER(TRIM(Table1[[#This Row],[ShippingAddress]]))</f>
        <v>539 Main St</v>
      </c>
      <c r="Q771" t="str">
        <f>PROPER(TRIM((Table1[[#This Row],[PaymentMethod]])))</f>
        <v>Online</v>
      </c>
      <c r="R771" t="str">
        <f>PROPER(TRIM(Table1[[#This Row],[ReferralSource]]))</f>
        <v>Facebook</v>
      </c>
      <c r="S771" s="5">
        <f>Table1[[#This Row],[TotalPrice]]/Table1[[#This Row],[ItemsInCart]]</f>
        <v>233.90500000000003</v>
      </c>
    </row>
    <row r="772" spans="1:19" x14ac:dyDescent="0.3">
      <c r="A772" t="s">
        <v>724</v>
      </c>
      <c r="B772" s="1">
        <v>45495</v>
      </c>
      <c r="C772" t="s">
        <v>1922</v>
      </c>
      <c r="D772" t="s">
        <v>2408</v>
      </c>
      <c r="E772">
        <v>5</v>
      </c>
      <c r="F772">
        <v>21.54</v>
      </c>
      <c r="G772" t="s">
        <v>2885</v>
      </c>
      <c r="H772" t="s">
        <v>3068</v>
      </c>
      <c r="I772" t="s">
        <v>3072</v>
      </c>
      <c r="J772" t="s">
        <v>3785</v>
      </c>
      <c r="K772">
        <v>10</v>
      </c>
      <c r="L772" t="s">
        <v>4283</v>
      </c>
      <c r="M772" t="s">
        <v>4282</v>
      </c>
      <c r="N772" s="5">
        <v>107.7</v>
      </c>
      <c r="O772" t="str">
        <f>IF(ABS(Table1[[#This Row],[TotalPrice]]-Table1[[#This Row],[Quantity]]*Table1[[#This Row],[UnitPrice]]) &lt;0.01, "ok",)</f>
        <v>ok</v>
      </c>
      <c r="P772" t="str">
        <f>PROPER(TRIM(Table1[[#This Row],[ShippingAddress]]))</f>
        <v>113 Main St</v>
      </c>
      <c r="Q772" t="str">
        <f>PROPER(TRIM((Table1[[#This Row],[PaymentMethod]])))</f>
        <v>Gift Card</v>
      </c>
      <c r="R772" t="str">
        <f>PROPER(TRIM(Table1[[#This Row],[ReferralSource]]))</f>
        <v>Google</v>
      </c>
      <c r="S772" s="5">
        <f>Table1[[#This Row],[TotalPrice]]/Table1[[#This Row],[ItemsInCart]]</f>
        <v>10.77</v>
      </c>
    </row>
    <row r="773" spans="1:19" x14ac:dyDescent="0.3">
      <c r="A773" t="s">
        <v>965</v>
      </c>
      <c r="B773" s="1">
        <v>45495</v>
      </c>
      <c r="C773" t="s">
        <v>2159</v>
      </c>
      <c r="D773" t="s">
        <v>2407</v>
      </c>
      <c r="E773">
        <v>2</v>
      </c>
      <c r="F773">
        <v>306.24</v>
      </c>
      <c r="G773" t="s">
        <v>2637</v>
      </c>
      <c r="H773" t="s">
        <v>3066</v>
      </c>
      <c r="I773" t="s">
        <v>3072</v>
      </c>
      <c r="J773" t="s">
        <v>4026</v>
      </c>
      <c r="K773">
        <v>4</v>
      </c>
      <c r="L773" t="s">
        <v>4276</v>
      </c>
      <c r="M773" t="s">
        <v>4280</v>
      </c>
      <c r="N773" s="5">
        <v>612.48</v>
      </c>
      <c r="O773" t="str">
        <f>IF(ABS(Table1[[#This Row],[TotalPrice]]-Table1[[#This Row],[Quantity]]*Table1[[#This Row],[UnitPrice]]) &lt;0.01, "ok",)</f>
        <v>ok</v>
      </c>
      <c r="P773" t="str">
        <f>PROPER(TRIM(Table1[[#This Row],[ShippingAddress]]))</f>
        <v>589 Main St</v>
      </c>
      <c r="Q773" t="str">
        <f>PROPER(TRIM((Table1[[#This Row],[PaymentMethod]])))</f>
        <v>Online</v>
      </c>
      <c r="R773" t="str">
        <f>PROPER(TRIM(Table1[[#This Row],[ReferralSource]]))</f>
        <v>Email</v>
      </c>
      <c r="S773" s="5">
        <f>Table1[[#This Row],[TotalPrice]]/Table1[[#This Row],[ItemsInCart]]</f>
        <v>153.12</v>
      </c>
    </row>
    <row r="774" spans="1:19" x14ac:dyDescent="0.3">
      <c r="A774" t="s">
        <v>1140</v>
      </c>
      <c r="B774" s="1">
        <v>45495</v>
      </c>
      <c r="C774" t="s">
        <v>2330</v>
      </c>
      <c r="D774" t="s">
        <v>2404</v>
      </c>
      <c r="E774">
        <v>5</v>
      </c>
      <c r="F774">
        <v>190.11</v>
      </c>
      <c r="G774" t="s">
        <v>3038</v>
      </c>
      <c r="H774" t="s">
        <v>3069</v>
      </c>
      <c r="I774" t="s">
        <v>3073</v>
      </c>
      <c r="J774" t="s">
        <v>4201</v>
      </c>
      <c r="K774">
        <v>7</v>
      </c>
      <c r="L774" t="s">
        <v>4275</v>
      </c>
      <c r="M774" t="s">
        <v>4282</v>
      </c>
      <c r="N774" s="5">
        <v>950.55000000000007</v>
      </c>
      <c r="O774" t="str">
        <f>IF(ABS(Table1[[#This Row],[TotalPrice]]-Table1[[#This Row],[Quantity]]*Table1[[#This Row],[UnitPrice]]) &lt;0.01, "ok",)</f>
        <v>ok</v>
      </c>
      <c r="P774" t="str">
        <f>PROPER(TRIM(Table1[[#This Row],[ShippingAddress]]))</f>
        <v>325 Main St</v>
      </c>
      <c r="Q774" t="str">
        <f>PROPER(TRIM((Table1[[#This Row],[PaymentMethod]])))</f>
        <v>Cash</v>
      </c>
      <c r="R774" t="str">
        <f>PROPER(TRIM(Table1[[#This Row],[ReferralSource]]))</f>
        <v>Google</v>
      </c>
      <c r="S774" s="5">
        <f>Table1[[#This Row],[TotalPrice]]/Table1[[#This Row],[ItemsInCart]]</f>
        <v>135.79285714285714</v>
      </c>
    </row>
    <row r="775" spans="1:19" x14ac:dyDescent="0.3">
      <c r="A775" t="s">
        <v>902</v>
      </c>
      <c r="B775" s="1">
        <v>45496</v>
      </c>
      <c r="C775" t="s">
        <v>2098</v>
      </c>
      <c r="D775" t="s">
        <v>2408</v>
      </c>
      <c r="E775">
        <v>2</v>
      </c>
      <c r="F775">
        <v>266.95</v>
      </c>
      <c r="G775" t="s">
        <v>2972</v>
      </c>
      <c r="H775" t="s">
        <v>3067</v>
      </c>
      <c r="I775" t="s">
        <v>3074</v>
      </c>
      <c r="J775" t="s">
        <v>3963</v>
      </c>
      <c r="K775">
        <v>3</v>
      </c>
      <c r="L775" t="s">
        <v>4283</v>
      </c>
      <c r="M775" t="s">
        <v>4278</v>
      </c>
      <c r="N775" s="5">
        <v>533.9</v>
      </c>
      <c r="O775" t="str">
        <f>IF(ABS(Table1[[#This Row],[TotalPrice]]-Table1[[#This Row],[Quantity]]*Table1[[#This Row],[UnitPrice]]) &lt;0.01, "ok",)</f>
        <v>ok</v>
      </c>
      <c r="P775" t="str">
        <f>PROPER(TRIM(Table1[[#This Row],[ShippingAddress]]))</f>
        <v>833 Main St</v>
      </c>
      <c r="Q775" t="str">
        <f>PROPER(TRIM((Table1[[#This Row],[PaymentMethod]])))</f>
        <v>Credit Card</v>
      </c>
      <c r="R775" t="str">
        <f>PROPER(TRIM(Table1[[#This Row],[ReferralSource]]))</f>
        <v>Instagram</v>
      </c>
      <c r="S775" s="5">
        <f>Table1[[#This Row],[TotalPrice]]/Table1[[#This Row],[ItemsInCart]]</f>
        <v>177.96666666666667</v>
      </c>
    </row>
    <row r="776" spans="1:19" x14ac:dyDescent="0.3">
      <c r="A776" t="s">
        <v>39</v>
      </c>
      <c r="B776" s="1">
        <v>45497</v>
      </c>
      <c r="C776" t="s">
        <v>1239</v>
      </c>
      <c r="D776" t="s">
        <v>2403</v>
      </c>
      <c r="E776">
        <v>1</v>
      </c>
      <c r="F776">
        <v>399.98</v>
      </c>
      <c r="G776" t="s">
        <v>2435</v>
      </c>
      <c r="H776" t="s">
        <v>3065</v>
      </c>
      <c r="I776" t="s">
        <v>3073</v>
      </c>
      <c r="J776" t="s">
        <v>3100</v>
      </c>
      <c r="K776">
        <v>3</v>
      </c>
      <c r="L776" t="s">
        <v>4277</v>
      </c>
      <c r="M776" t="s">
        <v>4280</v>
      </c>
      <c r="N776" s="5">
        <v>399.98</v>
      </c>
      <c r="O776" t="str">
        <f>IF(ABS(Table1[[#This Row],[TotalPrice]]-Table1[[#This Row],[Quantity]]*Table1[[#This Row],[UnitPrice]]) &lt;0.01, "ok",)</f>
        <v>ok</v>
      </c>
      <c r="P776" t="str">
        <f>PROPER(TRIM(Table1[[#This Row],[ShippingAddress]]))</f>
        <v>709 Main St</v>
      </c>
      <c r="Q776" t="str">
        <f>PROPER(TRIM((Table1[[#This Row],[PaymentMethod]])))</f>
        <v>Debit Card</v>
      </c>
      <c r="R776" t="str">
        <f>PROPER(TRIM(Table1[[#This Row],[ReferralSource]]))</f>
        <v>Email</v>
      </c>
      <c r="S776" s="5">
        <f>Table1[[#This Row],[TotalPrice]]/Table1[[#This Row],[ItemsInCart]]</f>
        <v>133.32666666666668</v>
      </c>
    </row>
    <row r="777" spans="1:19" x14ac:dyDescent="0.3">
      <c r="A777" t="s">
        <v>473</v>
      </c>
      <c r="B777" s="1">
        <v>45497</v>
      </c>
      <c r="C777" t="s">
        <v>1673</v>
      </c>
      <c r="D777" t="s">
        <v>2409</v>
      </c>
      <c r="E777">
        <v>1</v>
      </c>
      <c r="F777">
        <v>334.39</v>
      </c>
      <c r="G777" t="s">
        <v>2749</v>
      </c>
      <c r="H777" t="s">
        <v>3067</v>
      </c>
      <c r="I777" t="s">
        <v>3072</v>
      </c>
      <c r="J777" t="s">
        <v>3534</v>
      </c>
      <c r="K777">
        <v>2</v>
      </c>
      <c r="L777" t="s">
        <v>4283</v>
      </c>
      <c r="M777" t="s">
        <v>4278</v>
      </c>
      <c r="N777" s="5">
        <v>334.39</v>
      </c>
      <c r="O777" t="str">
        <f>IF(ABS(Table1[[#This Row],[TotalPrice]]-Table1[[#This Row],[Quantity]]*Table1[[#This Row],[UnitPrice]]) &lt;0.01, "ok",)</f>
        <v>ok</v>
      </c>
      <c r="P777" t="str">
        <f>PROPER(TRIM(Table1[[#This Row],[ShippingAddress]]))</f>
        <v>433 Main St</v>
      </c>
      <c r="Q777" t="str">
        <f>PROPER(TRIM((Table1[[#This Row],[PaymentMethod]])))</f>
        <v>Credit Card</v>
      </c>
      <c r="R777" t="str">
        <f>PROPER(TRIM(Table1[[#This Row],[ReferralSource]]))</f>
        <v>Instagram</v>
      </c>
      <c r="S777" s="5">
        <f>Table1[[#This Row],[TotalPrice]]/Table1[[#This Row],[ItemsInCart]]</f>
        <v>167.19499999999999</v>
      </c>
    </row>
    <row r="778" spans="1:19" x14ac:dyDescent="0.3">
      <c r="A778" t="s">
        <v>549</v>
      </c>
      <c r="B778" s="1">
        <v>45497</v>
      </c>
      <c r="C778" t="s">
        <v>1749</v>
      </c>
      <c r="D778" t="s">
        <v>2403</v>
      </c>
      <c r="E778">
        <v>3</v>
      </c>
      <c r="F778">
        <v>68.12</v>
      </c>
      <c r="G778" t="s">
        <v>2567</v>
      </c>
      <c r="H778" t="s">
        <v>3066</v>
      </c>
      <c r="I778" t="s">
        <v>3071</v>
      </c>
      <c r="J778" t="s">
        <v>3610</v>
      </c>
      <c r="K778">
        <v>3</v>
      </c>
      <c r="L778" t="s">
        <v>4276</v>
      </c>
      <c r="M778" t="s">
        <v>4280</v>
      </c>
      <c r="N778" s="5">
        <v>204.36</v>
      </c>
      <c r="O778" t="str">
        <f>IF(ABS(Table1[[#This Row],[TotalPrice]]-Table1[[#This Row],[Quantity]]*Table1[[#This Row],[UnitPrice]]) &lt;0.01, "ok",)</f>
        <v>ok</v>
      </c>
      <c r="P778" t="str">
        <f>PROPER(TRIM(Table1[[#This Row],[ShippingAddress]]))</f>
        <v>332 Main St</v>
      </c>
      <c r="Q778" t="str">
        <f>PROPER(TRIM((Table1[[#This Row],[PaymentMethod]])))</f>
        <v>Online</v>
      </c>
      <c r="R778" t="str">
        <f>PROPER(TRIM(Table1[[#This Row],[ReferralSource]]))</f>
        <v>Email</v>
      </c>
      <c r="S778" s="5">
        <f>Table1[[#This Row],[TotalPrice]]/Table1[[#This Row],[ItemsInCart]]</f>
        <v>68.12</v>
      </c>
    </row>
    <row r="779" spans="1:19" x14ac:dyDescent="0.3">
      <c r="A779" t="s">
        <v>622</v>
      </c>
      <c r="B779" s="1">
        <v>45497</v>
      </c>
      <c r="C779" t="s">
        <v>1821</v>
      </c>
      <c r="D779" t="s">
        <v>2408</v>
      </c>
      <c r="E779">
        <v>5</v>
      </c>
      <c r="F779">
        <v>543.16</v>
      </c>
      <c r="G779" t="s">
        <v>2840</v>
      </c>
      <c r="H779" t="s">
        <v>3066</v>
      </c>
      <c r="I779" t="s">
        <v>3071</v>
      </c>
      <c r="J779" t="s">
        <v>3683</v>
      </c>
      <c r="K779">
        <v>6</v>
      </c>
      <c r="L779" t="s">
        <v>4275</v>
      </c>
      <c r="M779" t="s">
        <v>4278</v>
      </c>
      <c r="N779" s="5">
        <v>2715.8</v>
      </c>
      <c r="O779" t="str">
        <f>IF(ABS(Table1[[#This Row],[TotalPrice]]-Table1[[#This Row],[Quantity]]*Table1[[#This Row],[UnitPrice]]) &lt;0.01, "ok",)</f>
        <v>ok</v>
      </c>
      <c r="P779" t="str">
        <f>PROPER(TRIM(Table1[[#This Row],[ShippingAddress]]))</f>
        <v>788 Main St</v>
      </c>
      <c r="Q779" t="str">
        <f>PROPER(TRIM((Table1[[#This Row],[PaymentMethod]])))</f>
        <v>Online</v>
      </c>
      <c r="R779" t="str">
        <f>PROPER(TRIM(Table1[[#This Row],[ReferralSource]]))</f>
        <v>Instagram</v>
      </c>
      <c r="S779" s="5">
        <f>Table1[[#This Row],[TotalPrice]]/Table1[[#This Row],[ItemsInCart]]</f>
        <v>452.63333333333338</v>
      </c>
    </row>
    <row r="780" spans="1:19" x14ac:dyDescent="0.3">
      <c r="A780" t="s">
        <v>842</v>
      </c>
      <c r="B780" s="1">
        <v>45497</v>
      </c>
      <c r="C780" t="s">
        <v>2038</v>
      </c>
      <c r="D780" t="s">
        <v>2406</v>
      </c>
      <c r="E780">
        <v>4</v>
      </c>
      <c r="F780">
        <v>404.58</v>
      </c>
      <c r="G780" t="s">
        <v>2945</v>
      </c>
      <c r="H780" t="s">
        <v>3069</v>
      </c>
      <c r="I780" t="s">
        <v>3070</v>
      </c>
      <c r="J780" t="s">
        <v>3903</v>
      </c>
      <c r="K780">
        <v>5</v>
      </c>
      <c r="L780" t="s">
        <v>4276</v>
      </c>
      <c r="M780" t="s">
        <v>4278</v>
      </c>
      <c r="N780" s="5">
        <v>1618.32</v>
      </c>
      <c r="O780" t="str">
        <f>IF(ABS(Table1[[#This Row],[TotalPrice]]-Table1[[#This Row],[Quantity]]*Table1[[#This Row],[UnitPrice]]) &lt;0.01, "ok",)</f>
        <v>ok</v>
      </c>
      <c r="P780" t="str">
        <f>PROPER(TRIM(Table1[[#This Row],[ShippingAddress]]))</f>
        <v>510 Main St</v>
      </c>
      <c r="Q780" t="str">
        <f>PROPER(TRIM((Table1[[#This Row],[PaymentMethod]])))</f>
        <v>Cash</v>
      </c>
      <c r="R780" t="str">
        <f>PROPER(TRIM(Table1[[#This Row],[ReferralSource]]))</f>
        <v>Instagram</v>
      </c>
      <c r="S780" s="5">
        <f>Table1[[#This Row],[TotalPrice]]/Table1[[#This Row],[ItemsInCart]]</f>
        <v>323.66399999999999</v>
      </c>
    </row>
    <row r="781" spans="1:19" x14ac:dyDescent="0.3">
      <c r="A781" t="s">
        <v>891</v>
      </c>
      <c r="B781" s="1">
        <v>45498</v>
      </c>
      <c r="C781" t="s">
        <v>2087</v>
      </c>
      <c r="D781" t="s">
        <v>2405</v>
      </c>
      <c r="E781">
        <v>1</v>
      </c>
      <c r="F781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>
        <v>3</v>
      </c>
      <c r="L781" t="s">
        <v>4276</v>
      </c>
      <c r="M781" t="s">
        <v>4280</v>
      </c>
      <c r="N781" s="5">
        <v>524.05999999999995</v>
      </c>
      <c r="O781" t="str">
        <f>IF(ABS(Table1[[#This Row],[TotalPrice]]-Table1[[#This Row],[Quantity]]*Table1[[#This Row],[UnitPrice]]) &lt;0.01, "ok",)</f>
        <v>ok</v>
      </c>
      <c r="P781" t="str">
        <f>PROPER(TRIM(Table1[[#This Row],[ShippingAddress]]))</f>
        <v>269 Main St</v>
      </c>
      <c r="Q781" t="str">
        <f>PROPER(TRIM((Table1[[#This Row],[PaymentMethod]])))</f>
        <v>Debit Card</v>
      </c>
      <c r="R781" t="str">
        <f>PROPER(TRIM(Table1[[#This Row],[ReferralSource]]))</f>
        <v>Email</v>
      </c>
      <c r="S781" s="5">
        <f>Table1[[#This Row],[TotalPrice]]/Table1[[#This Row],[ItemsInCart]]</f>
        <v>174.68666666666664</v>
      </c>
    </row>
    <row r="782" spans="1:19" x14ac:dyDescent="0.3">
      <c r="A782" t="s">
        <v>1118</v>
      </c>
      <c r="B782" s="1">
        <v>45498</v>
      </c>
      <c r="C782" t="s">
        <v>2309</v>
      </c>
      <c r="D782" t="s">
        <v>2405</v>
      </c>
      <c r="E782">
        <v>4</v>
      </c>
      <c r="F782">
        <v>314.76</v>
      </c>
      <c r="G782" t="s">
        <v>3033</v>
      </c>
      <c r="H782" t="s">
        <v>3066</v>
      </c>
      <c r="I782" t="s">
        <v>3070</v>
      </c>
      <c r="J782" t="s">
        <v>4179</v>
      </c>
      <c r="K782">
        <v>8</v>
      </c>
      <c r="L782" t="s">
        <v>4283</v>
      </c>
      <c r="M782" t="s">
        <v>4278</v>
      </c>
      <c r="N782" s="5">
        <v>1259.04</v>
      </c>
      <c r="O782" t="str">
        <f>IF(ABS(Table1[[#This Row],[TotalPrice]]-Table1[[#This Row],[Quantity]]*Table1[[#This Row],[UnitPrice]]) &lt;0.01, "ok",)</f>
        <v>ok</v>
      </c>
      <c r="P782" t="str">
        <f>PROPER(TRIM(Table1[[#This Row],[ShippingAddress]]))</f>
        <v>850 Main St</v>
      </c>
      <c r="Q782" t="str">
        <f>PROPER(TRIM((Table1[[#This Row],[PaymentMethod]])))</f>
        <v>Online</v>
      </c>
      <c r="R782" t="str">
        <f>PROPER(TRIM(Table1[[#This Row],[ReferralSource]]))</f>
        <v>Instagram</v>
      </c>
      <c r="S782" s="5">
        <f>Table1[[#This Row],[TotalPrice]]/Table1[[#This Row],[ItemsInCart]]</f>
        <v>157.38</v>
      </c>
    </row>
    <row r="783" spans="1:19" x14ac:dyDescent="0.3">
      <c r="A783" t="s">
        <v>1163</v>
      </c>
      <c r="B783" s="1">
        <v>45498</v>
      </c>
      <c r="C783" t="s">
        <v>2352</v>
      </c>
      <c r="D783" t="s">
        <v>2406</v>
      </c>
      <c r="E783">
        <v>2</v>
      </c>
      <c r="F783">
        <v>695.29</v>
      </c>
      <c r="G783" t="s">
        <v>3046</v>
      </c>
      <c r="H783" t="s">
        <v>3067</v>
      </c>
      <c r="I783" t="s">
        <v>3074</v>
      </c>
      <c r="J783" t="s">
        <v>4224</v>
      </c>
      <c r="K783">
        <v>6</v>
      </c>
      <c r="L783" t="s">
        <v>4276</v>
      </c>
      <c r="M783" t="s">
        <v>4278</v>
      </c>
      <c r="N783" s="5">
        <v>1390.58</v>
      </c>
      <c r="O783" t="str">
        <f>IF(ABS(Table1[[#This Row],[TotalPrice]]-Table1[[#This Row],[Quantity]]*Table1[[#This Row],[UnitPrice]]) &lt;0.01, "ok",)</f>
        <v>ok</v>
      </c>
      <c r="P783" t="str">
        <f>PROPER(TRIM(Table1[[#This Row],[ShippingAddress]]))</f>
        <v>957 Main St</v>
      </c>
      <c r="Q783" t="str">
        <f>PROPER(TRIM((Table1[[#This Row],[PaymentMethod]])))</f>
        <v>Credit Card</v>
      </c>
      <c r="R783" t="str">
        <f>PROPER(TRIM(Table1[[#This Row],[ReferralSource]]))</f>
        <v>Instagram</v>
      </c>
      <c r="S783" s="5">
        <f>Table1[[#This Row],[TotalPrice]]/Table1[[#This Row],[ItemsInCart]]</f>
        <v>231.76333333333332</v>
      </c>
    </row>
    <row r="784" spans="1:19" x14ac:dyDescent="0.3">
      <c r="A784" t="s">
        <v>729</v>
      </c>
      <c r="B784" s="1">
        <v>45499</v>
      </c>
      <c r="C784" t="s">
        <v>1926</v>
      </c>
      <c r="D784" t="s">
        <v>2407</v>
      </c>
      <c r="E784">
        <v>3</v>
      </c>
      <c r="F784">
        <v>653.63</v>
      </c>
      <c r="G784" t="s">
        <v>2888</v>
      </c>
      <c r="H784" t="s">
        <v>3066</v>
      </c>
      <c r="I784" t="s">
        <v>3073</v>
      </c>
      <c r="J784" t="s">
        <v>3790</v>
      </c>
      <c r="K784">
        <v>7</v>
      </c>
      <c r="L784" t="s">
        <v>4276</v>
      </c>
      <c r="M784" t="s">
        <v>4280</v>
      </c>
      <c r="N784" s="5">
        <v>1960.89</v>
      </c>
      <c r="O784" t="str">
        <f>IF(ABS(Table1[[#This Row],[TotalPrice]]-Table1[[#This Row],[Quantity]]*Table1[[#This Row],[UnitPrice]]) &lt;0.01, "ok",)</f>
        <v>ok</v>
      </c>
      <c r="P784" t="str">
        <f>PROPER(TRIM(Table1[[#This Row],[ShippingAddress]]))</f>
        <v>281 Main St</v>
      </c>
      <c r="Q784" t="str">
        <f>PROPER(TRIM((Table1[[#This Row],[PaymentMethod]])))</f>
        <v>Online</v>
      </c>
      <c r="R784" t="str">
        <f>PROPER(TRIM(Table1[[#This Row],[ReferralSource]]))</f>
        <v>Email</v>
      </c>
      <c r="S784" s="5">
        <f>Table1[[#This Row],[TotalPrice]]/Table1[[#This Row],[ItemsInCart]]</f>
        <v>280.12714285714287</v>
      </c>
    </row>
    <row r="785" spans="1:19" x14ac:dyDescent="0.3">
      <c r="A785" t="s">
        <v>880</v>
      </c>
      <c r="B785" s="1">
        <v>45499</v>
      </c>
      <c r="C785" t="s">
        <v>2076</v>
      </c>
      <c r="D785" t="s">
        <v>2409</v>
      </c>
      <c r="E785">
        <v>5</v>
      </c>
      <c r="F785">
        <v>189.25</v>
      </c>
      <c r="G785" t="s">
        <v>2959</v>
      </c>
      <c r="H785" t="s">
        <v>3065</v>
      </c>
      <c r="I785" t="s">
        <v>3071</v>
      </c>
      <c r="J785" t="s">
        <v>3941</v>
      </c>
      <c r="K785">
        <v>10</v>
      </c>
      <c r="L785" t="s">
        <v>4277</v>
      </c>
      <c r="M785" t="s">
        <v>4280</v>
      </c>
      <c r="N785" s="5">
        <v>946.25</v>
      </c>
      <c r="O785" t="str">
        <f>IF(ABS(Table1[[#This Row],[TotalPrice]]-Table1[[#This Row],[Quantity]]*Table1[[#This Row],[UnitPrice]]) &lt;0.01, "ok",)</f>
        <v>ok</v>
      </c>
      <c r="P785" t="str">
        <f>PROPER(TRIM(Table1[[#This Row],[ShippingAddress]]))</f>
        <v>693 Main St</v>
      </c>
      <c r="Q785" t="str">
        <f>PROPER(TRIM((Table1[[#This Row],[PaymentMethod]])))</f>
        <v>Debit Card</v>
      </c>
      <c r="R785" t="str">
        <f>PROPER(TRIM(Table1[[#This Row],[ReferralSource]]))</f>
        <v>Email</v>
      </c>
      <c r="S785" s="5">
        <f>Table1[[#This Row],[TotalPrice]]/Table1[[#This Row],[ItemsInCart]]</f>
        <v>94.625</v>
      </c>
    </row>
    <row r="786" spans="1:19" x14ac:dyDescent="0.3">
      <c r="A786" t="s">
        <v>332</v>
      </c>
      <c r="B786" s="1">
        <v>45500</v>
      </c>
      <c r="C786" t="s">
        <v>1532</v>
      </c>
      <c r="D786" t="s">
        <v>2406</v>
      </c>
      <c r="E786">
        <v>3</v>
      </c>
      <c r="F786">
        <v>148.72</v>
      </c>
      <c r="G786" t="s">
        <v>2596</v>
      </c>
      <c r="H786" t="s">
        <v>3065</v>
      </c>
      <c r="I786" t="s">
        <v>3071</v>
      </c>
      <c r="J786" t="s">
        <v>3393</v>
      </c>
      <c r="K786">
        <v>7</v>
      </c>
      <c r="L786" t="s">
        <v>4275</v>
      </c>
      <c r="M786" t="s">
        <v>4282</v>
      </c>
      <c r="N786" s="5">
        <v>446.16</v>
      </c>
      <c r="O786" t="str">
        <f>IF(ABS(Table1[[#This Row],[TotalPrice]]-Table1[[#This Row],[Quantity]]*Table1[[#This Row],[UnitPrice]]) &lt;0.01, "ok",)</f>
        <v>ok</v>
      </c>
      <c r="P786" t="str">
        <f>PROPER(TRIM(Table1[[#This Row],[ShippingAddress]]))</f>
        <v>317 Main St</v>
      </c>
      <c r="Q786" t="str">
        <f>PROPER(TRIM((Table1[[#This Row],[PaymentMethod]])))</f>
        <v>Debit Card</v>
      </c>
      <c r="R786" t="str">
        <f>PROPER(TRIM(Table1[[#This Row],[ReferralSource]]))</f>
        <v>Google</v>
      </c>
      <c r="S786" s="5">
        <f>Table1[[#This Row],[TotalPrice]]/Table1[[#This Row],[ItemsInCart]]</f>
        <v>63.737142857142864</v>
      </c>
    </row>
    <row r="787" spans="1:19" x14ac:dyDescent="0.3">
      <c r="A787" t="s">
        <v>138</v>
      </c>
      <c r="B787" s="1">
        <v>45501</v>
      </c>
      <c r="C787" t="s">
        <v>1338</v>
      </c>
      <c r="D787" t="s">
        <v>2407</v>
      </c>
      <c r="E787">
        <v>4</v>
      </c>
      <c r="F78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>
        <v>8</v>
      </c>
      <c r="L787" t="s">
        <v>4283</v>
      </c>
      <c r="M787" t="s">
        <v>4282</v>
      </c>
      <c r="N787" s="5">
        <v>1135.1600000000001</v>
      </c>
      <c r="O787" t="str">
        <f>IF(ABS(Table1[[#This Row],[TotalPrice]]-Table1[[#This Row],[Quantity]]*Table1[[#This Row],[UnitPrice]]) &lt;0.01, "ok",)</f>
        <v>ok</v>
      </c>
      <c r="P787" t="str">
        <f>PROPER(TRIM(Table1[[#This Row],[ShippingAddress]]))</f>
        <v>563 Main St</v>
      </c>
      <c r="Q787" t="str">
        <f>PROPER(TRIM((Table1[[#This Row],[PaymentMethod]])))</f>
        <v>Online</v>
      </c>
      <c r="R787" t="str">
        <f>PROPER(TRIM(Table1[[#This Row],[ReferralSource]]))</f>
        <v>Google</v>
      </c>
      <c r="S787" s="5">
        <f>Table1[[#This Row],[TotalPrice]]/Table1[[#This Row],[ItemsInCart]]</f>
        <v>141.89500000000001</v>
      </c>
    </row>
    <row r="788" spans="1:19" x14ac:dyDescent="0.3">
      <c r="A788" t="s">
        <v>786</v>
      </c>
      <c r="B788" s="1">
        <v>45501</v>
      </c>
      <c r="C788" t="s">
        <v>1983</v>
      </c>
      <c r="D788" t="s">
        <v>2403</v>
      </c>
      <c r="E788">
        <v>1</v>
      </c>
      <c r="F788">
        <v>604.87</v>
      </c>
      <c r="G788" t="s">
        <v>2914</v>
      </c>
      <c r="H788" t="s">
        <v>3066</v>
      </c>
      <c r="I788" t="s">
        <v>3073</v>
      </c>
      <c r="J788" t="s">
        <v>3847</v>
      </c>
      <c r="K788">
        <v>4</v>
      </c>
      <c r="L788" t="s">
        <v>4283</v>
      </c>
      <c r="M788" t="s">
        <v>4278</v>
      </c>
      <c r="N788" s="5">
        <v>604.87</v>
      </c>
      <c r="O788" t="str">
        <f>IF(ABS(Table1[[#This Row],[TotalPrice]]-Table1[[#This Row],[Quantity]]*Table1[[#This Row],[UnitPrice]]) &lt;0.01, "ok",)</f>
        <v>ok</v>
      </c>
      <c r="P788" t="str">
        <f>PROPER(TRIM(Table1[[#This Row],[ShippingAddress]]))</f>
        <v>461 Main St</v>
      </c>
      <c r="Q788" t="str">
        <f>PROPER(TRIM((Table1[[#This Row],[PaymentMethod]])))</f>
        <v>Online</v>
      </c>
      <c r="R788" t="str">
        <f>PROPER(TRIM(Table1[[#This Row],[ReferralSource]]))</f>
        <v>Instagram</v>
      </c>
      <c r="S788" s="5">
        <f>Table1[[#This Row],[TotalPrice]]/Table1[[#This Row],[ItemsInCart]]</f>
        <v>151.2175</v>
      </c>
    </row>
    <row r="789" spans="1:19" x14ac:dyDescent="0.3">
      <c r="A789" t="s">
        <v>742</v>
      </c>
      <c r="B789" s="1">
        <v>45502</v>
      </c>
      <c r="C789" t="s">
        <v>1939</v>
      </c>
      <c r="D789" t="s">
        <v>2409</v>
      </c>
      <c r="E789">
        <v>4</v>
      </c>
      <c r="F789">
        <v>325.76</v>
      </c>
      <c r="G789" t="s">
        <v>2895</v>
      </c>
      <c r="H789" t="s">
        <v>3068</v>
      </c>
      <c r="I789" t="s">
        <v>3070</v>
      </c>
      <c r="J789" t="s">
        <v>3803</v>
      </c>
      <c r="K789">
        <v>8</v>
      </c>
      <c r="L789" t="s">
        <v>4277</v>
      </c>
      <c r="M789" t="s">
        <v>4280</v>
      </c>
      <c r="N789" s="5">
        <v>1303.04</v>
      </c>
      <c r="O789" t="str">
        <f>IF(ABS(Table1[[#This Row],[TotalPrice]]-Table1[[#This Row],[Quantity]]*Table1[[#This Row],[UnitPrice]]) &lt;0.01, "ok",)</f>
        <v>ok</v>
      </c>
      <c r="P789" t="str">
        <f>PROPER(TRIM(Table1[[#This Row],[ShippingAddress]]))</f>
        <v>827 Main St</v>
      </c>
      <c r="Q789" t="str">
        <f>PROPER(TRIM((Table1[[#This Row],[PaymentMethod]])))</f>
        <v>Gift Card</v>
      </c>
      <c r="R789" t="str">
        <f>PROPER(TRIM(Table1[[#This Row],[ReferralSource]]))</f>
        <v>Email</v>
      </c>
      <c r="S789" s="5">
        <f>Table1[[#This Row],[TotalPrice]]/Table1[[#This Row],[ItemsInCart]]</f>
        <v>162.88</v>
      </c>
    </row>
    <row r="790" spans="1:19" x14ac:dyDescent="0.3">
      <c r="A790" t="s">
        <v>1151</v>
      </c>
      <c r="B790" s="1">
        <v>45502</v>
      </c>
      <c r="C790" t="s">
        <v>2341</v>
      </c>
      <c r="D790" t="s">
        <v>2407</v>
      </c>
      <c r="E790">
        <v>4</v>
      </c>
      <c r="F790">
        <v>410.21</v>
      </c>
      <c r="G790" t="s">
        <v>3040</v>
      </c>
      <c r="H790" t="s">
        <v>3069</v>
      </c>
      <c r="I790" t="s">
        <v>3074</v>
      </c>
      <c r="J790" t="s">
        <v>4212</v>
      </c>
      <c r="K790">
        <v>5</v>
      </c>
      <c r="L790" t="s">
        <v>4277</v>
      </c>
      <c r="M790" t="s">
        <v>4278</v>
      </c>
      <c r="N790" s="5">
        <v>1640.84</v>
      </c>
      <c r="O790" t="str">
        <f>IF(ABS(Table1[[#This Row],[TotalPrice]]-Table1[[#This Row],[Quantity]]*Table1[[#This Row],[UnitPrice]]) &lt;0.01, "ok",)</f>
        <v>ok</v>
      </c>
      <c r="P790" t="str">
        <f>PROPER(TRIM(Table1[[#This Row],[ShippingAddress]]))</f>
        <v>841 Main St</v>
      </c>
      <c r="Q790" t="str">
        <f>PROPER(TRIM((Table1[[#This Row],[PaymentMethod]])))</f>
        <v>Cash</v>
      </c>
      <c r="R790" t="str">
        <f>PROPER(TRIM(Table1[[#This Row],[ReferralSource]]))</f>
        <v>Instagram</v>
      </c>
      <c r="S790" s="5">
        <f>Table1[[#This Row],[TotalPrice]]/Table1[[#This Row],[ItemsInCart]]</f>
        <v>328.16800000000001</v>
      </c>
    </row>
    <row r="791" spans="1:19" x14ac:dyDescent="0.3">
      <c r="A791" t="s">
        <v>118</v>
      </c>
      <c r="B791" s="1">
        <v>45503</v>
      </c>
      <c r="C791" t="s">
        <v>1318</v>
      </c>
      <c r="D791" t="s">
        <v>2404</v>
      </c>
      <c r="E791">
        <v>1</v>
      </c>
      <c r="F791">
        <v>582.04</v>
      </c>
      <c r="G791" t="s">
        <v>2507</v>
      </c>
      <c r="H791" t="s">
        <v>3068</v>
      </c>
      <c r="I791" t="s">
        <v>3073</v>
      </c>
      <c r="J791" t="s">
        <v>3179</v>
      </c>
      <c r="K791">
        <v>1</v>
      </c>
      <c r="L791" t="s">
        <v>4276</v>
      </c>
      <c r="M791" t="s">
        <v>4280</v>
      </c>
      <c r="N791" s="5">
        <v>582.04</v>
      </c>
      <c r="O791" t="str">
        <f>IF(ABS(Table1[[#This Row],[TotalPrice]]-Table1[[#This Row],[Quantity]]*Table1[[#This Row],[UnitPrice]]) &lt;0.01, "ok",)</f>
        <v>ok</v>
      </c>
      <c r="P791" t="str">
        <f>PROPER(TRIM(Table1[[#This Row],[ShippingAddress]]))</f>
        <v>647 Main St</v>
      </c>
      <c r="Q791" t="str">
        <f>PROPER(TRIM((Table1[[#This Row],[PaymentMethod]])))</f>
        <v>Gift Card</v>
      </c>
      <c r="R791" t="str">
        <f>PROPER(TRIM(Table1[[#This Row],[ReferralSource]]))</f>
        <v>Email</v>
      </c>
      <c r="S791" s="5">
        <f>Table1[[#This Row],[TotalPrice]]/Table1[[#This Row],[ItemsInCart]]</f>
        <v>582.04</v>
      </c>
    </row>
    <row r="792" spans="1:19" x14ac:dyDescent="0.3">
      <c r="A792" t="s">
        <v>278</v>
      </c>
      <c r="B792" s="1">
        <v>45507</v>
      </c>
      <c r="C792" t="s">
        <v>1478</v>
      </c>
      <c r="D792" t="s">
        <v>2405</v>
      </c>
      <c r="E792">
        <v>1</v>
      </c>
      <c r="F792">
        <v>436.77</v>
      </c>
      <c r="G792" t="s">
        <v>2635</v>
      </c>
      <c r="H792" t="s">
        <v>3069</v>
      </c>
      <c r="I792" t="s">
        <v>3072</v>
      </c>
      <c r="J792" t="s">
        <v>3339</v>
      </c>
      <c r="K792">
        <v>5</v>
      </c>
      <c r="L792" t="s">
        <v>4276</v>
      </c>
      <c r="M792" t="s">
        <v>4282</v>
      </c>
      <c r="N792" s="5">
        <v>436.77</v>
      </c>
      <c r="O792" t="str">
        <f>IF(ABS(Table1[[#This Row],[TotalPrice]]-Table1[[#This Row],[Quantity]]*Table1[[#This Row],[UnitPrice]]) &lt;0.01, "ok",)</f>
        <v>ok</v>
      </c>
      <c r="P792" t="str">
        <f>PROPER(TRIM(Table1[[#This Row],[ShippingAddress]]))</f>
        <v>977 Main St</v>
      </c>
      <c r="Q792" t="str">
        <f>PROPER(TRIM((Table1[[#This Row],[PaymentMethod]])))</f>
        <v>Cash</v>
      </c>
      <c r="R792" t="str">
        <f>PROPER(TRIM(Table1[[#This Row],[ReferralSource]]))</f>
        <v>Google</v>
      </c>
      <c r="S792" s="5">
        <f>Table1[[#This Row],[TotalPrice]]/Table1[[#This Row],[ItemsInCart]]</f>
        <v>87.353999999999999</v>
      </c>
    </row>
    <row r="793" spans="1:19" x14ac:dyDescent="0.3">
      <c r="A793" t="s">
        <v>1082</v>
      </c>
      <c r="B793" s="1">
        <v>45507</v>
      </c>
      <c r="C793" t="s">
        <v>2274</v>
      </c>
      <c r="D793" t="s">
        <v>2408</v>
      </c>
      <c r="E793">
        <v>1</v>
      </c>
      <c r="F793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>
        <v>2</v>
      </c>
      <c r="L793" t="s">
        <v>4275</v>
      </c>
      <c r="M793" t="s">
        <v>4279</v>
      </c>
      <c r="N793" s="5">
        <v>133.38999999999999</v>
      </c>
      <c r="O793" t="str">
        <f>IF(ABS(Table1[[#This Row],[TotalPrice]]-Table1[[#This Row],[Quantity]]*Table1[[#This Row],[UnitPrice]]) &lt;0.01, "ok",)</f>
        <v>ok</v>
      </c>
      <c r="P793" t="str">
        <f>PROPER(TRIM(Table1[[#This Row],[ShippingAddress]]))</f>
        <v>469 Main St</v>
      </c>
      <c r="Q793" t="str">
        <f>PROPER(TRIM((Table1[[#This Row],[PaymentMethod]])))</f>
        <v>Debit Card</v>
      </c>
      <c r="R793" t="str">
        <f>PROPER(TRIM(Table1[[#This Row],[ReferralSource]]))</f>
        <v>Referral</v>
      </c>
      <c r="S793" s="5">
        <f>Table1[[#This Row],[TotalPrice]]/Table1[[#This Row],[ItemsInCart]]</f>
        <v>66.694999999999993</v>
      </c>
    </row>
    <row r="794" spans="1:19" x14ac:dyDescent="0.3">
      <c r="A794" t="s">
        <v>829</v>
      </c>
      <c r="B794" s="1">
        <v>45508</v>
      </c>
      <c r="C794" t="s">
        <v>2025</v>
      </c>
      <c r="D794" t="s">
        <v>2407</v>
      </c>
      <c r="E794">
        <v>3</v>
      </c>
      <c r="F794">
        <v>569.84</v>
      </c>
      <c r="G794" t="s">
        <v>2939</v>
      </c>
      <c r="H794" t="s">
        <v>3068</v>
      </c>
      <c r="I794" t="s">
        <v>3071</v>
      </c>
      <c r="J794" t="s">
        <v>3890</v>
      </c>
      <c r="K794">
        <v>8</v>
      </c>
      <c r="L794" t="s">
        <v>4277</v>
      </c>
      <c r="M794" t="s">
        <v>4278</v>
      </c>
      <c r="N794" s="5">
        <v>1709.52</v>
      </c>
      <c r="O794" t="str">
        <f>IF(ABS(Table1[[#This Row],[TotalPrice]]-Table1[[#This Row],[Quantity]]*Table1[[#This Row],[UnitPrice]]) &lt;0.01, "ok",)</f>
        <v>ok</v>
      </c>
      <c r="P794" t="str">
        <f>PROPER(TRIM(Table1[[#This Row],[ShippingAddress]]))</f>
        <v>920 Main St</v>
      </c>
      <c r="Q794" t="str">
        <f>PROPER(TRIM((Table1[[#This Row],[PaymentMethod]])))</f>
        <v>Gift Card</v>
      </c>
      <c r="R794" t="str">
        <f>PROPER(TRIM(Table1[[#This Row],[ReferralSource]]))</f>
        <v>Instagram</v>
      </c>
      <c r="S794" s="5">
        <f>Table1[[#This Row],[TotalPrice]]/Table1[[#This Row],[ItemsInCart]]</f>
        <v>213.69</v>
      </c>
    </row>
    <row r="795" spans="1:19" x14ac:dyDescent="0.3">
      <c r="A795" t="s">
        <v>921</v>
      </c>
      <c r="B795" s="1">
        <v>45508</v>
      </c>
      <c r="C795" t="s">
        <v>2117</v>
      </c>
      <c r="D795" t="s">
        <v>2409</v>
      </c>
      <c r="E795">
        <v>5</v>
      </c>
      <c r="F795">
        <v>298.39</v>
      </c>
      <c r="G795" t="s">
        <v>2534</v>
      </c>
      <c r="H795" t="s">
        <v>3068</v>
      </c>
      <c r="I795" t="s">
        <v>3071</v>
      </c>
      <c r="J795" t="s">
        <v>3982</v>
      </c>
      <c r="K795">
        <v>7</v>
      </c>
      <c r="L795" t="s">
        <v>4277</v>
      </c>
      <c r="M795" t="s">
        <v>4279</v>
      </c>
      <c r="N795" s="5">
        <v>1491.95</v>
      </c>
      <c r="O795" t="str">
        <f>IF(ABS(Table1[[#This Row],[TotalPrice]]-Table1[[#This Row],[Quantity]]*Table1[[#This Row],[UnitPrice]]) &lt;0.01, "ok",)</f>
        <v>ok</v>
      </c>
      <c r="P795" t="str">
        <f>PROPER(TRIM(Table1[[#This Row],[ShippingAddress]]))</f>
        <v>583 Main St</v>
      </c>
      <c r="Q795" t="str">
        <f>PROPER(TRIM((Table1[[#This Row],[PaymentMethod]])))</f>
        <v>Gift Card</v>
      </c>
      <c r="R795" t="str">
        <f>PROPER(TRIM(Table1[[#This Row],[ReferralSource]]))</f>
        <v>Referral</v>
      </c>
      <c r="S795" s="5">
        <f>Table1[[#This Row],[TotalPrice]]/Table1[[#This Row],[ItemsInCart]]</f>
        <v>213.1357142857143</v>
      </c>
    </row>
    <row r="796" spans="1:19" x14ac:dyDescent="0.3">
      <c r="A796" t="s">
        <v>92</v>
      </c>
      <c r="B796" s="1">
        <v>45510</v>
      </c>
      <c r="C796" t="s">
        <v>1292</v>
      </c>
      <c r="D796" t="s">
        <v>2407</v>
      </c>
      <c r="E796">
        <v>4</v>
      </c>
      <c r="F796">
        <v>175.36</v>
      </c>
      <c r="G796" t="s">
        <v>2482</v>
      </c>
      <c r="H796" t="s">
        <v>3065</v>
      </c>
      <c r="I796" t="s">
        <v>3073</v>
      </c>
      <c r="J796" t="s">
        <v>3153</v>
      </c>
      <c r="K796">
        <v>4</v>
      </c>
      <c r="L796" t="s">
        <v>4276</v>
      </c>
      <c r="M796" t="s">
        <v>4278</v>
      </c>
      <c r="N796" s="5">
        <v>701.44</v>
      </c>
      <c r="O796" t="str">
        <f>IF(ABS(Table1[[#This Row],[TotalPrice]]-Table1[[#This Row],[Quantity]]*Table1[[#This Row],[UnitPrice]]) &lt;0.01, "ok",)</f>
        <v>ok</v>
      </c>
      <c r="P796" t="str">
        <f>PROPER(TRIM(Table1[[#This Row],[ShippingAddress]]))</f>
        <v>146 Main St</v>
      </c>
      <c r="Q796" t="str">
        <f>PROPER(TRIM((Table1[[#This Row],[PaymentMethod]])))</f>
        <v>Debit Card</v>
      </c>
      <c r="R796" t="str">
        <f>PROPER(TRIM(Table1[[#This Row],[ReferralSource]]))</f>
        <v>Instagram</v>
      </c>
      <c r="S796" s="5">
        <f>Table1[[#This Row],[TotalPrice]]/Table1[[#This Row],[ItemsInCart]]</f>
        <v>175.36</v>
      </c>
    </row>
    <row r="797" spans="1:19" x14ac:dyDescent="0.3">
      <c r="A797" t="s">
        <v>689</v>
      </c>
      <c r="B797" s="1">
        <v>45510</v>
      </c>
      <c r="C797" t="s">
        <v>1887</v>
      </c>
      <c r="D797" t="s">
        <v>2409</v>
      </c>
      <c r="E797">
        <v>3</v>
      </c>
      <c r="F797">
        <v>342.02</v>
      </c>
      <c r="G797" t="s">
        <v>2807</v>
      </c>
      <c r="H797" t="s">
        <v>3065</v>
      </c>
      <c r="I797" t="s">
        <v>3074</v>
      </c>
      <c r="J797" t="s">
        <v>3750</v>
      </c>
      <c r="K797">
        <v>5</v>
      </c>
      <c r="L797" t="s">
        <v>4283</v>
      </c>
      <c r="M797" t="s">
        <v>4280</v>
      </c>
      <c r="N797" s="5">
        <v>1026.06</v>
      </c>
      <c r="O797" t="str">
        <f>IF(ABS(Table1[[#This Row],[TotalPrice]]-Table1[[#This Row],[Quantity]]*Table1[[#This Row],[UnitPrice]]) &lt;0.01, "ok",)</f>
        <v>ok</v>
      </c>
      <c r="P797" t="str">
        <f>PROPER(TRIM(Table1[[#This Row],[ShippingAddress]]))</f>
        <v>906 Main St</v>
      </c>
      <c r="Q797" t="str">
        <f>PROPER(TRIM((Table1[[#This Row],[PaymentMethod]])))</f>
        <v>Debit Card</v>
      </c>
      <c r="R797" t="str">
        <f>PROPER(TRIM(Table1[[#This Row],[ReferralSource]]))</f>
        <v>Email</v>
      </c>
      <c r="S797" s="5">
        <f>Table1[[#This Row],[TotalPrice]]/Table1[[#This Row],[ItemsInCart]]</f>
        <v>205.21199999999999</v>
      </c>
    </row>
    <row r="798" spans="1:19" x14ac:dyDescent="0.3">
      <c r="A798" t="s">
        <v>796</v>
      </c>
      <c r="B798" s="1">
        <v>45515</v>
      </c>
      <c r="C798" t="s">
        <v>1993</v>
      </c>
      <c r="D798" t="s">
        <v>2403</v>
      </c>
      <c r="E798">
        <v>2</v>
      </c>
      <c r="F798">
        <v>493.63</v>
      </c>
      <c r="G798" t="s">
        <v>2824</v>
      </c>
      <c r="H798" t="s">
        <v>3066</v>
      </c>
      <c r="I798" t="s">
        <v>3072</v>
      </c>
      <c r="J798" t="s">
        <v>3857</v>
      </c>
      <c r="K798">
        <v>6</v>
      </c>
      <c r="L798" t="s">
        <v>4275</v>
      </c>
      <c r="M798" t="s">
        <v>4279</v>
      </c>
      <c r="N798" s="5">
        <v>987.26</v>
      </c>
      <c r="O798" t="str">
        <f>IF(ABS(Table1[[#This Row],[TotalPrice]]-Table1[[#This Row],[Quantity]]*Table1[[#This Row],[UnitPrice]]) &lt;0.01, "ok",)</f>
        <v>ok</v>
      </c>
      <c r="P798" t="str">
        <f>PROPER(TRIM(Table1[[#This Row],[ShippingAddress]]))</f>
        <v>167 Main St</v>
      </c>
      <c r="Q798" t="str">
        <f>PROPER(TRIM((Table1[[#This Row],[PaymentMethod]])))</f>
        <v>Online</v>
      </c>
      <c r="R798" t="str">
        <f>PROPER(TRIM(Table1[[#This Row],[ReferralSource]]))</f>
        <v>Referral</v>
      </c>
      <c r="S798" s="5">
        <f>Table1[[#This Row],[TotalPrice]]/Table1[[#This Row],[ItemsInCart]]</f>
        <v>164.54333333333332</v>
      </c>
    </row>
    <row r="799" spans="1:19" x14ac:dyDescent="0.3">
      <c r="A799" t="s">
        <v>925</v>
      </c>
      <c r="B799" s="1">
        <v>45517</v>
      </c>
      <c r="C799" t="s">
        <v>2121</v>
      </c>
      <c r="D799" t="s">
        <v>2409</v>
      </c>
      <c r="E799">
        <v>5</v>
      </c>
      <c r="F799">
        <v>396.86</v>
      </c>
      <c r="G799" t="s">
        <v>2520</v>
      </c>
      <c r="H799" t="s">
        <v>3069</v>
      </c>
      <c r="I799" t="s">
        <v>3071</v>
      </c>
      <c r="J799" t="s">
        <v>3986</v>
      </c>
      <c r="K799">
        <v>9</v>
      </c>
      <c r="L799" t="s">
        <v>4275</v>
      </c>
      <c r="M799" t="s">
        <v>4278</v>
      </c>
      <c r="N799" s="5">
        <v>1984.3</v>
      </c>
      <c r="O799" t="str">
        <f>IF(ABS(Table1[[#This Row],[TotalPrice]]-Table1[[#This Row],[Quantity]]*Table1[[#This Row],[UnitPrice]]) &lt;0.01, "ok",)</f>
        <v>ok</v>
      </c>
      <c r="P799" t="str">
        <f>PROPER(TRIM(Table1[[#This Row],[ShippingAddress]]))</f>
        <v>593 Main St</v>
      </c>
      <c r="Q799" t="str">
        <f>PROPER(TRIM((Table1[[#This Row],[PaymentMethod]])))</f>
        <v>Cash</v>
      </c>
      <c r="R799" t="str">
        <f>PROPER(TRIM(Table1[[#This Row],[ReferralSource]]))</f>
        <v>Instagram</v>
      </c>
      <c r="S799" s="5">
        <f>Table1[[#This Row],[TotalPrice]]/Table1[[#This Row],[ItemsInCart]]</f>
        <v>220.47777777777776</v>
      </c>
    </row>
    <row r="800" spans="1:19" x14ac:dyDescent="0.3">
      <c r="A800" t="s">
        <v>1203</v>
      </c>
      <c r="B800" s="1">
        <v>45521</v>
      </c>
      <c r="C800" t="s">
        <v>2392</v>
      </c>
      <c r="D800" t="s">
        <v>2405</v>
      </c>
      <c r="E800">
        <v>5</v>
      </c>
      <c r="F800">
        <v>389.22</v>
      </c>
      <c r="G800" t="s">
        <v>3060</v>
      </c>
      <c r="H800" t="s">
        <v>3069</v>
      </c>
      <c r="I800" t="s">
        <v>3071</v>
      </c>
      <c r="J800" t="s">
        <v>4264</v>
      </c>
      <c r="K800">
        <v>7</v>
      </c>
      <c r="L800" t="s">
        <v>4283</v>
      </c>
      <c r="M800" t="s">
        <v>4279</v>
      </c>
      <c r="N800" s="5">
        <v>1946.1</v>
      </c>
      <c r="O800" t="str">
        <f>IF(ABS(Table1[[#This Row],[TotalPrice]]-Table1[[#This Row],[Quantity]]*Table1[[#This Row],[UnitPrice]]) &lt;0.01, "ok",)</f>
        <v>ok</v>
      </c>
      <c r="P800" t="str">
        <f>PROPER(TRIM(Table1[[#This Row],[ShippingAddress]]))</f>
        <v>149 Main St</v>
      </c>
      <c r="Q800" t="str">
        <f>PROPER(TRIM((Table1[[#This Row],[PaymentMethod]])))</f>
        <v>Cash</v>
      </c>
      <c r="R800" t="str">
        <f>PROPER(TRIM(Table1[[#This Row],[ReferralSource]]))</f>
        <v>Referral</v>
      </c>
      <c r="S800" s="5">
        <f>Table1[[#This Row],[TotalPrice]]/Table1[[#This Row],[ItemsInCart]]</f>
        <v>278.01428571428568</v>
      </c>
    </row>
    <row r="801" spans="1:19" x14ac:dyDescent="0.3">
      <c r="A801" t="s">
        <v>541</v>
      </c>
      <c r="B801" s="1">
        <v>45523</v>
      </c>
      <c r="C801" t="s">
        <v>1741</v>
      </c>
      <c r="D801" t="s">
        <v>2406</v>
      </c>
      <c r="E801">
        <v>5</v>
      </c>
      <c r="F801">
        <v>653.47</v>
      </c>
      <c r="G801" t="s">
        <v>2488</v>
      </c>
      <c r="H801" t="s">
        <v>3067</v>
      </c>
      <c r="I801" t="s">
        <v>3071</v>
      </c>
      <c r="J801" t="s">
        <v>3602</v>
      </c>
      <c r="K801">
        <v>10</v>
      </c>
      <c r="L801" t="s">
        <v>4275</v>
      </c>
      <c r="M801" t="s">
        <v>4279</v>
      </c>
      <c r="N801" s="5">
        <v>3267.35</v>
      </c>
      <c r="O801" t="str">
        <f>IF(ABS(Table1[[#This Row],[TotalPrice]]-Table1[[#This Row],[Quantity]]*Table1[[#This Row],[UnitPrice]]) &lt;0.01, "ok",)</f>
        <v>ok</v>
      </c>
      <c r="P801" t="str">
        <f>PROPER(TRIM(Table1[[#This Row],[ShippingAddress]]))</f>
        <v>967 Main St</v>
      </c>
      <c r="Q801" t="str">
        <f>PROPER(TRIM((Table1[[#This Row],[PaymentMethod]])))</f>
        <v>Credit Card</v>
      </c>
      <c r="R801" t="str">
        <f>PROPER(TRIM(Table1[[#This Row],[ReferralSource]]))</f>
        <v>Referral</v>
      </c>
      <c r="S801" s="5">
        <f>Table1[[#This Row],[TotalPrice]]/Table1[[#This Row],[ItemsInCart]]</f>
        <v>326.73500000000001</v>
      </c>
    </row>
    <row r="802" spans="1:19" x14ac:dyDescent="0.3">
      <c r="A802" t="s">
        <v>74</v>
      </c>
      <c r="B802" s="1">
        <v>45525</v>
      </c>
      <c r="C802" t="s">
        <v>1274</v>
      </c>
      <c r="D802" t="s">
        <v>2409</v>
      </c>
      <c r="E802">
        <v>1</v>
      </c>
      <c r="F802">
        <v>417.1</v>
      </c>
      <c r="G802" t="s">
        <v>2466</v>
      </c>
      <c r="H802" t="s">
        <v>3065</v>
      </c>
      <c r="I802" t="s">
        <v>3072</v>
      </c>
      <c r="J802" t="s">
        <v>3135</v>
      </c>
      <c r="K802">
        <v>3</v>
      </c>
      <c r="L802" t="s">
        <v>4276</v>
      </c>
      <c r="M802" t="s">
        <v>4279</v>
      </c>
      <c r="N802" s="5">
        <v>417.1</v>
      </c>
      <c r="O802" t="str">
        <f>IF(ABS(Table1[[#This Row],[TotalPrice]]-Table1[[#This Row],[Quantity]]*Table1[[#This Row],[UnitPrice]]) &lt;0.01, "ok",)</f>
        <v>ok</v>
      </c>
      <c r="P802" t="str">
        <f>PROPER(TRIM(Table1[[#This Row],[ShippingAddress]]))</f>
        <v>634 Main St</v>
      </c>
      <c r="Q802" t="str">
        <f>PROPER(TRIM((Table1[[#This Row],[PaymentMethod]])))</f>
        <v>Debit Card</v>
      </c>
      <c r="R802" t="str">
        <f>PROPER(TRIM(Table1[[#This Row],[ReferralSource]]))</f>
        <v>Referral</v>
      </c>
      <c r="S802" s="5">
        <f>Table1[[#This Row],[TotalPrice]]/Table1[[#This Row],[ItemsInCart]]</f>
        <v>139.03333333333333</v>
      </c>
    </row>
    <row r="803" spans="1:19" x14ac:dyDescent="0.3">
      <c r="A803" t="s">
        <v>228</v>
      </c>
      <c r="B803" s="1">
        <v>45525</v>
      </c>
      <c r="C803" t="s">
        <v>1428</v>
      </c>
      <c r="D803" t="s">
        <v>2409</v>
      </c>
      <c r="E803">
        <v>4</v>
      </c>
      <c r="F803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>
        <v>5</v>
      </c>
      <c r="L803" t="s">
        <v>4283</v>
      </c>
      <c r="M803" t="s">
        <v>4281</v>
      </c>
      <c r="N803" s="5">
        <v>1222.8800000000001</v>
      </c>
      <c r="O803" t="str">
        <f>IF(ABS(Table1[[#This Row],[TotalPrice]]-Table1[[#This Row],[Quantity]]*Table1[[#This Row],[UnitPrice]]) &lt;0.01, "ok",)</f>
        <v>ok</v>
      </c>
      <c r="P803" t="str">
        <f>PROPER(TRIM(Table1[[#This Row],[ShippingAddress]]))</f>
        <v>673 Main St</v>
      </c>
      <c r="Q803" t="str">
        <f>PROPER(TRIM((Table1[[#This Row],[PaymentMethod]])))</f>
        <v>Online</v>
      </c>
      <c r="R803" t="str">
        <f>PROPER(TRIM(Table1[[#This Row],[ReferralSource]]))</f>
        <v>Facebook</v>
      </c>
      <c r="S803" s="5">
        <f>Table1[[#This Row],[TotalPrice]]/Table1[[#This Row],[ItemsInCart]]</f>
        <v>244.57600000000002</v>
      </c>
    </row>
    <row r="804" spans="1:19" x14ac:dyDescent="0.3">
      <c r="A804" t="s">
        <v>1212</v>
      </c>
      <c r="B804" s="1">
        <v>45526</v>
      </c>
      <c r="C804" t="s">
        <v>2401</v>
      </c>
      <c r="D804" t="s">
        <v>2406</v>
      </c>
      <c r="E804">
        <v>4</v>
      </c>
      <c r="F804">
        <v>262.52</v>
      </c>
      <c r="G804" t="s">
        <v>3063</v>
      </c>
      <c r="H804" t="s">
        <v>3065</v>
      </c>
      <c r="I804" t="s">
        <v>3071</v>
      </c>
      <c r="J804" t="s">
        <v>4273</v>
      </c>
      <c r="K804">
        <v>4</v>
      </c>
      <c r="L804" t="s">
        <v>4277</v>
      </c>
      <c r="M804" t="s">
        <v>4278</v>
      </c>
      <c r="N804" s="5">
        <v>1050.08</v>
      </c>
      <c r="O804" t="str">
        <f>IF(ABS(Table1[[#This Row],[TotalPrice]]-Table1[[#This Row],[Quantity]]*Table1[[#This Row],[UnitPrice]]) &lt;0.01, "ok",)</f>
        <v>ok</v>
      </c>
      <c r="P804" t="str">
        <f>PROPER(TRIM(Table1[[#This Row],[ShippingAddress]]))</f>
        <v>509 Main St</v>
      </c>
      <c r="Q804" t="str">
        <f>PROPER(TRIM((Table1[[#This Row],[PaymentMethod]])))</f>
        <v>Debit Card</v>
      </c>
      <c r="R804" t="str">
        <f>PROPER(TRIM(Table1[[#This Row],[ReferralSource]]))</f>
        <v>Instagram</v>
      </c>
      <c r="S804" s="5">
        <f>Table1[[#This Row],[TotalPrice]]/Table1[[#This Row],[ItemsInCart]]</f>
        <v>262.52</v>
      </c>
    </row>
    <row r="805" spans="1:19" x14ac:dyDescent="0.3">
      <c r="A805" t="s">
        <v>15</v>
      </c>
      <c r="B805" s="1">
        <v>45527</v>
      </c>
      <c r="C805" t="s">
        <v>1215</v>
      </c>
      <c r="D805" t="s">
        <v>2404</v>
      </c>
      <c r="E805">
        <v>2</v>
      </c>
      <c r="F805">
        <v>151.35</v>
      </c>
      <c r="G805" t="s">
        <v>2411</v>
      </c>
      <c r="H805" t="s">
        <v>3066</v>
      </c>
      <c r="I805" t="s">
        <v>3070</v>
      </c>
      <c r="J805" t="s">
        <v>3076</v>
      </c>
      <c r="K805">
        <v>3</v>
      </c>
      <c r="L805" t="s">
        <v>4275</v>
      </c>
      <c r="M805" t="s">
        <v>4279</v>
      </c>
      <c r="N805" s="5">
        <v>302.7</v>
      </c>
      <c r="O805" t="str">
        <f>IF(ABS(Table1[[#This Row],[TotalPrice]]-Table1[[#This Row],[Quantity]]*Table1[[#This Row],[UnitPrice]]) &lt;0.01, "ok",)</f>
        <v>ok</v>
      </c>
      <c r="P805" t="str">
        <f>PROPER(TRIM(Table1[[#This Row],[ShippingAddress]]))</f>
        <v>823 Main St</v>
      </c>
      <c r="Q805" t="str">
        <f>PROPER(TRIM((Table1[[#This Row],[PaymentMethod]])))</f>
        <v>Online</v>
      </c>
      <c r="R805" t="str">
        <f>PROPER(TRIM(Table1[[#This Row],[ReferralSource]]))</f>
        <v>Referral</v>
      </c>
      <c r="S805" s="5">
        <f>Table1[[#This Row],[TotalPrice]]/Table1[[#This Row],[ItemsInCart]]</f>
        <v>100.89999999999999</v>
      </c>
    </row>
    <row r="806" spans="1:19" x14ac:dyDescent="0.3">
      <c r="A806" t="s">
        <v>1156</v>
      </c>
      <c r="B806" s="1">
        <v>45527</v>
      </c>
      <c r="C806" t="s">
        <v>2345</v>
      </c>
      <c r="D806" t="s">
        <v>2404</v>
      </c>
      <c r="E806">
        <v>4</v>
      </c>
      <c r="F806">
        <v>695.1</v>
      </c>
      <c r="G806" t="s">
        <v>3041</v>
      </c>
      <c r="H806" t="s">
        <v>3065</v>
      </c>
      <c r="I806" t="s">
        <v>3072</v>
      </c>
      <c r="J806" t="s">
        <v>4217</v>
      </c>
      <c r="K806">
        <v>8</v>
      </c>
      <c r="L806" t="s">
        <v>4283</v>
      </c>
      <c r="M806" t="s">
        <v>4280</v>
      </c>
      <c r="N806" s="5">
        <v>2780.4</v>
      </c>
      <c r="O806" t="str">
        <f>IF(ABS(Table1[[#This Row],[TotalPrice]]-Table1[[#This Row],[Quantity]]*Table1[[#This Row],[UnitPrice]]) &lt;0.01, "ok",)</f>
        <v>ok</v>
      </c>
      <c r="P806" t="str">
        <f>PROPER(TRIM(Table1[[#This Row],[ShippingAddress]]))</f>
        <v>484 Main St</v>
      </c>
      <c r="Q806" t="str">
        <f>PROPER(TRIM((Table1[[#This Row],[PaymentMethod]])))</f>
        <v>Debit Card</v>
      </c>
      <c r="R806" t="str">
        <f>PROPER(TRIM(Table1[[#This Row],[ReferralSource]]))</f>
        <v>Email</v>
      </c>
      <c r="S806" s="5">
        <f>Table1[[#This Row],[TotalPrice]]/Table1[[#This Row],[ItemsInCart]]</f>
        <v>347.55</v>
      </c>
    </row>
    <row r="807" spans="1:19" x14ac:dyDescent="0.3">
      <c r="A807" t="s">
        <v>247</v>
      </c>
      <c r="B807" s="1">
        <v>45528</v>
      </c>
      <c r="C807" t="s">
        <v>1447</v>
      </c>
      <c r="D807" t="s">
        <v>2404</v>
      </c>
      <c r="E807">
        <v>3</v>
      </c>
      <c r="F807">
        <v>311.33</v>
      </c>
      <c r="G807" t="s">
        <v>2482</v>
      </c>
      <c r="H807" t="s">
        <v>3069</v>
      </c>
      <c r="I807" t="s">
        <v>3071</v>
      </c>
      <c r="J807" t="s">
        <v>3308</v>
      </c>
      <c r="K807">
        <v>3</v>
      </c>
      <c r="L807" t="s">
        <v>4277</v>
      </c>
      <c r="M807" t="s">
        <v>4278</v>
      </c>
      <c r="N807" s="5">
        <v>933.99</v>
      </c>
      <c r="O807" t="str">
        <f>IF(ABS(Table1[[#This Row],[TotalPrice]]-Table1[[#This Row],[Quantity]]*Table1[[#This Row],[UnitPrice]]) &lt;0.01, "ok",)</f>
        <v>ok</v>
      </c>
      <c r="P807" t="str">
        <f>PROPER(TRIM(Table1[[#This Row],[ShippingAddress]]))</f>
        <v>146 Main St</v>
      </c>
      <c r="Q807" t="str">
        <f>PROPER(TRIM((Table1[[#This Row],[PaymentMethod]])))</f>
        <v>Cash</v>
      </c>
      <c r="R807" t="str">
        <f>PROPER(TRIM(Table1[[#This Row],[ReferralSource]]))</f>
        <v>Instagram</v>
      </c>
      <c r="S807" s="5">
        <f>Table1[[#This Row],[TotalPrice]]/Table1[[#This Row],[ItemsInCart]]</f>
        <v>311.33</v>
      </c>
    </row>
    <row r="808" spans="1:19" x14ac:dyDescent="0.3">
      <c r="A808" t="s">
        <v>1031</v>
      </c>
      <c r="B808" s="1">
        <v>45529</v>
      </c>
      <c r="C808" t="s">
        <v>2223</v>
      </c>
      <c r="D808" t="s">
        <v>2406</v>
      </c>
      <c r="E808">
        <v>2</v>
      </c>
      <c r="F808">
        <v>680.85</v>
      </c>
      <c r="G808" t="s">
        <v>3003</v>
      </c>
      <c r="H808" t="s">
        <v>3068</v>
      </c>
      <c r="I808" t="s">
        <v>3073</v>
      </c>
      <c r="J808" t="s">
        <v>4092</v>
      </c>
      <c r="K808">
        <v>6</v>
      </c>
      <c r="L808" t="s">
        <v>4276</v>
      </c>
      <c r="M808" t="s">
        <v>4279</v>
      </c>
      <c r="N808" s="5">
        <v>1361.7</v>
      </c>
      <c r="O808" t="str">
        <f>IF(ABS(Table1[[#This Row],[TotalPrice]]-Table1[[#This Row],[Quantity]]*Table1[[#This Row],[UnitPrice]]) &lt;0.01, "ok",)</f>
        <v>ok</v>
      </c>
      <c r="P808" t="str">
        <f>PROPER(TRIM(Table1[[#This Row],[ShippingAddress]]))</f>
        <v>953 Main St</v>
      </c>
      <c r="Q808" t="str">
        <f>PROPER(TRIM((Table1[[#This Row],[PaymentMethod]])))</f>
        <v>Gift Card</v>
      </c>
      <c r="R808" t="str">
        <f>PROPER(TRIM(Table1[[#This Row],[ReferralSource]]))</f>
        <v>Referral</v>
      </c>
      <c r="S808" s="5">
        <f>Table1[[#This Row],[TotalPrice]]/Table1[[#This Row],[ItemsInCart]]</f>
        <v>226.95000000000002</v>
      </c>
    </row>
    <row r="809" spans="1:19" x14ac:dyDescent="0.3">
      <c r="A809" t="s">
        <v>463</v>
      </c>
      <c r="B809" s="1">
        <v>45530</v>
      </c>
      <c r="C809" t="s">
        <v>1663</v>
      </c>
      <c r="D809" t="s">
        <v>2405</v>
      </c>
      <c r="E809">
        <v>3</v>
      </c>
      <c r="F809">
        <v>253.05</v>
      </c>
      <c r="G809" t="s">
        <v>2761</v>
      </c>
      <c r="H809" t="s">
        <v>3066</v>
      </c>
      <c r="I809" t="s">
        <v>3074</v>
      </c>
      <c r="J809" t="s">
        <v>3524</v>
      </c>
      <c r="K809">
        <v>3</v>
      </c>
      <c r="L809" t="s">
        <v>4283</v>
      </c>
      <c r="M809" t="s">
        <v>4278</v>
      </c>
      <c r="N809" s="5">
        <v>759.15000000000009</v>
      </c>
      <c r="O809" t="str">
        <f>IF(ABS(Table1[[#This Row],[TotalPrice]]-Table1[[#This Row],[Quantity]]*Table1[[#This Row],[UnitPrice]]) &lt;0.01, "ok",)</f>
        <v>ok</v>
      </c>
      <c r="P809" t="str">
        <f>PROPER(TRIM(Table1[[#This Row],[ShippingAddress]]))</f>
        <v>286 Main St</v>
      </c>
      <c r="Q809" t="str">
        <f>PROPER(TRIM((Table1[[#This Row],[PaymentMethod]])))</f>
        <v>Online</v>
      </c>
      <c r="R809" t="str">
        <f>PROPER(TRIM(Table1[[#This Row],[ReferralSource]]))</f>
        <v>Instagram</v>
      </c>
      <c r="S809" s="5">
        <f>Table1[[#This Row],[TotalPrice]]/Table1[[#This Row],[ItemsInCart]]</f>
        <v>253.05000000000004</v>
      </c>
    </row>
    <row r="810" spans="1:19" x14ac:dyDescent="0.3">
      <c r="A810" t="s">
        <v>657</v>
      </c>
      <c r="B810" s="1">
        <v>45530</v>
      </c>
      <c r="C810" t="s">
        <v>1856</v>
      </c>
      <c r="D810" t="s">
        <v>2408</v>
      </c>
      <c r="E810">
        <v>1</v>
      </c>
      <c r="F810">
        <v>438.37</v>
      </c>
      <c r="G810" t="s">
        <v>2507</v>
      </c>
      <c r="H810" t="s">
        <v>3069</v>
      </c>
      <c r="I810" t="s">
        <v>3071</v>
      </c>
      <c r="J810" t="s">
        <v>3718</v>
      </c>
      <c r="K810">
        <v>4</v>
      </c>
      <c r="L810" t="s">
        <v>4275</v>
      </c>
      <c r="M810" t="s">
        <v>4279</v>
      </c>
      <c r="N810" s="5">
        <v>438.37</v>
      </c>
      <c r="O810" t="str">
        <f>IF(ABS(Table1[[#This Row],[TotalPrice]]-Table1[[#This Row],[Quantity]]*Table1[[#This Row],[UnitPrice]]) &lt;0.01, "ok",)</f>
        <v>ok</v>
      </c>
      <c r="P810" t="str">
        <f>PROPER(TRIM(Table1[[#This Row],[ShippingAddress]]))</f>
        <v>647 Main St</v>
      </c>
      <c r="Q810" t="str">
        <f>PROPER(TRIM((Table1[[#This Row],[PaymentMethod]])))</f>
        <v>Cash</v>
      </c>
      <c r="R810" t="str">
        <f>PROPER(TRIM(Table1[[#This Row],[ReferralSource]]))</f>
        <v>Referral</v>
      </c>
      <c r="S810" s="5">
        <f>Table1[[#This Row],[TotalPrice]]/Table1[[#This Row],[ItemsInCart]]</f>
        <v>109.5925</v>
      </c>
    </row>
    <row r="811" spans="1:19" x14ac:dyDescent="0.3">
      <c r="A811" t="s">
        <v>1006</v>
      </c>
      <c r="B811" s="1">
        <v>45531</v>
      </c>
      <c r="C811" t="s">
        <v>2199</v>
      </c>
      <c r="D811" t="s">
        <v>2407</v>
      </c>
      <c r="E811">
        <v>3</v>
      </c>
      <c r="F811">
        <v>586.21</v>
      </c>
      <c r="G811" t="s">
        <v>2543</v>
      </c>
      <c r="H811" t="s">
        <v>3068</v>
      </c>
      <c r="I811" t="s">
        <v>3074</v>
      </c>
      <c r="J811" t="s">
        <v>4067</v>
      </c>
      <c r="K811">
        <v>4</v>
      </c>
      <c r="L811" t="s">
        <v>4277</v>
      </c>
      <c r="M811" t="s">
        <v>4279</v>
      </c>
      <c r="N811" s="5">
        <v>1758.63</v>
      </c>
      <c r="O811" t="str">
        <f>IF(ABS(Table1[[#This Row],[TotalPrice]]-Table1[[#This Row],[Quantity]]*Table1[[#This Row],[UnitPrice]]) &lt;0.01, "ok",)</f>
        <v>ok</v>
      </c>
      <c r="P811" t="str">
        <f>PROPER(TRIM(Table1[[#This Row],[ShippingAddress]]))</f>
        <v>933 Main St</v>
      </c>
      <c r="Q811" t="str">
        <f>PROPER(TRIM((Table1[[#This Row],[PaymentMethod]])))</f>
        <v>Gift Card</v>
      </c>
      <c r="R811" t="str">
        <f>PROPER(TRIM(Table1[[#This Row],[ReferralSource]]))</f>
        <v>Referral</v>
      </c>
      <c r="S811" s="5">
        <f>Table1[[#This Row],[TotalPrice]]/Table1[[#This Row],[ItemsInCart]]</f>
        <v>439.65750000000003</v>
      </c>
    </row>
    <row r="812" spans="1:19" x14ac:dyDescent="0.3">
      <c r="A812" t="s">
        <v>873</v>
      </c>
      <c r="B812" s="1">
        <v>45532</v>
      </c>
      <c r="C812" t="s">
        <v>2069</v>
      </c>
      <c r="D812" t="s">
        <v>2406</v>
      </c>
      <c r="E812">
        <v>5</v>
      </c>
      <c r="F812">
        <v>261.33</v>
      </c>
      <c r="G812" t="s">
        <v>2842</v>
      </c>
      <c r="H812" t="s">
        <v>3067</v>
      </c>
      <c r="I812" t="s">
        <v>3072</v>
      </c>
      <c r="J812" t="s">
        <v>3934</v>
      </c>
      <c r="K812">
        <v>5</v>
      </c>
      <c r="L812" t="s">
        <v>4275</v>
      </c>
      <c r="M812" t="s">
        <v>4279</v>
      </c>
      <c r="N812" s="5">
        <v>1306.6500000000001</v>
      </c>
      <c r="O812" t="str">
        <f>IF(ABS(Table1[[#This Row],[TotalPrice]]-Table1[[#This Row],[Quantity]]*Table1[[#This Row],[UnitPrice]]) &lt;0.01, "ok",)</f>
        <v>ok</v>
      </c>
      <c r="P812" t="str">
        <f>PROPER(TRIM(Table1[[#This Row],[ShippingAddress]]))</f>
        <v>154 Main St</v>
      </c>
      <c r="Q812" t="str">
        <f>PROPER(TRIM((Table1[[#This Row],[PaymentMethod]])))</f>
        <v>Credit Card</v>
      </c>
      <c r="R812" t="str">
        <f>PROPER(TRIM(Table1[[#This Row],[ReferralSource]]))</f>
        <v>Referral</v>
      </c>
      <c r="S812" s="5">
        <f>Table1[[#This Row],[TotalPrice]]/Table1[[#This Row],[ItemsInCart]]</f>
        <v>261.33000000000004</v>
      </c>
    </row>
    <row r="813" spans="1:19" x14ac:dyDescent="0.3">
      <c r="A813" t="s">
        <v>260</v>
      </c>
      <c r="B813" s="1">
        <v>45534</v>
      </c>
      <c r="C813" t="s">
        <v>1460</v>
      </c>
      <c r="D813" t="s">
        <v>2409</v>
      </c>
      <c r="E813">
        <v>2</v>
      </c>
      <c r="F813">
        <v>342.11</v>
      </c>
      <c r="G813" t="s">
        <v>2623</v>
      </c>
      <c r="H813" t="s">
        <v>3068</v>
      </c>
      <c r="I813" t="s">
        <v>3070</v>
      </c>
      <c r="J813" t="s">
        <v>3321</v>
      </c>
      <c r="K813">
        <v>2</v>
      </c>
      <c r="L813" t="s">
        <v>4277</v>
      </c>
      <c r="M813" t="s">
        <v>4278</v>
      </c>
      <c r="N813" s="5">
        <v>684.22</v>
      </c>
      <c r="O813" t="str">
        <f>IF(ABS(Table1[[#This Row],[TotalPrice]]-Table1[[#This Row],[Quantity]]*Table1[[#This Row],[UnitPrice]]) &lt;0.01, "ok",)</f>
        <v>ok</v>
      </c>
      <c r="P813" t="str">
        <f>PROPER(TRIM(Table1[[#This Row],[ShippingAddress]]))</f>
        <v>164 Main St</v>
      </c>
      <c r="Q813" t="str">
        <f>PROPER(TRIM((Table1[[#This Row],[PaymentMethod]])))</f>
        <v>Gift Card</v>
      </c>
      <c r="R813" t="str">
        <f>PROPER(TRIM(Table1[[#This Row],[ReferralSource]]))</f>
        <v>Instagram</v>
      </c>
      <c r="S813" s="5">
        <f>Table1[[#This Row],[TotalPrice]]/Table1[[#This Row],[ItemsInCart]]</f>
        <v>342.11</v>
      </c>
    </row>
    <row r="814" spans="1:19" x14ac:dyDescent="0.3">
      <c r="A814" t="s">
        <v>481</v>
      </c>
      <c r="B814" s="1">
        <v>45534</v>
      </c>
      <c r="C814" t="s">
        <v>1681</v>
      </c>
      <c r="D814" t="s">
        <v>2409</v>
      </c>
      <c r="E814">
        <v>1</v>
      </c>
      <c r="F814">
        <v>45.94</v>
      </c>
      <c r="G814" t="s">
        <v>2577</v>
      </c>
      <c r="H814" t="s">
        <v>3069</v>
      </c>
      <c r="I814" t="s">
        <v>3071</v>
      </c>
      <c r="J814" t="s">
        <v>3542</v>
      </c>
      <c r="K814">
        <v>2</v>
      </c>
      <c r="L814" t="s">
        <v>4277</v>
      </c>
      <c r="M814" t="s">
        <v>4280</v>
      </c>
      <c r="N814" s="5">
        <v>45.94</v>
      </c>
      <c r="O814" t="str">
        <f>IF(ABS(Table1[[#This Row],[TotalPrice]]-Table1[[#This Row],[Quantity]]*Table1[[#This Row],[UnitPrice]]) &lt;0.01, "ok",)</f>
        <v>ok</v>
      </c>
      <c r="P814" t="str">
        <f>PROPER(TRIM(Table1[[#This Row],[ShippingAddress]]))</f>
        <v>572 Main St</v>
      </c>
      <c r="Q814" t="str">
        <f>PROPER(TRIM((Table1[[#This Row],[PaymentMethod]])))</f>
        <v>Cash</v>
      </c>
      <c r="R814" t="str">
        <f>PROPER(TRIM(Table1[[#This Row],[ReferralSource]]))</f>
        <v>Email</v>
      </c>
      <c r="S814" s="5">
        <f>Table1[[#This Row],[TotalPrice]]/Table1[[#This Row],[ItemsInCart]]</f>
        <v>22.97</v>
      </c>
    </row>
    <row r="815" spans="1:19" x14ac:dyDescent="0.3">
      <c r="A815" t="s">
        <v>195</v>
      </c>
      <c r="B815" s="1">
        <v>45535</v>
      </c>
      <c r="C815" t="s">
        <v>1395</v>
      </c>
      <c r="D815" t="s">
        <v>2407</v>
      </c>
      <c r="E815">
        <v>5</v>
      </c>
      <c r="F815">
        <v>404.39</v>
      </c>
      <c r="G815" t="s">
        <v>2573</v>
      </c>
      <c r="H815" t="s">
        <v>3066</v>
      </c>
      <c r="I815" t="s">
        <v>3070</v>
      </c>
      <c r="J815" t="s">
        <v>3256</v>
      </c>
      <c r="K815">
        <v>10</v>
      </c>
      <c r="L815" t="s">
        <v>4283</v>
      </c>
      <c r="M815" t="s">
        <v>4279</v>
      </c>
      <c r="N815" s="5">
        <v>2021.95</v>
      </c>
      <c r="O815" t="str">
        <f>IF(ABS(Table1[[#This Row],[TotalPrice]]-Table1[[#This Row],[Quantity]]*Table1[[#This Row],[UnitPrice]]) &lt;0.01, "ok",)</f>
        <v>ok</v>
      </c>
      <c r="P815" t="str">
        <f>PROPER(TRIM(Table1[[#This Row],[ShippingAddress]]))</f>
        <v>247 Main St</v>
      </c>
      <c r="Q815" t="str">
        <f>PROPER(TRIM((Table1[[#This Row],[PaymentMethod]])))</f>
        <v>Online</v>
      </c>
      <c r="R815" t="str">
        <f>PROPER(TRIM(Table1[[#This Row],[ReferralSource]]))</f>
        <v>Referral</v>
      </c>
      <c r="S815" s="5">
        <f>Table1[[#This Row],[TotalPrice]]/Table1[[#This Row],[ItemsInCart]]</f>
        <v>202.19499999999999</v>
      </c>
    </row>
    <row r="816" spans="1:19" x14ac:dyDescent="0.3">
      <c r="A816" t="s">
        <v>204</v>
      </c>
      <c r="B816" s="1">
        <v>45535</v>
      </c>
      <c r="C816" t="s">
        <v>1404</v>
      </c>
      <c r="D816" t="s">
        <v>2407</v>
      </c>
      <c r="E816">
        <v>3</v>
      </c>
      <c r="F816">
        <v>223.7</v>
      </c>
      <c r="G816" t="s">
        <v>2582</v>
      </c>
      <c r="H816" t="s">
        <v>3069</v>
      </c>
      <c r="I816" t="s">
        <v>3072</v>
      </c>
      <c r="J816" t="s">
        <v>3265</v>
      </c>
      <c r="K816">
        <v>3</v>
      </c>
      <c r="L816" t="s">
        <v>4275</v>
      </c>
      <c r="M816" t="s">
        <v>4280</v>
      </c>
      <c r="N816" s="5">
        <v>671.09999999999991</v>
      </c>
      <c r="O816" t="str">
        <f>IF(ABS(Table1[[#This Row],[TotalPrice]]-Table1[[#This Row],[Quantity]]*Table1[[#This Row],[UnitPrice]]) &lt;0.01, "ok",)</f>
        <v>ok</v>
      </c>
      <c r="P816" t="str">
        <f>PROPER(TRIM(Table1[[#This Row],[ShippingAddress]]))</f>
        <v>725 Main St</v>
      </c>
      <c r="Q816" t="str">
        <f>PROPER(TRIM((Table1[[#This Row],[PaymentMethod]])))</f>
        <v>Cash</v>
      </c>
      <c r="R816" t="str">
        <f>PROPER(TRIM(Table1[[#This Row],[ReferralSource]]))</f>
        <v>Email</v>
      </c>
      <c r="S816" s="5">
        <f>Table1[[#This Row],[TotalPrice]]/Table1[[#This Row],[ItemsInCart]]</f>
        <v>223.69999999999996</v>
      </c>
    </row>
    <row r="817" spans="1:19" x14ac:dyDescent="0.3">
      <c r="A817" t="s">
        <v>645</v>
      </c>
      <c r="B817" s="1">
        <v>45535</v>
      </c>
      <c r="C817" t="s">
        <v>1844</v>
      </c>
      <c r="D817" t="s">
        <v>2406</v>
      </c>
      <c r="E817">
        <v>3</v>
      </c>
      <c r="F817">
        <v>46.11</v>
      </c>
      <c r="G817" t="s">
        <v>2645</v>
      </c>
      <c r="H817" t="s">
        <v>3068</v>
      </c>
      <c r="I817" t="s">
        <v>3072</v>
      </c>
      <c r="J817" t="s">
        <v>3706</v>
      </c>
      <c r="K817">
        <v>5</v>
      </c>
      <c r="L817" t="s">
        <v>4277</v>
      </c>
      <c r="M817" t="s">
        <v>4279</v>
      </c>
      <c r="N817" s="5">
        <v>138.33000000000001</v>
      </c>
      <c r="O817" t="str">
        <f>IF(ABS(Table1[[#This Row],[TotalPrice]]-Table1[[#This Row],[Quantity]]*Table1[[#This Row],[UnitPrice]]) &lt;0.01, "ok",)</f>
        <v>ok</v>
      </c>
      <c r="P817" t="str">
        <f>PROPER(TRIM(Table1[[#This Row],[ShippingAddress]]))</f>
        <v>360 Main St</v>
      </c>
      <c r="Q817" t="str">
        <f>PROPER(TRIM((Table1[[#This Row],[PaymentMethod]])))</f>
        <v>Gift Card</v>
      </c>
      <c r="R817" t="str">
        <f>PROPER(TRIM(Table1[[#This Row],[ReferralSource]]))</f>
        <v>Referral</v>
      </c>
      <c r="S817" s="5">
        <f>Table1[[#This Row],[TotalPrice]]/Table1[[#This Row],[ItemsInCart]]</f>
        <v>27.666000000000004</v>
      </c>
    </row>
    <row r="818" spans="1:19" x14ac:dyDescent="0.3">
      <c r="A818" t="s">
        <v>680</v>
      </c>
      <c r="B818" s="1">
        <v>45535</v>
      </c>
      <c r="C818" t="s">
        <v>1878</v>
      </c>
      <c r="D818" t="s">
        <v>2403</v>
      </c>
      <c r="E818">
        <v>4</v>
      </c>
      <c r="F818">
        <v>327.12</v>
      </c>
      <c r="G818" t="s">
        <v>2840</v>
      </c>
      <c r="H818" t="s">
        <v>3067</v>
      </c>
      <c r="I818" t="s">
        <v>3071</v>
      </c>
      <c r="J818" t="s">
        <v>3741</v>
      </c>
      <c r="K818">
        <v>4</v>
      </c>
      <c r="L818" t="s">
        <v>4283</v>
      </c>
      <c r="M818" t="s">
        <v>4280</v>
      </c>
      <c r="N818" s="5">
        <v>1308.48</v>
      </c>
      <c r="O818" t="str">
        <f>IF(ABS(Table1[[#This Row],[TotalPrice]]-Table1[[#This Row],[Quantity]]*Table1[[#This Row],[UnitPrice]]) &lt;0.01, "ok",)</f>
        <v>ok</v>
      </c>
      <c r="P818" t="str">
        <f>PROPER(TRIM(Table1[[#This Row],[ShippingAddress]]))</f>
        <v>788 Main St</v>
      </c>
      <c r="Q818" t="str">
        <f>PROPER(TRIM((Table1[[#This Row],[PaymentMethod]])))</f>
        <v>Credit Card</v>
      </c>
      <c r="R818" t="str">
        <f>PROPER(TRIM(Table1[[#This Row],[ReferralSource]]))</f>
        <v>Email</v>
      </c>
      <c r="S818" s="5">
        <f>Table1[[#This Row],[TotalPrice]]/Table1[[#This Row],[ItemsInCart]]</f>
        <v>327.12</v>
      </c>
    </row>
    <row r="819" spans="1:19" x14ac:dyDescent="0.3">
      <c r="A819" t="s">
        <v>1089</v>
      </c>
      <c r="B819" s="1">
        <v>45535</v>
      </c>
      <c r="C819" t="s">
        <v>2281</v>
      </c>
      <c r="D819" t="s">
        <v>2403</v>
      </c>
      <c r="E819">
        <v>2</v>
      </c>
      <c r="F819">
        <v>552.63</v>
      </c>
      <c r="G819" t="s">
        <v>2591</v>
      </c>
      <c r="H819" t="s">
        <v>3065</v>
      </c>
      <c r="I819" t="s">
        <v>3073</v>
      </c>
      <c r="J819" t="s">
        <v>4150</v>
      </c>
      <c r="K819">
        <v>7</v>
      </c>
      <c r="L819" t="s">
        <v>4277</v>
      </c>
      <c r="M819" t="s">
        <v>4278</v>
      </c>
      <c r="N819" s="5">
        <v>1105.26</v>
      </c>
      <c r="O819" t="str">
        <f>IF(ABS(Table1[[#This Row],[TotalPrice]]-Table1[[#This Row],[Quantity]]*Table1[[#This Row],[UnitPrice]]) &lt;0.01, "ok",)</f>
        <v>ok</v>
      </c>
      <c r="P819" t="str">
        <f>PROPER(TRIM(Table1[[#This Row],[ShippingAddress]]))</f>
        <v>609 Main St</v>
      </c>
      <c r="Q819" t="str">
        <f>PROPER(TRIM((Table1[[#This Row],[PaymentMethod]])))</f>
        <v>Debit Card</v>
      </c>
      <c r="R819" t="str">
        <f>PROPER(TRIM(Table1[[#This Row],[ReferralSource]]))</f>
        <v>Instagram</v>
      </c>
      <c r="S819" s="5">
        <f>Table1[[#This Row],[TotalPrice]]/Table1[[#This Row],[ItemsInCart]]</f>
        <v>157.8942857142857</v>
      </c>
    </row>
    <row r="820" spans="1:19" x14ac:dyDescent="0.3">
      <c r="A820" t="s">
        <v>314</v>
      </c>
      <c r="B820" s="1">
        <v>45537</v>
      </c>
      <c r="C820" t="s">
        <v>1514</v>
      </c>
      <c r="D820" t="s">
        <v>2404</v>
      </c>
      <c r="E820">
        <v>1</v>
      </c>
      <c r="F820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>
        <v>3</v>
      </c>
      <c r="L820" t="s">
        <v>4276</v>
      </c>
      <c r="M820" t="s">
        <v>4281</v>
      </c>
      <c r="N820" s="5">
        <v>287.45999999999998</v>
      </c>
      <c r="O820" t="str">
        <f>IF(ABS(Table1[[#This Row],[TotalPrice]]-Table1[[#This Row],[Quantity]]*Table1[[#This Row],[UnitPrice]]) &lt;0.01, "ok",)</f>
        <v>ok</v>
      </c>
      <c r="P820" t="str">
        <f>PROPER(TRIM(Table1[[#This Row],[ShippingAddress]]))</f>
        <v>894 Main St</v>
      </c>
      <c r="Q820" t="str">
        <f>PROPER(TRIM((Table1[[#This Row],[PaymentMethod]])))</f>
        <v>Debit Card</v>
      </c>
      <c r="R820" t="str">
        <f>PROPER(TRIM(Table1[[#This Row],[ReferralSource]]))</f>
        <v>Facebook</v>
      </c>
      <c r="S820" s="5">
        <f>Table1[[#This Row],[TotalPrice]]/Table1[[#This Row],[ItemsInCart]]</f>
        <v>95.82</v>
      </c>
    </row>
    <row r="821" spans="1:19" x14ac:dyDescent="0.3">
      <c r="A821" t="s">
        <v>632</v>
      </c>
      <c r="B821" s="1">
        <v>45538</v>
      </c>
      <c r="C821" t="s">
        <v>1831</v>
      </c>
      <c r="D821" t="s">
        <v>2405</v>
      </c>
      <c r="E821">
        <v>1</v>
      </c>
      <c r="F821">
        <v>411.34</v>
      </c>
      <c r="G821" t="s">
        <v>2845</v>
      </c>
      <c r="H821" t="s">
        <v>3065</v>
      </c>
      <c r="I821" t="s">
        <v>3072</v>
      </c>
      <c r="J821" t="s">
        <v>3693</v>
      </c>
      <c r="K821">
        <v>5</v>
      </c>
      <c r="L821" t="s">
        <v>4283</v>
      </c>
      <c r="M821" t="s">
        <v>4278</v>
      </c>
      <c r="N821" s="5">
        <v>411.34</v>
      </c>
      <c r="O821" t="str">
        <f>IF(ABS(Table1[[#This Row],[TotalPrice]]-Table1[[#This Row],[Quantity]]*Table1[[#This Row],[UnitPrice]]) &lt;0.01, "ok",)</f>
        <v>ok</v>
      </c>
      <c r="P821" t="str">
        <f>PROPER(TRIM(Table1[[#This Row],[ShippingAddress]]))</f>
        <v>399 Main St</v>
      </c>
      <c r="Q821" t="str">
        <f>PROPER(TRIM((Table1[[#This Row],[PaymentMethod]])))</f>
        <v>Debit Card</v>
      </c>
      <c r="R821" t="str">
        <f>PROPER(TRIM(Table1[[#This Row],[ReferralSource]]))</f>
        <v>Instagram</v>
      </c>
      <c r="S821" s="5">
        <f>Table1[[#This Row],[TotalPrice]]/Table1[[#This Row],[ItemsInCart]]</f>
        <v>82.268000000000001</v>
      </c>
    </row>
    <row r="822" spans="1:19" x14ac:dyDescent="0.3">
      <c r="A822" t="s">
        <v>911</v>
      </c>
      <c r="B822" s="1">
        <v>45538</v>
      </c>
      <c r="C822" t="s">
        <v>2107</v>
      </c>
      <c r="D822" t="s">
        <v>2408</v>
      </c>
      <c r="E822">
        <v>4</v>
      </c>
      <c r="F822">
        <v>481.48</v>
      </c>
      <c r="G822" t="s">
        <v>2589</v>
      </c>
      <c r="H822" t="s">
        <v>3068</v>
      </c>
      <c r="I822" t="s">
        <v>3073</v>
      </c>
      <c r="J822" t="s">
        <v>3972</v>
      </c>
      <c r="K822">
        <v>5</v>
      </c>
      <c r="L822" t="s">
        <v>4275</v>
      </c>
      <c r="M822" t="s">
        <v>4278</v>
      </c>
      <c r="N822" s="5">
        <v>1925.92</v>
      </c>
      <c r="O822" t="str">
        <f>IF(ABS(Table1[[#This Row],[TotalPrice]]-Table1[[#This Row],[Quantity]]*Table1[[#This Row],[UnitPrice]]) &lt;0.01, "ok",)</f>
        <v>ok</v>
      </c>
      <c r="P822" t="str">
        <f>PROPER(TRIM(Table1[[#This Row],[ShippingAddress]]))</f>
        <v>358 Main St</v>
      </c>
      <c r="Q822" t="str">
        <f>PROPER(TRIM((Table1[[#This Row],[PaymentMethod]])))</f>
        <v>Gift Card</v>
      </c>
      <c r="R822" t="str">
        <f>PROPER(TRIM(Table1[[#This Row],[ReferralSource]]))</f>
        <v>Instagram</v>
      </c>
      <c r="S822" s="5">
        <f>Table1[[#This Row],[TotalPrice]]/Table1[[#This Row],[ItemsInCart]]</f>
        <v>385.18400000000003</v>
      </c>
    </row>
    <row r="823" spans="1:19" x14ac:dyDescent="0.3">
      <c r="A823" t="s">
        <v>920</v>
      </c>
      <c r="B823" s="1">
        <v>45538</v>
      </c>
      <c r="C823" t="s">
        <v>2116</v>
      </c>
      <c r="D823" t="s">
        <v>2403</v>
      </c>
      <c r="E823">
        <v>1</v>
      </c>
      <c r="F823">
        <v>62.12</v>
      </c>
      <c r="G823" t="s">
        <v>2977</v>
      </c>
      <c r="H823" t="s">
        <v>3069</v>
      </c>
      <c r="I823" t="s">
        <v>3072</v>
      </c>
      <c r="J823" t="s">
        <v>3981</v>
      </c>
      <c r="K823">
        <v>2</v>
      </c>
      <c r="L823" t="s">
        <v>4283</v>
      </c>
      <c r="M823" t="s">
        <v>4280</v>
      </c>
      <c r="N823" s="5">
        <v>62.12</v>
      </c>
      <c r="O823" t="str">
        <f>IF(ABS(Table1[[#This Row],[TotalPrice]]-Table1[[#This Row],[Quantity]]*Table1[[#This Row],[UnitPrice]]) &lt;0.01, "ok",)</f>
        <v>ok</v>
      </c>
      <c r="P823" t="str">
        <f>PROPER(TRIM(Table1[[#This Row],[ShippingAddress]]))</f>
        <v>141 Main St</v>
      </c>
      <c r="Q823" t="str">
        <f>PROPER(TRIM((Table1[[#This Row],[PaymentMethod]])))</f>
        <v>Cash</v>
      </c>
      <c r="R823" t="str">
        <f>PROPER(TRIM(Table1[[#This Row],[ReferralSource]]))</f>
        <v>Email</v>
      </c>
      <c r="S823" s="5">
        <f>Table1[[#This Row],[TotalPrice]]/Table1[[#This Row],[ItemsInCart]]</f>
        <v>31.06</v>
      </c>
    </row>
    <row r="824" spans="1:19" x14ac:dyDescent="0.3">
      <c r="A824" t="s">
        <v>412</v>
      </c>
      <c r="B824" s="1">
        <v>45539</v>
      </c>
      <c r="C824" t="s">
        <v>1612</v>
      </c>
      <c r="D824" t="s">
        <v>2404</v>
      </c>
      <c r="E824">
        <v>5</v>
      </c>
      <c r="F824">
        <v>53.93</v>
      </c>
      <c r="G824" t="s">
        <v>2592</v>
      </c>
      <c r="H824" t="s">
        <v>3068</v>
      </c>
      <c r="I824" t="s">
        <v>3070</v>
      </c>
      <c r="J824" t="s">
        <v>3473</v>
      </c>
      <c r="K824">
        <v>7</v>
      </c>
      <c r="L824" t="s">
        <v>4275</v>
      </c>
      <c r="M824" t="s">
        <v>4278</v>
      </c>
      <c r="N824" s="5">
        <v>269.64999999999998</v>
      </c>
      <c r="O824" t="str">
        <f>IF(ABS(Table1[[#This Row],[TotalPrice]]-Table1[[#This Row],[Quantity]]*Table1[[#This Row],[UnitPrice]]) &lt;0.01, "ok",)</f>
        <v>ok</v>
      </c>
      <c r="P824" t="str">
        <f>PROPER(TRIM(Table1[[#This Row],[ShippingAddress]]))</f>
        <v>729 Main St</v>
      </c>
      <c r="Q824" t="str">
        <f>PROPER(TRIM((Table1[[#This Row],[PaymentMethod]])))</f>
        <v>Gift Card</v>
      </c>
      <c r="R824" t="str">
        <f>PROPER(TRIM(Table1[[#This Row],[ReferralSource]]))</f>
        <v>Instagram</v>
      </c>
      <c r="S824" s="5">
        <f>Table1[[#This Row],[TotalPrice]]/Table1[[#This Row],[ItemsInCart]]</f>
        <v>38.521428571428565</v>
      </c>
    </row>
    <row r="825" spans="1:19" x14ac:dyDescent="0.3">
      <c r="A825" t="s">
        <v>1174</v>
      </c>
      <c r="B825" s="1">
        <v>45539</v>
      </c>
      <c r="C825" t="s">
        <v>2363</v>
      </c>
      <c r="D825" t="s">
        <v>2409</v>
      </c>
      <c r="E825">
        <v>1</v>
      </c>
      <c r="F825">
        <v>541.64</v>
      </c>
      <c r="G825" t="s">
        <v>2777</v>
      </c>
      <c r="H825" t="s">
        <v>3065</v>
      </c>
      <c r="I825" t="s">
        <v>3070</v>
      </c>
      <c r="J825" t="s">
        <v>4235</v>
      </c>
      <c r="K825">
        <v>5</v>
      </c>
      <c r="L825" t="s">
        <v>4275</v>
      </c>
      <c r="M825" t="s">
        <v>4280</v>
      </c>
      <c r="N825" s="5">
        <v>541.64</v>
      </c>
      <c r="O825" t="str">
        <f>IF(ABS(Table1[[#This Row],[TotalPrice]]-Table1[[#This Row],[Quantity]]*Table1[[#This Row],[UnitPrice]]) &lt;0.01, "ok",)</f>
        <v>ok</v>
      </c>
      <c r="P825" t="str">
        <f>PROPER(TRIM(Table1[[#This Row],[ShippingAddress]]))</f>
        <v>449 Main St</v>
      </c>
      <c r="Q825" t="str">
        <f>PROPER(TRIM((Table1[[#This Row],[PaymentMethod]])))</f>
        <v>Debit Card</v>
      </c>
      <c r="R825" t="str">
        <f>PROPER(TRIM(Table1[[#This Row],[ReferralSource]]))</f>
        <v>Email</v>
      </c>
      <c r="S825" s="5">
        <f>Table1[[#This Row],[TotalPrice]]/Table1[[#This Row],[ItemsInCart]]</f>
        <v>108.328</v>
      </c>
    </row>
    <row r="826" spans="1:19" x14ac:dyDescent="0.3">
      <c r="A826" t="s">
        <v>976</v>
      </c>
      <c r="B826" s="1">
        <v>45541</v>
      </c>
      <c r="C826" t="s">
        <v>2169</v>
      </c>
      <c r="D826" t="s">
        <v>2404</v>
      </c>
      <c r="E826">
        <v>2</v>
      </c>
      <c r="F826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>
        <v>4</v>
      </c>
      <c r="L826" t="s">
        <v>4275</v>
      </c>
      <c r="M826" t="s">
        <v>4279</v>
      </c>
      <c r="N826" s="5">
        <v>284.16000000000003</v>
      </c>
      <c r="O826" t="str">
        <f>IF(ABS(Table1[[#This Row],[TotalPrice]]-Table1[[#This Row],[Quantity]]*Table1[[#This Row],[UnitPrice]]) &lt;0.01, "ok",)</f>
        <v>ok</v>
      </c>
      <c r="P826" t="str">
        <f>PROPER(TRIM(Table1[[#This Row],[ShippingAddress]]))</f>
        <v>838 Main St</v>
      </c>
      <c r="Q826" t="str">
        <f>PROPER(TRIM((Table1[[#This Row],[PaymentMethod]])))</f>
        <v>Gift Card</v>
      </c>
      <c r="R826" t="str">
        <f>PROPER(TRIM(Table1[[#This Row],[ReferralSource]]))</f>
        <v>Referral</v>
      </c>
      <c r="S826" s="5">
        <f>Table1[[#This Row],[TotalPrice]]/Table1[[#This Row],[ItemsInCart]]</f>
        <v>71.040000000000006</v>
      </c>
    </row>
    <row r="827" spans="1:19" x14ac:dyDescent="0.3">
      <c r="A827" t="s">
        <v>996</v>
      </c>
      <c r="B827" s="1">
        <v>45541</v>
      </c>
      <c r="C827" t="s">
        <v>2189</v>
      </c>
      <c r="D827" t="s">
        <v>2403</v>
      </c>
      <c r="E827">
        <v>1</v>
      </c>
      <c r="F827">
        <v>304.11</v>
      </c>
      <c r="G827" t="s">
        <v>2889</v>
      </c>
      <c r="H827" t="s">
        <v>3068</v>
      </c>
      <c r="I827" t="s">
        <v>3070</v>
      </c>
      <c r="J827" t="s">
        <v>4057</v>
      </c>
      <c r="K827">
        <v>2</v>
      </c>
      <c r="L827" t="s">
        <v>4275</v>
      </c>
      <c r="M827" t="s">
        <v>4279</v>
      </c>
      <c r="N827" s="5">
        <v>304.11</v>
      </c>
      <c r="O827" t="str">
        <f>IF(ABS(Table1[[#This Row],[TotalPrice]]-Table1[[#This Row],[Quantity]]*Table1[[#This Row],[UnitPrice]]) &lt;0.01, "ok",)</f>
        <v>ok</v>
      </c>
      <c r="P827" t="str">
        <f>PROPER(TRIM(Table1[[#This Row],[ShippingAddress]]))</f>
        <v>707 Main St</v>
      </c>
      <c r="Q827" t="str">
        <f>PROPER(TRIM((Table1[[#This Row],[PaymentMethod]])))</f>
        <v>Gift Card</v>
      </c>
      <c r="R827" t="str">
        <f>PROPER(TRIM(Table1[[#This Row],[ReferralSource]]))</f>
        <v>Referral</v>
      </c>
      <c r="S827" s="5">
        <f>Table1[[#This Row],[TotalPrice]]/Table1[[#This Row],[ItemsInCart]]</f>
        <v>152.05500000000001</v>
      </c>
    </row>
    <row r="828" spans="1:19" x14ac:dyDescent="0.3">
      <c r="A828" t="s">
        <v>1084</v>
      </c>
      <c r="B828" s="1">
        <v>45541</v>
      </c>
      <c r="C828" t="s">
        <v>2276</v>
      </c>
      <c r="D828" t="s">
        <v>2409</v>
      </c>
      <c r="E828">
        <v>4</v>
      </c>
      <c r="F828">
        <v>491.29</v>
      </c>
      <c r="G828" t="s">
        <v>2485</v>
      </c>
      <c r="H828" t="s">
        <v>3065</v>
      </c>
      <c r="I828" t="s">
        <v>3074</v>
      </c>
      <c r="J828" t="s">
        <v>4145</v>
      </c>
      <c r="K828">
        <v>6</v>
      </c>
      <c r="L828" t="s">
        <v>4283</v>
      </c>
      <c r="M828" t="s">
        <v>4280</v>
      </c>
      <c r="N828" s="5">
        <v>1965.16</v>
      </c>
      <c r="O828" t="str">
        <f>IF(ABS(Table1[[#This Row],[TotalPrice]]-Table1[[#This Row],[Quantity]]*Table1[[#This Row],[UnitPrice]]) &lt;0.01, "ok",)</f>
        <v>ok</v>
      </c>
      <c r="P828" t="str">
        <f>PROPER(TRIM(Table1[[#This Row],[ShippingAddress]]))</f>
        <v>496 Main St</v>
      </c>
      <c r="Q828" t="str">
        <f>PROPER(TRIM((Table1[[#This Row],[PaymentMethod]])))</f>
        <v>Debit Card</v>
      </c>
      <c r="R828" t="str">
        <f>PROPER(TRIM(Table1[[#This Row],[ReferralSource]]))</f>
        <v>Email</v>
      </c>
      <c r="S828" s="5">
        <f>Table1[[#This Row],[TotalPrice]]/Table1[[#This Row],[ItemsInCart]]</f>
        <v>327.5266666666667</v>
      </c>
    </row>
    <row r="829" spans="1:19" x14ac:dyDescent="0.3">
      <c r="A829" t="s">
        <v>984</v>
      </c>
      <c r="B829" s="1">
        <v>45542</v>
      </c>
      <c r="C829" t="s">
        <v>2177</v>
      </c>
      <c r="D829" t="s">
        <v>2409</v>
      </c>
      <c r="E829">
        <v>1</v>
      </c>
      <c r="F829">
        <v>627.15</v>
      </c>
      <c r="G829" t="s">
        <v>2992</v>
      </c>
      <c r="H829" t="s">
        <v>3069</v>
      </c>
      <c r="I829" t="s">
        <v>3073</v>
      </c>
      <c r="J829" t="s">
        <v>4045</v>
      </c>
      <c r="K829">
        <v>5</v>
      </c>
      <c r="L829" t="s">
        <v>4275</v>
      </c>
      <c r="M829" t="s">
        <v>4278</v>
      </c>
      <c r="N829" s="5">
        <v>627.15</v>
      </c>
      <c r="O829" t="str">
        <f>IF(ABS(Table1[[#This Row],[TotalPrice]]-Table1[[#This Row],[Quantity]]*Table1[[#This Row],[UnitPrice]]) &lt;0.01, "ok",)</f>
        <v>ok</v>
      </c>
      <c r="P829" t="str">
        <f>PROPER(TRIM(Table1[[#This Row],[ShippingAddress]]))</f>
        <v>241 Main St</v>
      </c>
      <c r="Q829" t="str">
        <f>PROPER(TRIM((Table1[[#This Row],[PaymentMethod]])))</f>
        <v>Cash</v>
      </c>
      <c r="R829" t="str">
        <f>PROPER(TRIM(Table1[[#This Row],[ReferralSource]]))</f>
        <v>Instagram</v>
      </c>
      <c r="S829" s="5">
        <f>Table1[[#This Row],[TotalPrice]]/Table1[[#This Row],[ItemsInCart]]</f>
        <v>125.42999999999999</v>
      </c>
    </row>
    <row r="830" spans="1:19" x14ac:dyDescent="0.3">
      <c r="A830" t="s">
        <v>1000</v>
      </c>
      <c r="B830" s="1">
        <v>45542</v>
      </c>
      <c r="C830" t="s">
        <v>2193</v>
      </c>
      <c r="D830" t="s">
        <v>2408</v>
      </c>
      <c r="E830">
        <v>4</v>
      </c>
      <c r="F830">
        <v>644.96</v>
      </c>
      <c r="G830" t="s">
        <v>2501</v>
      </c>
      <c r="H830" t="s">
        <v>3067</v>
      </c>
      <c r="I830" t="s">
        <v>3074</v>
      </c>
      <c r="J830" t="s">
        <v>4061</v>
      </c>
      <c r="K830">
        <v>7</v>
      </c>
      <c r="L830" t="s">
        <v>4276</v>
      </c>
      <c r="M830" t="s">
        <v>4280</v>
      </c>
      <c r="N830" s="5">
        <v>2579.84</v>
      </c>
      <c r="O830" t="str">
        <f>IF(ABS(Table1[[#This Row],[TotalPrice]]-Table1[[#This Row],[Quantity]]*Table1[[#This Row],[UnitPrice]]) &lt;0.01, "ok",)</f>
        <v>ok</v>
      </c>
      <c r="P830" t="str">
        <f>PROPER(TRIM(Table1[[#This Row],[ShippingAddress]]))</f>
        <v>533 Main St</v>
      </c>
      <c r="Q830" t="str">
        <f>PROPER(TRIM((Table1[[#This Row],[PaymentMethod]])))</f>
        <v>Credit Card</v>
      </c>
      <c r="R830" t="str">
        <f>PROPER(TRIM(Table1[[#This Row],[ReferralSource]]))</f>
        <v>Email</v>
      </c>
      <c r="S830" s="5">
        <f>Table1[[#This Row],[TotalPrice]]/Table1[[#This Row],[ItemsInCart]]</f>
        <v>368.54857142857145</v>
      </c>
    </row>
    <row r="831" spans="1:19" x14ac:dyDescent="0.3">
      <c r="A831" t="s">
        <v>66</v>
      </c>
      <c r="B831" s="1">
        <v>45543</v>
      </c>
      <c r="C831" t="s">
        <v>1266</v>
      </c>
      <c r="D831" t="s">
        <v>2405</v>
      </c>
      <c r="E831">
        <v>1</v>
      </c>
      <c r="F831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>
        <v>5</v>
      </c>
      <c r="L831" t="s">
        <v>4275</v>
      </c>
      <c r="M831" t="s">
        <v>4281</v>
      </c>
      <c r="N831" s="5">
        <v>586.44000000000005</v>
      </c>
      <c r="O831" t="str">
        <f>IF(ABS(Table1[[#This Row],[TotalPrice]]-Table1[[#This Row],[Quantity]]*Table1[[#This Row],[UnitPrice]]) &lt;0.01, "ok",)</f>
        <v>ok</v>
      </c>
      <c r="P831" t="str">
        <f>PROPER(TRIM(Table1[[#This Row],[ShippingAddress]]))</f>
        <v>232 Main St</v>
      </c>
      <c r="Q831" t="str">
        <f>PROPER(TRIM((Table1[[#This Row],[PaymentMethod]])))</f>
        <v>Online</v>
      </c>
      <c r="R831" t="str">
        <f>PROPER(TRIM(Table1[[#This Row],[ReferralSource]]))</f>
        <v>Facebook</v>
      </c>
      <c r="S831" s="5">
        <f>Table1[[#This Row],[TotalPrice]]/Table1[[#This Row],[ItemsInCart]]</f>
        <v>117.28800000000001</v>
      </c>
    </row>
    <row r="832" spans="1:19" x14ac:dyDescent="0.3">
      <c r="A832" t="s">
        <v>453</v>
      </c>
      <c r="B832" s="1">
        <v>45543</v>
      </c>
      <c r="C832" t="s">
        <v>1653</v>
      </c>
      <c r="D832" t="s">
        <v>2405</v>
      </c>
      <c r="E832">
        <v>1</v>
      </c>
      <c r="F832">
        <v>146.32</v>
      </c>
      <c r="G832" t="s">
        <v>2753</v>
      </c>
      <c r="H832" t="s">
        <v>3066</v>
      </c>
      <c r="I832" t="s">
        <v>3070</v>
      </c>
      <c r="J832" t="s">
        <v>3514</v>
      </c>
      <c r="K832">
        <v>4</v>
      </c>
      <c r="L832" t="s">
        <v>4277</v>
      </c>
      <c r="M832" t="s">
        <v>4281</v>
      </c>
      <c r="N832" s="5">
        <v>146.32</v>
      </c>
      <c r="O832" t="str">
        <f>IF(ABS(Table1[[#This Row],[TotalPrice]]-Table1[[#This Row],[Quantity]]*Table1[[#This Row],[UnitPrice]]) &lt;0.01, "ok",)</f>
        <v>ok</v>
      </c>
      <c r="P832" t="str">
        <f>PROPER(TRIM(Table1[[#This Row],[ShippingAddress]]))</f>
        <v>321 Main St</v>
      </c>
      <c r="Q832" t="str">
        <f>PROPER(TRIM((Table1[[#This Row],[PaymentMethod]])))</f>
        <v>Online</v>
      </c>
      <c r="R832" t="str">
        <f>PROPER(TRIM(Table1[[#This Row],[ReferralSource]]))</f>
        <v>Facebook</v>
      </c>
      <c r="S832" s="5">
        <f>Table1[[#This Row],[TotalPrice]]/Table1[[#This Row],[ItemsInCart]]</f>
        <v>36.58</v>
      </c>
    </row>
    <row r="833" spans="1:19" x14ac:dyDescent="0.3">
      <c r="A833" t="s">
        <v>1192</v>
      </c>
      <c r="B833" s="1">
        <v>45543</v>
      </c>
      <c r="C833" t="s">
        <v>2381</v>
      </c>
      <c r="D833" t="s">
        <v>2403</v>
      </c>
      <c r="E833">
        <v>1</v>
      </c>
      <c r="F833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>
        <v>4</v>
      </c>
      <c r="L833" t="s">
        <v>4276</v>
      </c>
      <c r="M833" t="s">
        <v>4282</v>
      </c>
      <c r="N833" s="5">
        <v>70.239999999999995</v>
      </c>
      <c r="O833" t="str">
        <f>IF(ABS(Table1[[#This Row],[TotalPrice]]-Table1[[#This Row],[Quantity]]*Table1[[#This Row],[UnitPrice]]) &lt;0.01, "ok",)</f>
        <v>ok</v>
      </c>
      <c r="P833" t="str">
        <f>PROPER(TRIM(Table1[[#This Row],[ShippingAddress]]))</f>
        <v>456 Main St</v>
      </c>
      <c r="Q833" t="str">
        <f>PROPER(TRIM((Table1[[#This Row],[PaymentMethod]])))</f>
        <v>Credit Card</v>
      </c>
      <c r="R833" t="str">
        <f>PROPER(TRIM(Table1[[#This Row],[ReferralSource]]))</f>
        <v>Google</v>
      </c>
      <c r="S833" s="5">
        <f>Table1[[#This Row],[TotalPrice]]/Table1[[#This Row],[ItemsInCart]]</f>
        <v>17.559999999999999</v>
      </c>
    </row>
    <row r="834" spans="1:19" x14ac:dyDescent="0.3">
      <c r="A834" t="s">
        <v>99</v>
      </c>
      <c r="B834" s="1">
        <v>45544</v>
      </c>
      <c r="C834" t="s">
        <v>1299</v>
      </c>
      <c r="D834" t="s">
        <v>2405</v>
      </c>
      <c r="E834">
        <v>3</v>
      </c>
      <c r="F834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>
        <v>8</v>
      </c>
      <c r="L834" t="s">
        <v>4276</v>
      </c>
      <c r="M834" t="s">
        <v>4280</v>
      </c>
      <c r="N834" s="5">
        <v>440.18999999999988</v>
      </c>
      <c r="O834" t="str">
        <f>IF(ABS(Table1[[#This Row],[TotalPrice]]-Table1[[#This Row],[Quantity]]*Table1[[#This Row],[UnitPrice]]) &lt;0.01, "ok",)</f>
        <v>ok</v>
      </c>
      <c r="P834" t="str">
        <f>PROPER(TRIM(Table1[[#This Row],[ShippingAddress]]))</f>
        <v>768 Main St</v>
      </c>
      <c r="Q834" t="str">
        <f>PROPER(TRIM((Table1[[#This Row],[PaymentMethod]])))</f>
        <v>Cash</v>
      </c>
      <c r="R834" t="str">
        <f>PROPER(TRIM(Table1[[#This Row],[ReferralSource]]))</f>
        <v>Email</v>
      </c>
      <c r="S834" s="5">
        <f>Table1[[#This Row],[TotalPrice]]/Table1[[#This Row],[ItemsInCart]]</f>
        <v>55.023749999999986</v>
      </c>
    </row>
    <row r="835" spans="1:19" x14ac:dyDescent="0.3">
      <c r="A835" t="s">
        <v>291</v>
      </c>
      <c r="B835" s="1">
        <v>45544</v>
      </c>
      <c r="C835" t="s">
        <v>1491</v>
      </c>
      <c r="D835" t="s">
        <v>2406</v>
      </c>
      <c r="E835">
        <v>5</v>
      </c>
      <c r="F835">
        <v>90.92</v>
      </c>
      <c r="G835" t="s">
        <v>2647</v>
      </c>
      <c r="H835" t="s">
        <v>3067</v>
      </c>
      <c r="I835" t="s">
        <v>3073</v>
      </c>
      <c r="J835" t="s">
        <v>3352</v>
      </c>
      <c r="K835">
        <v>9</v>
      </c>
      <c r="L835" t="s">
        <v>4275</v>
      </c>
      <c r="M835" t="s">
        <v>4281</v>
      </c>
      <c r="N835" s="5">
        <v>454.6</v>
      </c>
      <c r="O835" t="str">
        <f>IF(ABS(Table1[[#This Row],[TotalPrice]]-Table1[[#This Row],[Quantity]]*Table1[[#This Row],[UnitPrice]]) &lt;0.01, "ok",)</f>
        <v>ok</v>
      </c>
      <c r="P835" t="str">
        <f>PROPER(TRIM(Table1[[#This Row],[ShippingAddress]]))</f>
        <v>910 Main St</v>
      </c>
      <c r="Q835" t="str">
        <f>PROPER(TRIM((Table1[[#This Row],[PaymentMethod]])))</f>
        <v>Credit Card</v>
      </c>
      <c r="R835" t="str">
        <f>PROPER(TRIM(Table1[[#This Row],[ReferralSource]]))</f>
        <v>Facebook</v>
      </c>
      <c r="S835" s="5">
        <f>Table1[[#This Row],[TotalPrice]]/Table1[[#This Row],[ItemsInCart]]</f>
        <v>50.511111111111113</v>
      </c>
    </row>
    <row r="836" spans="1:19" x14ac:dyDescent="0.3">
      <c r="A836" t="s">
        <v>1062</v>
      </c>
      <c r="B836" s="1">
        <v>45544</v>
      </c>
      <c r="C836" t="s">
        <v>2254</v>
      </c>
      <c r="D836" t="s">
        <v>2403</v>
      </c>
      <c r="E836">
        <v>4</v>
      </c>
      <c r="F836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>
        <v>9</v>
      </c>
      <c r="L836" t="s">
        <v>4283</v>
      </c>
      <c r="M836" t="s">
        <v>4282</v>
      </c>
      <c r="N836" s="5">
        <v>294.60000000000002</v>
      </c>
      <c r="O836" t="str">
        <f>IF(ABS(Table1[[#This Row],[TotalPrice]]-Table1[[#This Row],[Quantity]]*Table1[[#This Row],[UnitPrice]]) &lt;0.01, "ok",)</f>
        <v>ok</v>
      </c>
      <c r="P836" t="str">
        <f>PROPER(TRIM(Table1[[#This Row],[ShippingAddress]]))</f>
        <v>889 Main St</v>
      </c>
      <c r="Q836" t="str">
        <f>PROPER(TRIM((Table1[[#This Row],[PaymentMethod]])))</f>
        <v>Debit Card</v>
      </c>
      <c r="R836" t="str">
        <f>PROPER(TRIM(Table1[[#This Row],[ReferralSource]]))</f>
        <v>Google</v>
      </c>
      <c r="S836" s="5">
        <f>Table1[[#This Row],[TotalPrice]]/Table1[[#This Row],[ItemsInCart]]</f>
        <v>32.733333333333334</v>
      </c>
    </row>
    <row r="837" spans="1:19" x14ac:dyDescent="0.3">
      <c r="A837" t="s">
        <v>1189</v>
      </c>
      <c r="B837" s="1">
        <v>45545</v>
      </c>
      <c r="C837" t="s">
        <v>2378</v>
      </c>
      <c r="D837" t="s">
        <v>2407</v>
      </c>
      <c r="E837">
        <v>3</v>
      </c>
      <c r="F837">
        <v>91.74</v>
      </c>
      <c r="G837" t="s">
        <v>2666</v>
      </c>
      <c r="H837" t="s">
        <v>3065</v>
      </c>
      <c r="I837" t="s">
        <v>3072</v>
      </c>
      <c r="J837" t="s">
        <v>4250</v>
      </c>
      <c r="K837">
        <v>8</v>
      </c>
      <c r="L837" t="s">
        <v>4276</v>
      </c>
      <c r="M837" t="s">
        <v>4279</v>
      </c>
      <c r="N837" s="5">
        <v>275.22000000000003</v>
      </c>
      <c r="O837" t="str">
        <f>IF(ABS(Table1[[#This Row],[TotalPrice]]-Table1[[#This Row],[Quantity]]*Table1[[#This Row],[UnitPrice]]) &lt;0.01, "ok",)</f>
        <v>ok</v>
      </c>
      <c r="P837" t="str">
        <f>PROPER(TRIM(Table1[[#This Row],[ShippingAddress]]))</f>
        <v>368 Main St</v>
      </c>
      <c r="Q837" t="str">
        <f>PROPER(TRIM((Table1[[#This Row],[PaymentMethod]])))</f>
        <v>Debit Card</v>
      </c>
      <c r="R837" t="str">
        <f>PROPER(TRIM(Table1[[#This Row],[ReferralSource]]))</f>
        <v>Referral</v>
      </c>
      <c r="S837" s="5">
        <f>Table1[[#This Row],[TotalPrice]]/Table1[[#This Row],[ItemsInCart]]</f>
        <v>34.402500000000003</v>
      </c>
    </row>
    <row r="838" spans="1:19" x14ac:dyDescent="0.3">
      <c r="A838" t="s">
        <v>73</v>
      </c>
      <c r="B838" s="1">
        <v>45546</v>
      </c>
      <c r="C838" t="s">
        <v>1273</v>
      </c>
      <c r="D838" t="s">
        <v>2406</v>
      </c>
      <c r="E838">
        <v>4</v>
      </c>
      <c r="F838">
        <v>593.27</v>
      </c>
      <c r="G838" t="s">
        <v>2465</v>
      </c>
      <c r="H838" t="s">
        <v>3066</v>
      </c>
      <c r="I838" t="s">
        <v>3070</v>
      </c>
      <c r="J838" t="s">
        <v>3134</v>
      </c>
      <c r="K838">
        <v>5</v>
      </c>
      <c r="L838" t="s">
        <v>4283</v>
      </c>
      <c r="M838" t="s">
        <v>4281</v>
      </c>
      <c r="N838" s="5">
        <v>2373.08</v>
      </c>
      <c r="O838" t="str">
        <f>IF(ABS(Table1[[#This Row],[TotalPrice]]-Table1[[#This Row],[Quantity]]*Table1[[#This Row],[UnitPrice]]) &lt;0.01, "ok",)</f>
        <v>ok</v>
      </c>
      <c r="P838" t="str">
        <f>PROPER(TRIM(Table1[[#This Row],[ShippingAddress]]))</f>
        <v>811 Main St</v>
      </c>
      <c r="Q838" t="str">
        <f>PROPER(TRIM((Table1[[#This Row],[PaymentMethod]])))</f>
        <v>Online</v>
      </c>
      <c r="R838" t="str">
        <f>PROPER(TRIM(Table1[[#This Row],[ReferralSource]]))</f>
        <v>Facebook</v>
      </c>
      <c r="S838" s="5">
        <f>Table1[[#This Row],[TotalPrice]]/Table1[[#This Row],[ItemsInCart]]</f>
        <v>474.61599999999999</v>
      </c>
    </row>
    <row r="839" spans="1:19" x14ac:dyDescent="0.3">
      <c r="A839" t="s">
        <v>237</v>
      </c>
      <c r="B839" s="1">
        <v>45546</v>
      </c>
      <c r="C839" t="s">
        <v>1437</v>
      </c>
      <c r="D839" t="s">
        <v>2404</v>
      </c>
      <c r="E839">
        <v>4</v>
      </c>
      <c r="F839">
        <v>692.91</v>
      </c>
      <c r="G839" t="s">
        <v>2523</v>
      </c>
      <c r="H839" t="s">
        <v>3067</v>
      </c>
      <c r="I839" t="s">
        <v>3074</v>
      </c>
      <c r="J839" t="s">
        <v>3298</v>
      </c>
      <c r="K839">
        <v>9</v>
      </c>
      <c r="L839" t="s">
        <v>4275</v>
      </c>
      <c r="M839" t="s">
        <v>4278</v>
      </c>
      <c r="N839" s="5">
        <v>2771.64</v>
      </c>
      <c r="O839" t="str">
        <f>IF(ABS(Table1[[#This Row],[TotalPrice]]-Table1[[#This Row],[Quantity]]*Table1[[#This Row],[UnitPrice]]) &lt;0.01, "ok",)</f>
        <v>ok</v>
      </c>
      <c r="P839" t="str">
        <f>PROPER(TRIM(Table1[[#This Row],[ShippingAddress]]))</f>
        <v>673 Main St</v>
      </c>
      <c r="Q839" t="str">
        <f>PROPER(TRIM((Table1[[#This Row],[PaymentMethod]])))</f>
        <v>Credit Card</v>
      </c>
      <c r="R839" t="str">
        <f>PROPER(TRIM(Table1[[#This Row],[ReferralSource]]))</f>
        <v>Instagram</v>
      </c>
      <c r="S839" s="5">
        <f>Table1[[#This Row],[TotalPrice]]/Table1[[#This Row],[ItemsInCart]]</f>
        <v>307.95999999999998</v>
      </c>
    </row>
    <row r="840" spans="1:19" x14ac:dyDescent="0.3">
      <c r="A840" t="s">
        <v>179</v>
      </c>
      <c r="B840" s="1">
        <v>45549</v>
      </c>
      <c r="C840" t="s">
        <v>1379</v>
      </c>
      <c r="D840" t="s">
        <v>2403</v>
      </c>
      <c r="E840">
        <v>2</v>
      </c>
      <c r="F840">
        <v>500.29</v>
      </c>
      <c r="G840" t="s">
        <v>2559</v>
      </c>
      <c r="H840" t="s">
        <v>3066</v>
      </c>
      <c r="I840" t="s">
        <v>3072</v>
      </c>
      <c r="J840" t="s">
        <v>3240</v>
      </c>
      <c r="K840">
        <v>7</v>
      </c>
      <c r="L840" t="s">
        <v>4277</v>
      </c>
      <c r="M840" t="s">
        <v>4282</v>
      </c>
      <c r="N840" s="5">
        <v>1000.58</v>
      </c>
      <c r="O840" t="str">
        <f>IF(ABS(Table1[[#This Row],[TotalPrice]]-Table1[[#This Row],[Quantity]]*Table1[[#This Row],[UnitPrice]]) &lt;0.01, "ok",)</f>
        <v>ok</v>
      </c>
      <c r="P840" t="str">
        <f>PROPER(TRIM(Table1[[#This Row],[ShippingAddress]]))</f>
        <v>226 Main St</v>
      </c>
      <c r="Q840" t="str">
        <f>PROPER(TRIM((Table1[[#This Row],[PaymentMethod]])))</f>
        <v>Online</v>
      </c>
      <c r="R840" t="str">
        <f>PROPER(TRIM(Table1[[#This Row],[ReferralSource]]))</f>
        <v>Google</v>
      </c>
      <c r="S840" s="5">
        <f>Table1[[#This Row],[TotalPrice]]/Table1[[#This Row],[ItemsInCart]]</f>
        <v>142.94</v>
      </c>
    </row>
    <row r="841" spans="1:19" x14ac:dyDescent="0.3">
      <c r="A841" t="s">
        <v>804</v>
      </c>
      <c r="B841" s="1">
        <v>45549</v>
      </c>
      <c r="C841" t="s">
        <v>2001</v>
      </c>
      <c r="D841" t="s">
        <v>2408</v>
      </c>
      <c r="E841">
        <v>4</v>
      </c>
      <c r="F841">
        <v>417.89</v>
      </c>
      <c r="G841" t="s">
        <v>2925</v>
      </c>
      <c r="H841" t="s">
        <v>3068</v>
      </c>
      <c r="I841" t="s">
        <v>3074</v>
      </c>
      <c r="J841" t="s">
        <v>3865</v>
      </c>
      <c r="K841">
        <v>4</v>
      </c>
      <c r="L841" t="s">
        <v>4283</v>
      </c>
      <c r="M841" t="s">
        <v>4282</v>
      </c>
      <c r="N841" s="5">
        <v>1671.56</v>
      </c>
      <c r="O841" t="str">
        <f>IF(ABS(Table1[[#This Row],[TotalPrice]]-Table1[[#This Row],[Quantity]]*Table1[[#This Row],[UnitPrice]]) &lt;0.01, "ok",)</f>
        <v>ok</v>
      </c>
      <c r="P841" t="str">
        <f>PROPER(TRIM(Table1[[#This Row],[ShippingAddress]]))</f>
        <v>302 Main St</v>
      </c>
      <c r="Q841" t="str">
        <f>PROPER(TRIM((Table1[[#This Row],[PaymentMethod]])))</f>
        <v>Gift Card</v>
      </c>
      <c r="R841" t="str">
        <f>PROPER(TRIM(Table1[[#This Row],[ReferralSource]]))</f>
        <v>Google</v>
      </c>
      <c r="S841" s="5">
        <f>Table1[[#This Row],[TotalPrice]]/Table1[[#This Row],[ItemsInCart]]</f>
        <v>417.89</v>
      </c>
    </row>
    <row r="842" spans="1:19" x14ac:dyDescent="0.3">
      <c r="A842" t="s">
        <v>1067</v>
      </c>
      <c r="B842" s="1">
        <v>45550</v>
      </c>
      <c r="C842" t="s">
        <v>2259</v>
      </c>
      <c r="D842" t="s">
        <v>2404</v>
      </c>
      <c r="E842">
        <v>2</v>
      </c>
      <c r="F842">
        <v>496.62</v>
      </c>
      <c r="G842" t="s">
        <v>2984</v>
      </c>
      <c r="H842" t="s">
        <v>3066</v>
      </c>
      <c r="I842" t="s">
        <v>3074</v>
      </c>
      <c r="J842" t="s">
        <v>4128</v>
      </c>
      <c r="K842">
        <v>2</v>
      </c>
      <c r="L842" t="s">
        <v>4275</v>
      </c>
      <c r="M842" t="s">
        <v>4278</v>
      </c>
      <c r="N842" s="5">
        <v>993.24</v>
      </c>
      <c r="O842" t="str">
        <f>IF(ABS(Table1[[#This Row],[TotalPrice]]-Table1[[#This Row],[Quantity]]*Table1[[#This Row],[UnitPrice]]) &lt;0.01, "ok",)</f>
        <v>ok</v>
      </c>
      <c r="P842" t="str">
        <f>PROPER(TRIM(Table1[[#This Row],[ShippingAddress]]))</f>
        <v>679 Main St</v>
      </c>
      <c r="Q842" t="str">
        <f>PROPER(TRIM((Table1[[#This Row],[PaymentMethod]])))</f>
        <v>Online</v>
      </c>
      <c r="R842" t="str">
        <f>PROPER(TRIM(Table1[[#This Row],[ReferralSource]]))</f>
        <v>Instagram</v>
      </c>
      <c r="S842" s="5">
        <f>Table1[[#This Row],[TotalPrice]]/Table1[[#This Row],[ItemsInCart]]</f>
        <v>496.62</v>
      </c>
    </row>
    <row r="843" spans="1:19" x14ac:dyDescent="0.3">
      <c r="A843" t="s">
        <v>388</v>
      </c>
      <c r="B843" s="1">
        <v>45551</v>
      </c>
      <c r="C843" t="s">
        <v>1588</v>
      </c>
      <c r="D843" t="s">
        <v>2403</v>
      </c>
      <c r="E843">
        <v>1</v>
      </c>
      <c r="F843">
        <v>571.9</v>
      </c>
      <c r="G843" t="s">
        <v>2477</v>
      </c>
      <c r="H843" t="s">
        <v>3068</v>
      </c>
      <c r="I843" t="s">
        <v>3074</v>
      </c>
      <c r="J843" t="s">
        <v>3449</v>
      </c>
      <c r="K843">
        <v>1</v>
      </c>
      <c r="L843" t="s">
        <v>4277</v>
      </c>
      <c r="M843" t="s">
        <v>4278</v>
      </c>
      <c r="N843" s="5">
        <v>571.9</v>
      </c>
      <c r="O843" t="str">
        <f>IF(ABS(Table1[[#This Row],[TotalPrice]]-Table1[[#This Row],[Quantity]]*Table1[[#This Row],[UnitPrice]]) &lt;0.01, "ok",)</f>
        <v>ok</v>
      </c>
      <c r="P843" t="str">
        <f>PROPER(TRIM(Table1[[#This Row],[ShippingAddress]]))</f>
        <v>129 Main St</v>
      </c>
      <c r="Q843" t="str">
        <f>PROPER(TRIM((Table1[[#This Row],[PaymentMethod]])))</f>
        <v>Gift Card</v>
      </c>
      <c r="R843" t="str">
        <f>PROPER(TRIM(Table1[[#This Row],[ReferralSource]]))</f>
        <v>Instagram</v>
      </c>
      <c r="S843" s="5">
        <f>Table1[[#This Row],[TotalPrice]]/Table1[[#This Row],[ItemsInCart]]</f>
        <v>571.9</v>
      </c>
    </row>
    <row r="844" spans="1:19" x14ac:dyDescent="0.3">
      <c r="A844" t="s">
        <v>776</v>
      </c>
      <c r="B844" s="1">
        <v>45552</v>
      </c>
      <c r="C844" t="s">
        <v>1973</v>
      </c>
      <c r="D844" t="s">
        <v>2404</v>
      </c>
      <c r="E844">
        <v>3</v>
      </c>
      <c r="F844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>
        <v>8</v>
      </c>
      <c r="L844" t="s">
        <v>4276</v>
      </c>
      <c r="M844" t="s">
        <v>4280</v>
      </c>
      <c r="N844" s="5">
        <v>230.88</v>
      </c>
      <c r="O844" t="str">
        <f>IF(ABS(Table1[[#This Row],[TotalPrice]]-Table1[[#This Row],[Quantity]]*Table1[[#This Row],[UnitPrice]]) &lt;0.01, "ok",)</f>
        <v>ok</v>
      </c>
      <c r="P844" t="str">
        <f>PROPER(TRIM(Table1[[#This Row],[ShippingAddress]]))</f>
        <v>611 Main St</v>
      </c>
      <c r="Q844" t="str">
        <f>PROPER(TRIM((Table1[[#This Row],[PaymentMethod]])))</f>
        <v>Cash</v>
      </c>
      <c r="R844" t="str">
        <f>PROPER(TRIM(Table1[[#This Row],[ReferralSource]]))</f>
        <v>Email</v>
      </c>
      <c r="S844" s="5">
        <f>Table1[[#This Row],[TotalPrice]]/Table1[[#This Row],[ItemsInCart]]</f>
        <v>28.86</v>
      </c>
    </row>
    <row r="845" spans="1:19" x14ac:dyDescent="0.3">
      <c r="A845" t="s">
        <v>855</v>
      </c>
      <c r="B845" s="1">
        <v>45554</v>
      </c>
      <c r="C845" t="s">
        <v>2051</v>
      </c>
      <c r="D845" t="s">
        <v>2407</v>
      </c>
      <c r="E845">
        <v>2</v>
      </c>
      <c r="F845">
        <v>443.22</v>
      </c>
      <c r="G845" t="s">
        <v>2950</v>
      </c>
      <c r="H845" t="s">
        <v>3067</v>
      </c>
      <c r="I845" t="s">
        <v>3073</v>
      </c>
      <c r="J845" t="s">
        <v>3916</v>
      </c>
      <c r="K845">
        <v>5</v>
      </c>
      <c r="L845" t="s">
        <v>4283</v>
      </c>
      <c r="M845" t="s">
        <v>4281</v>
      </c>
      <c r="N845" s="5">
        <v>886.44</v>
      </c>
      <c r="O845" t="str">
        <f>IF(ABS(Table1[[#This Row],[TotalPrice]]-Table1[[#This Row],[Quantity]]*Table1[[#This Row],[UnitPrice]]) &lt;0.01, "ok",)</f>
        <v>ok</v>
      </c>
      <c r="P845" t="str">
        <f>PROPER(TRIM(Table1[[#This Row],[ShippingAddress]]))</f>
        <v>742 Main St</v>
      </c>
      <c r="Q845" t="str">
        <f>PROPER(TRIM((Table1[[#This Row],[PaymentMethod]])))</f>
        <v>Credit Card</v>
      </c>
      <c r="R845" t="str">
        <f>PROPER(TRIM(Table1[[#This Row],[ReferralSource]]))</f>
        <v>Facebook</v>
      </c>
      <c r="S845" s="5">
        <f>Table1[[#This Row],[TotalPrice]]/Table1[[#This Row],[ItemsInCart]]</f>
        <v>177.28800000000001</v>
      </c>
    </row>
    <row r="846" spans="1:19" x14ac:dyDescent="0.3">
      <c r="A846" t="s">
        <v>1113</v>
      </c>
      <c r="B846" s="1">
        <v>45554</v>
      </c>
      <c r="C846" t="s">
        <v>2305</v>
      </c>
      <c r="D846" t="s">
        <v>2408</v>
      </c>
      <c r="E846">
        <v>2</v>
      </c>
      <c r="F846">
        <v>125.23</v>
      </c>
      <c r="G846" t="s">
        <v>2724</v>
      </c>
      <c r="H846" t="s">
        <v>3069</v>
      </c>
      <c r="I846" t="s">
        <v>3071</v>
      </c>
      <c r="J846" t="s">
        <v>4174</v>
      </c>
      <c r="K846">
        <v>3</v>
      </c>
      <c r="L846" t="s">
        <v>4276</v>
      </c>
      <c r="M846" t="s">
        <v>4280</v>
      </c>
      <c r="N846" s="5">
        <v>250.46</v>
      </c>
      <c r="O846" t="str">
        <f>IF(ABS(Table1[[#This Row],[TotalPrice]]-Table1[[#This Row],[Quantity]]*Table1[[#This Row],[UnitPrice]]) &lt;0.01, "ok",)</f>
        <v>ok</v>
      </c>
      <c r="P846" t="str">
        <f>PROPER(TRIM(Table1[[#This Row],[ShippingAddress]]))</f>
        <v>272 Main St</v>
      </c>
      <c r="Q846" t="str">
        <f>PROPER(TRIM((Table1[[#This Row],[PaymentMethod]])))</f>
        <v>Cash</v>
      </c>
      <c r="R846" t="str">
        <f>PROPER(TRIM(Table1[[#This Row],[ReferralSource]]))</f>
        <v>Email</v>
      </c>
      <c r="S846" s="5">
        <f>Table1[[#This Row],[TotalPrice]]/Table1[[#This Row],[ItemsInCart]]</f>
        <v>83.486666666666665</v>
      </c>
    </row>
    <row r="847" spans="1:19" x14ac:dyDescent="0.3">
      <c r="A847" t="s">
        <v>43</v>
      </c>
      <c r="B847" s="1">
        <v>45555</v>
      </c>
      <c r="C847" t="s">
        <v>1243</v>
      </c>
      <c r="D847" t="s">
        <v>2409</v>
      </c>
      <c r="E847">
        <v>3</v>
      </c>
      <c r="F847">
        <v>423.53</v>
      </c>
      <c r="G847" t="s">
        <v>2439</v>
      </c>
      <c r="H847" t="s">
        <v>3067</v>
      </c>
      <c r="I847" t="s">
        <v>3073</v>
      </c>
      <c r="J847" t="s">
        <v>3104</v>
      </c>
      <c r="K847">
        <v>6</v>
      </c>
      <c r="L847" t="s">
        <v>4275</v>
      </c>
      <c r="M847" t="s">
        <v>4279</v>
      </c>
      <c r="N847" s="5">
        <v>1270.5899999999999</v>
      </c>
      <c r="O847" t="str">
        <f>IF(ABS(Table1[[#This Row],[TotalPrice]]-Table1[[#This Row],[Quantity]]*Table1[[#This Row],[UnitPrice]]) &lt;0.01, "ok",)</f>
        <v>ok</v>
      </c>
      <c r="P847" t="str">
        <f>PROPER(TRIM(Table1[[#This Row],[ShippingAddress]]))</f>
        <v>930 Main St</v>
      </c>
      <c r="Q847" t="str">
        <f>PROPER(TRIM((Table1[[#This Row],[PaymentMethod]])))</f>
        <v>Credit Card</v>
      </c>
      <c r="R847" t="str">
        <f>PROPER(TRIM(Table1[[#This Row],[ReferralSource]]))</f>
        <v>Referral</v>
      </c>
      <c r="S847" s="5">
        <f>Table1[[#This Row],[TotalPrice]]/Table1[[#This Row],[ItemsInCart]]</f>
        <v>211.76499999999999</v>
      </c>
    </row>
    <row r="848" spans="1:19" x14ac:dyDescent="0.3">
      <c r="A848" t="s">
        <v>266</v>
      </c>
      <c r="B848" s="1">
        <v>45555</v>
      </c>
      <c r="C848" t="s">
        <v>1466</v>
      </c>
      <c r="D848" t="s">
        <v>2404</v>
      </c>
      <c r="E848">
        <v>4</v>
      </c>
      <c r="F848">
        <v>668.36</v>
      </c>
      <c r="G848" t="s">
        <v>2628</v>
      </c>
      <c r="H848" t="s">
        <v>3068</v>
      </c>
      <c r="I848" t="s">
        <v>3071</v>
      </c>
      <c r="J848" t="s">
        <v>3327</v>
      </c>
      <c r="K848">
        <v>5</v>
      </c>
      <c r="L848" t="s">
        <v>4276</v>
      </c>
      <c r="M848" t="s">
        <v>4281</v>
      </c>
      <c r="N848" s="5">
        <v>2673.44</v>
      </c>
      <c r="O848" t="str">
        <f>IF(ABS(Table1[[#This Row],[TotalPrice]]-Table1[[#This Row],[Quantity]]*Table1[[#This Row],[UnitPrice]]) &lt;0.01, "ok",)</f>
        <v>ok</v>
      </c>
      <c r="P848" t="str">
        <f>PROPER(TRIM(Table1[[#This Row],[ShippingAddress]]))</f>
        <v>821 Main St</v>
      </c>
      <c r="Q848" t="str">
        <f>PROPER(TRIM((Table1[[#This Row],[PaymentMethod]])))</f>
        <v>Gift Card</v>
      </c>
      <c r="R848" t="str">
        <f>PROPER(TRIM(Table1[[#This Row],[ReferralSource]]))</f>
        <v>Facebook</v>
      </c>
      <c r="S848" s="5">
        <f>Table1[[#This Row],[TotalPrice]]/Table1[[#This Row],[ItemsInCart]]</f>
        <v>534.68799999999999</v>
      </c>
    </row>
    <row r="849" spans="1:19" x14ac:dyDescent="0.3">
      <c r="A849" t="s">
        <v>1059</v>
      </c>
      <c r="B849" s="1">
        <v>45555</v>
      </c>
      <c r="C849" t="s">
        <v>2251</v>
      </c>
      <c r="D849" t="s">
        <v>2408</v>
      </c>
      <c r="E849">
        <v>5</v>
      </c>
      <c r="F849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>
        <v>7</v>
      </c>
      <c r="L849" t="s">
        <v>4283</v>
      </c>
      <c r="M849" t="s">
        <v>4280</v>
      </c>
      <c r="N849" s="5">
        <v>1582</v>
      </c>
      <c r="O849" t="str">
        <f>IF(ABS(Table1[[#This Row],[TotalPrice]]-Table1[[#This Row],[Quantity]]*Table1[[#This Row],[UnitPrice]]) &lt;0.01, "ok",)</f>
        <v>ok</v>
      </c>
      <c r="P849" t="str">
        <f>PROPER(TRIM(Table1[[#This Row],[ShippingAddress]]))</f>
        <v>671 Main St</v>
      </c>
      <c r="Q849" t="str">
        <f>PROPER(TRIM((Table1[[#This Row],[PaymentMethod]])))</f>
        <v>Gift Card</v>
      </c>
      <c r="R849" t="str">
        <f>PROPER(TRIM(Table1[[#This Row],[ReferralSource]]))</f>
        <v>Email</v>
      </c>
      <c r="S849" s="5">
        <f>Table1[[#This Row],[TotalPrice]]/Table1[[#This Row],[ItemsInCart]]</f>
        <v>226</v>
      </c>
    </row>
    <row r="850" spans="1:19" x14ac:dyDescent="0.3">
      <c r="A850" t="s">
        <v>393</v>
      </c>
      <c r="B850" s="1">
        <v>45556</v>
      </c>
      <c r="C850" t="s">
        <v>1593</v>
      </c>
      <c r="D850" t="s">
        <v>2404</v>
      </c>
      <c r="E850">
        <v>3</v>
      </c>
      <c r="F850">
        <v>297.67</v>
      </c>
      <c r="G850" t="s">
        <v>2571</v>
      </c>
      <c r="H850" t="s">
        <v>3066</v>
      </c>
      <c r="I850" t="s">
        <v>3070</v>
      </c>
      <c r="J850" t="s">
        <v>3454</v>
      </c>
      <c r="K850">
        <v>6</v>
      </c>
      <c r="L850" t="s">
        <v>4283</v>
      </c>
      <c r="M850" t="s">
        <v>4282</v>
      </c>
      <c r="N850" s="5">
        <v>893.01</v>
      </c>
      <c r="O850" t="str">
        <f>IF(ABS(Table1[[#This Row],[TotalPrice]]-Table1[[#This Row],[Quantity]]*Table1[[#This Row],[UnitPrice]]) &lt;0.01, "ok",)</f>
        <v>ok</v>
      </c>
      <c r="P850" t="str">
        <f>PROPER(TRIM(Table1[[#This Row],[ShippingAddress]]))</f>
        <v>500 Main St</v>
      </c>
      <c r="Q850" t="str">
        <f>PROPER(TRIM((Table1[[#This Row],[PaymentMethod]])))</f>
        <v>Online</v>
      </c>
      <c r="R850" t="str">
        <f>PROPER(TRIM(Table1[[#This Row],[ReferralSource]]))</f>
        <v>Google</v>
      </c>
      <c r="S850" s="5">
        <f>Table1[[#This Row],[TotalPrice]]/Table1[[#This Row],[ItemsInCart]]</f>
        <v>148.83500000000001</v>
      </c>
    </row>
    <row r="851" spans="1:19" x14ac:dyDescent="0.3">
      <c r="A851" t="s">
        <v>698</v>
      </c>
      <c r="B851" s="1">
        <v>45557</v>
      </c>
      <c r="C851" t="s">
        <v>1896</v>
      </c>
      <c r="D851" t="s">
        <v>2407</v>
      </c>
      <c r="E851">
        <v>4</v>
      </c>
      <c r="F851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>
        <v>8</v>
      </c>
      <c r="L851" t="s">
        <v>4283</v>
      </c>
      <c r="M851" t="s">
        <v>4280</v>
      </c>
      <c r="N851" s="5">
        <v>139.36000000000001</v>
      </c>
      <c r="O851" t="str">
        <f>IF(ABS(Table1[[#This Row],[TotalPrice]]-Table1[[#This Row],[Quantity]]*Table1[[#This Row],[UnitPrice]]) &lt;0.01, "ok",)</f>
        <v>ok</v>
      </c>
      <c r="P851" t="str">
        <f>PROPER(TRIM(Table1[[#This Row],[ShippingAddress]]))</f>
        <v>288 Main St</v>
      </c>
      <c r="Q851" t="str">
        <f>PROPER(TRIM((Table1[[#This Row],[PaymentMethod]])))</f>
        <v>Credit Card</v>
      </c>
      <c r="R851" t="str">
        <f>PROPER(TRIM(Table1[[#This Row],[ReferralSource]]))</f>
        <v>Email</v>
      </c>
      <c r="S851" s="5">
        <f>Table1[[#This Row],[TotalPrice]]/Table1[[#This Row],[ItemsInCart]]</f>
        <v>17.420000000000002</v>
      </c>
    </row>
    <row r="852" spans="1:19" x14ac:dyDescent="0.3">
      <c r="A852" t="s">
        <v>1073</v>
      </c>
      <c r="B852" s="1">
        <v>45557</v>
      </c>
      <c r="C852" t="s">
        <v>2265</v>
      </c>
      <c r="D852" t="s">
        <v>2409</v>
      </c>
      <c r="E852">
        <v>1</v>
      </c>
      <c r="F852">
        <v>265.64</v>
      </c>
      <c r="G852" t="s">
        <v>3019</v>
      </c>
      <c r="H852" t="s">
        <v>3067</v>
      </c>
      <c r="I852" t="s">
        <v>3072</v>
      </c>
      <c r="J852" t="s">
        <v>4134</v>
      </c>
      <c r="K852">
        <v>3</v>
      </c>
      <c r="L852" t="s">
        <v>4277</v>
      </c>
      <c r="M852" t="s">
        <v>4278</v>
      </c>
      <c r="N852" s="5">
        <v>265.64</v>
      </c>
      <c r="O852" t="str">
        <f>IF(ABS(Table1[[#This Row],[TotalPrice]]-Table1[[#This Row],[Quantity]]*Table1[[#This Row],[UnitPrice]]) &lt;0.01, "ok",)</f>
        <v>ok</v>
      </c>
      <c r="P852" t="str">
        <f>PROPER(TRIM(Table1[[#This Row],[ShippingAddress]]))</f>
        <v>601 Main St</v>
      </c>
      <c r="Q852" t="str">
        <f>PROPER(TRIM((Table1[[#This Row],[PaymentMethod]])))</f>
        <v>Credit Card</v>
      </c>
      <c r="R852" t="str">
        <f>PROPER(TRIM(Table1[[#This Row],[ReferralSource]]))</f>
        <v>Instagram</v>
      </c>
      <c r="S852" s="5">
        <f>Table1[[#This Row],[TotalPrice]]/Table1[[#This Row],[ItemsInCart]]</f>
        <v>88.546666666666667</v>
      </c>
    </row>
    <row r="853" spans="1:19" x14ac:dyDescent="0.3">
      <c r="A853" t="s">
        <v>355</v>
      </c>
      <c r="B853" s="1">
        <v>45558</v>
      </c>
      <c r="C853" t="s">
        <v>1555</v>
      </c>
      <c r="D853" t="s">
        <v>2405</v>
      </c>
      <c r="E853">
        <v>1</v>
      </c>
      <c r="F853">
        <v>167.15</v>
      </c>
      <c r="G853" t="s">
        <v>2694</v>
      </c>
      <c r="H853" t="s">
        <v>3068</v>
      </c>
      <c r="I853" t="s">
        <v>3070</v>
      </c>
      <c r="J853" t="s">
        <v>3416</v>
      </c>
      <c r="K853">
        <v>5</v>
      </c>
      <c r="L853" t="s">
        <v>4277</v>
      </c>
      <c r="M853" t="s">
        <v>4280</v>
      </c>
      <c r="N853" s="5">
        <v>167.15</v>
      </c>
      <c r="O853" t="str">
        <f>IF(ABS(Table1[[#This Row],[TotalPrice]]-Table1[[#This Row],[Quantity]]*Table1[[#This Row],[UnitPrice]]) &lt;0.01, "ok",)</f>
        <v>ok</v>
      </c>
      <c r="P853" t="str">
        <f>PROPER(TRIM(Table1[[#This Row],[ShippingAddress]]))</f>
        <v>293 Main St</v>
      </c>
      <c r="Q853" t="str">
        <f>PROPER(TRIM((Table1[[#This Row],[PaymentMethod]])))</f>
        <v>Gift Card</v>
      </c>
      <c r="R853" t="str">
        <f>PROPER(TRIM(Table1[[#This Row],[ReferralSource]]))</f>
        <v>Email</v>
      </c>
      <c r="S853" s="5">
        <f>Table1[[#This Row],[TotalPrice]]/Table1[[#This Row],[ItemsInCart]]</f>
        <v>33.43</v>
      </c>
    </row>
    <row r="854" spans="1:19" x14ac:dyDescent="0.3">
      <c r="A854" t="s">
        <v>1037</v>
      </c>
      <c r="B854" s="1">
        <v>45558</v>
      </c>
      <c r="C854" t="s">
        <v>2229</v>
      </c>
      <c r="D854" t="s">
        <v>2408</v>
      </c>
      <c r="E854">
        <v>5</v>
      </c>
      <c r="F854">
        <v>233.67</v>
      </c>
      <c r="G854" t="s">
        <v>2493</v>
      </c>
      <c r="H854" t="s">
        <v>3069</v>
      </c>
      <c r="I854" t="s">
        <v>3070</v>
      </c>
      <c r="J854" t="s">
        <v>4098</v>
      </c>
      <c r="K854">
        <v>10</v>
      </c>
      <c r="L854" t="s">
        <v>4283</v>
      </c>
      <c r="M854" t="s">
        <v>4279</v>
      </c>
      <c r="N854" s="5">
        <v>1168.3499999999999</v>
      </c>
      <c r="O854" t="str">
        <f>IF(ABS(Table1[[#This Row],[TotalPrice]]-Table1[[#This Row],[Quantity]]*Table1[[#This Row],[UnitPrice]]) &lt;0.01, "ok",)</f>
        <v>ok</v>
      </c>
      <c r="P854" t="str">
        <f>PROPER(TRIM(Table1[[#This Row],[ShippingAddress]]))</f>
        <v>291 Main St</v>
      </c>
      <c r="Q854" t="str">
        <f>PROPER(TRIM((Table1[[#This Row],[PaymentMethod]])))</f>
        <v>Cash</v>
      </c>
      <c r="R854" t="str">
        <f>PROPER(TRIM(Table1[[#This Row],[ReferralSource]]))</f>
        <v>Referral</v>
      </c>
      <c r="S854" s="5">
        <f>Table1[[#This Row],[TotalPrice]]/Table1[[#This Row],[ItemsInCart]]</f>
        <v>116.83499999999999</v>
      </c>
    </row>
    <row r="855" spans="1:19" x14ac:dyDescent="0.3">
      <c r="A855" t="s">
        <v>1071</v>
      </c>
      <c r="B855" s="1">
        <v>45559</v>
      </c>
      <c r="C855" t="s">
        <v>2263</v>
      </c>
      <c r="D855" t="s">
        <v>2408</v>
      </c>
      <c r="E855">
        <v>3</v>
      </c>
      <c r="F855">
        <v>428.88</v>
      </c>
      <c r="G855" t="s">
        <v>2563</v>
      </c>
      <c r="H855" t="s">
        <v>3065</v>
      </c>
      <c r="I855" t="s">
        <v>3070</v>
      </c>
      <c r="J855" t="s">
        <v>4132</v>
      </c>
      <c r="K855">
        <v>3</v>
      </c>
      <c r="L855" t="s">
        <v>4277</v>
      </c>
      <c r="M855" t="s">
        <v>4281</v>
      </c>
      <c r="N855" s="5">
        <v>1286.6400000000001</v>
      </c>
      <c r="O855" t="str">
        <f>IF(ABS(Table1[[#This Row],[TotalPrice]]-Table1[[#This Row],[Quantity]]*Table1[[#This Row],[UnitPrice]]) &lt;0.01, "ok",)</f>
        <v>ok</v>
      </c>
      <c r="P855" t="str">
        <f>PROPER(TRIM(Table1[[#This Row],[ShippingAddress]]))</f>
        <v>535 Main St</v>
      </c>
      <c r="Q855" t="str">
        <f>PROPER(TRIM((Table1[[#This Row],[PaymentMethod]])))</f>
        <v>Debit Card</v>
      </c>
      <c r="R855" t="str">
        <f>PROPER(TRIM(Table1[[#This Row],[ReferralSource]]))</f>
        <v>Facebook</v>
      </c>
      <c r="S855" s="5">
        <f>Table1[[#This Row],[TotalPrice]]/Table1[[#This Row],[ItemsInCart]]</f>
        <v>428.88000000000005</v>
      </c>
    </row>
    <row r="856" spans="1:19" x14ac:dyDescent="0.3">
      <c r="A856" t="s">
        <v>714</v>
      </c>
      <c r="B856" s="1">
        <v>45560</v>
      </c>
      <c r="C856" t="s">
        <v>1912</v>
      </c>
      <c r="D856" t="s">
        <v>2408</v>
      </c>
      <c r="E856">
        <v>2</v>
      </c>
      <c r="F856">
        <v>92.91</v>
      </c>
      <c r="G856" t="s">
        <v>2881</v>
      </c>
      <c r="H856" t="s">
        <v>3069</v>
      </c>
      <c r="I856" t="s">
        <v>3072</v>
      </c>
      <c r="J856" t="s">
        <v>3775</v>
      </c>
      <c r="K856">
        <v>3</v>
      </c>
      <c r="L856" t="s">
        <v>4277</v>
      </c>
      <c r="M856" t="s">
        <v>4278</v>
      </c>
      <c r="N856" s="5">
        <v>185.82</v>
      </c>
      <c r="O856" t="str">
        <f>IF(ABS(Table1[[#This Row],[TotalPrice]]-Table1[[#This Row],[Quantity]]*Table1[[#This Row],[UnitPrice]]) &lt;0.01, "ok",)</f>
        <v>ok</v>
      </c>
      <c r="P856" t="str">
        <f>PROPER(TRIM(Table1[[#This Row],[ShippingAddress]]))</f>
        <v>555 Main St</v>
      </c>
      <c r="Q856" t="str">
        <f>PROPER(TRIM((Table1[[#This Row],[PaymentMethod]])))</f>
        <v>Cash</v>
      </c>
      <c r="R856" t="str">
        <f>PROPER(TRIM(Table1[[#This Row],[ReferralSource]]))</f>
        <v>Instagram</v>
      </c>
      <c r="S856" s="5">
        <f>Table1[[#This Row],[TotalPrice]]/Table1[[#This Row],[ItemsInCart]]</f>
        <v>61.94</v>
      </c>
    </row>
    <row r="857" spans="1:19" x14ac:dyDescent="0.3">
      <c r="A857" t="s">
        <v>526</v>
      </c>
      <c r="B857" s="1">
        <v>45562</v>
      </c>
      <c r="C857" t="s">
        <v>1726</v>
      </c>
      <c r="D857" t="s">
        <v>2409</v>
      </c>
      <c r="E857">
        <v>3</v>
      </c>
      <c r="F857">
        <v>568.02</v>
      </c>
      <c r="G857" t="s">
        <v>2662</v>
      </c>
      <c r="H857" t="s">
        <v>3066</v>
      </c>
      <c r="I857" t="s">
        <v>3074</v>
      </c>
      <c r="J857" t="s">
        <v>3587</v>
      </c>
      <c r="K857">
        <v>3</v>
      </c>
      <c r="L857" t="s">
        <v>4276</v>
      </c>
      <c r="M857" t="s">
        <v>4278</v>
      </c>
      <c r="N857" s="5">
        <v>1704.06</v>
      </c>
      <c r="O857" t="str">
        <f>IF(ABS(Table1[[#This Row],[TotalPrice]]-Table1[[#This Row],[Quantity]]*Table1[[#This Row],[UnitPrice]]) &lt;0.01, "ok",)</f>
        <v>ok</v>
      </c>
      <c r="P857" t="str">
        <f>PROPER(TRIM(Table1[[#This Row],[ShippingAddress]]))</f>
        <v>856 Main St</v>
      </c>
      <c r="Q857" t="str">
        <f>PROPER(TRIM((Table1[[#This Row],[PaymentMethod]])))</f>
        <v>Online</v>
      </c>
      <c r="R857" t="str">
        <f>PROPER(TRIM(Table1[[#This Row],[ReferralSource]]))</f>
        <v>Instagram</v>
      </c>
      <c r="S857" s="5">
        <f>Table1[[#This Row],[TotalPrice]]/Table1[[#This Row],[ItemsInCart]]</f>
        <v>568.02</v>
      </c>
    </row>
    <row r="858" spans="1:19" x14ac:dyDescent="0.3">
      <c r="A858" t="s">
        <v>414</v>
      </c>
      <c r="B858" s="1">
        <v>45563</v>
      </c>
      <c r="C858" t="s">
        <v>1614</v>
      </c>
      <c r="D858" t="s">
        <v>2409</v>
      </c>
      <c r="E858">
        <v>4</v>
      </c>
      <c r="F858">
        <v>160.22</v>
      </c>
      <c r="G858" t="s">
        <v>2733</v>
      </c>
      <c r="H858" t="s">
        <v>3065</v>
      </c>
      <c r="I858" t="s">
        <v>3072</v>
      </c>
      <c r="J858" t="s">
        <v>3475</v>
      </c>
      <c r="K858">
        <v>9</v>
      </c>
      <c r="L858" t="s">
        <v>4277</v>
      </c>
      <c r="M858" t="s">
        <v>4278</v>
      </c>
      <c r="N858" s="5">
        <v>640.88</v>
      </c>
      <c r="O858" t="str">
        <f>IF(ABS(Table1[[#This Row],[TotalPrice]]-Table1[[#This Row],[Quantity]]*Table1[[#This Row],[UnitPrice]]) &lt;0.01, "ok",)</f>
        <v>ok</v>
      </c>
      <c r="P858" t="str">
        <f>PROPER(TRIM(Table1[[#This Row],[ShippingAddress]]))</f>
        <v>304 Main St</v>
      </c>
      <c r="Q858" t="str">
        <f>PROPER(TRIM((Table1[[#This Row],[PaymentMethod]])))</f>
        <v>Debit Card</v>
      </c>
      <c r="R858" t="str">
        <f>PROPER(TRIM(Table1[[#This Row],[ReferralSource]]))</f>
        <v>Instagram</v>
      </c>
      <c r="S858" s="5">
        <f>Table1[[#This Row],[TotalPrice]]/Table1[[#This Row],[ItemsInCart]]</f>
        <v>71.208888888888893</v>
      </c>
    </row>
    <row r="859" spans="1:19" x14ac:dyDescent="0.3">
      <c r="A859" t="s">
        <v>833</v>
      </c>
      <c r="B859" s="1">
        <v>45563</v>
      </c>
      <c r="C859" t="s">
        <v>2029</v>
      </c>
      <c r="D859" t="s">
        <v>2404</v>
      </c>
      <c r="E859">
        <v>2</v>
      </c>
      <c r="F859">
        <v>398.45</v>
      </c>
      <c r="G859" t="s">
        <v>2941</v>
      </c>
      <c r="H859" t="s">
        <v>3065</v>
      </c>
      <c r="I859" t="s">
        <v>3071</v>
      </c>
      <c r="J859" t="s">
        <v>3894</v>
      </c>
      <c r="K859">
        <v>7</v>
      </c>
      <c r="L859" t="s">
        <v>4275</v>
      </c>
      <c r="M859" t="s">
        <v>4282</v>
      </c>
      <c r="N859" s="5">
        <v>796.9</v>
      </c>
      <c r="O859" t="str">
        <f>IF(ABS(Table1[[#This Row],[TotalPrice]]-Table1[[#This Row],[Quantity]]*Table1[[#This Row],[UnitPrice]]) &lt;0.01, "ok",)</f>
        <v>ok</v>
      </c>
      <c r="P859" t="str">
        <f>PROPER(TRIM(Table1[[#This Row],[ShippingAddress]]))</f>
        <v>650 Main St</v>
      </c>
      <c r="Q859" t="str">
        <f>PROPER(TRIM((Table1[[#This Row],[PaymentMethod]])))</f>
        <v>Debit Card</v>
      </c>
      <c r="R859" t="str">
        <f>PROPER(TRIM(Table1[[#This Row],[ReferralSource]]))</f>
        <v>Google</v>
      </c>
      <c r="S859" s="5">
        <f>Table1[[#This Row],[TotalPrice]]/Table1[[#This Row],[ItemsInCart]]</f>
        <v>113.84285714285714</v>
      </c>
    </row>
    <row r="860" spans="1:19" x14ac:dyDescent="0.3">
      <c r="A860" t="s">
        <v>651</v>
      </c>
      <c r="B860" s="1">
        <v>45564</v>
      </c>
      <c r="C860" t="s">
        <v>1850</v>
      </c>
      <c r="D860" t="s">
        <v>2406</v>
      </c>
      <c r="E860">
        <v>4</v>
      </c>
      <c r="F860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>
        <v>7</v>
      </c>
      <c r="L860" t="s">
        <v>4277</v>
      </c>
      <c r="M860" t="s">
        <v>4279</v>
      </c>
      <c r="N860" s="5">
        <v>1225.4000000000001</v>
      </c>
      <c r="O860" t="str">
        <f>IF(ABS(Table1[[#This Row],[TotalPrice]]-Table1[[#This Row],[Quantity]]*Table1[[#This Row],[UnitPrice]]) &lt;0.01, "ok",)</f>
        <v>ok</v>
      </c>
      <c r="P860" t="str">
        <f>PROPER(TRIM(Table1[[#This Row],[ShippingAddress]]))</f>
        <v>784 Main St</v>
      </c>
      <c r="Q860" t="str">
        <f>PROPER(TRIM((Table1[[#This Row],[PaymentMethod]])))</f>
        <v>Gift Card</v>
      </c>
      <c r="R860" t="str">
        <f>PROPER(TRIM(Table1[[#This Row],[ReferralSource]]))</f>
        <v>Referral</v>
      </c>
      <c r="S860" s="5">
        <f>Table1[[#This Row],[TotalPrice]]/Table1[[#This Row],[ItemsInCart]]</f>
        <v>175.05714285714288</v>
      </c>
    </row>
    <row r="861" spans="1:19" x14ac:dyDescent="0.3">
      <c r="A861" t="s">
        <v>741</v>
      </c>
      <c r="B861" s="1">
        <v>45564</v>
      </c>
      <c r="C861" t="s">
        <v>1938</v>
      </c>
      <c r="D861" t="s">
        <v>2406</v>
      </c>
      <c r="E861">
        <v>5</v>
      </c>
      <c r="F861">
        <v>95.75</v>
      </c>
      <c r="G861" t="s">
        <v>2748</v>
      </c>
      <c r="H861" t="s">
        <v>3066</v>
      </c>
      <c r="I861" t="s">
        <v>3070</v>
      </c>
      <c r="J861" t="s">
        <v>3802</v>
      </c>
      <c r="K861">
        <v>8</v>
      </c>
      <c r="L861" t="s">
        <v>4275</v>
      </c>
      <c r="M861" t="s">
        <v>4278</v>
      </c>
      <c r="N861" s="5">
        <v>478.75</v>
      </c>
      <c r="O861" t="str">
        <f>IF(ABS(Table1[[#This Row],[TotalPrice]]-Table1[[#This Row],[Quantity]]*Table1[[#This Row],[UnitPrice]]) &lt;0.01, "ok",)</f>
        <v>ok</v>
      </c>
      <c r="P861" t="str">
        <f>PROPER(TRIM(Table1[[#This Row],[ShippingAddress]]))</f>
        <v>379 Main St</v>
      </c>
      <c r="Q861" t="str">
        <f>PROPER(TRIM((Table1[[#This Row],[PaymentMethod]])))</f>
        <v>Online</v>
      </c>
      <c r="R861" t="str">
        <f>PROPER(TRIM(Table1[[#This Row],[ReferralSource]]))</f>
        <v>Instagram</v>
      </c>
      <c r="S861" s="5">
        <f>Table1[[#This Row],[TotalPrice]]/Table1[[#This Row],[ItemsInCart]]</f>
        <v>59.84375</v>
      </c>
    </row>
    <row r="862" spans="1:19" x14ac:dyDescent="0.3">
      <c r="A862" t="s">
        <v>581</v>
      </c>
      <c r="B862" s="1">
        <v>45565</v>
      </c>
      <c r="C862" t="s">
        <v>1781</v>
      </c>
      <c r="D862" t="s">
        <v>2406</v>
      </c>
      <c r="E862">
        <v>5</v>
      </c>
      <c r="F862">
        <v>492.94</v>
      </c>
      <c r="G862" t="s">
        <v>2632</v>
      </c>
      <c r="H862" t="s">
        <v>3069</v>
      </c>
      <c r="I862" t="s">
        <v>3070</v>
      </c>
      <c r="J862" t="s">
        <v>3642</v>
      </c>
      <c r="K862">
        <v>10</v>
      </c>
      <c r="L862" t="s">
        <v>4276</v>
      </c>
      <c r="M862" t="s">
        <v>4280</v>
      </c>
      <c r="N862" s="5">
        <v>2464.6999999999998</v>
      </c>
      <c r="O862" t="str">
        <f>IF(ABS(Table1[[#This Row],[TotalPrice]]-Table1[[#This Row],[Quantity]]*Table1[[#This Row],[UnitPrice]]) &lt;0.01, "ok",)</f>
        <v>ok</v>
      </c>
      <c r="P862" t="str">
        <f>PROPER(TRIM(Table1[[#This Row],[ShippingAddress]]))</f>
        <v>153 Main St</v>
      </c>
      <c r="Q862" t="str">
        <f>PROPER(TRIM((Table1[[#This Row],[PaymentMethod]])))</f>
        <v>Cash</v>
      </c>
      <c r="R862" t="str">
        <f>PROPER(TRIM(Table1[[#This Row],[ReferralSource]]))</f>
        <v>Email</v>
      </c>
      <c r="S862" s="5">
        <f>Table1[[#This Row],[TotalPrice]]/Table1[[#This Row],[ItemsInCart]]</f>
        <v>246.46999999999997</v>
      </c>
    </row>
    <row r="863" spans="1:19" x14ac:dyDescent="0.3">
      <c r="A863" t="s">
        <v>757</v>
      </c>
      <c r="B863" s="1">
        <v>45565</v>
      </c>
      <c r="C863" t="s">
        <v>1954</v>
      </c>
      <c r="D863" t="s">
        <v>2403</v>
      </c>
      <c r="E863">
        <v>1</v>
      </c>
      <c r="F863">
        <v>576.35</v>
      </c>
      <c r="G863" t="s">
        <v>2448</v>
      </c>
      <c r="H863" t="s">
        <v>3068</v>
      </c>
      <c r="I863" t="s">
        <v>3072</v>
      </c>
      <c r="J863" t="s">
        <v>3818</v>
      </c>
      <c r="K863">
        <v>1</v>
      </c>
      <c r="L863" t="s">
        <v>4277</v>
      </c>
      <c r="M863" t="s">
        <v>4278</v>
      </c>
      <c r="N863" s="5">
        <v>576.35</v>
      </c>
      <c r="O863" t="str">
        <f>IF(ABS(Table1[[#This Row],[TotalPrice]]-Table1[[#This Row],[Quantity]]*Table1[[#This Row],[UnitPrice]]) &lt;0.01, "ok",)</f>
        <v>ok</v>
      </c>
      <c r="P863" t="str">
        <f>PROPER(TRIM(Table1[[#This Row],[ShippingAddress]]))</f>
        <v>549 Main St</v>
      </c>
      <c r="Q863" t="str">
        <f>PROPER(TRIM((Table1[[#This Row],[PaymentMethod]])))</f>
        <v>Gift Card</v>
      </c>
      <c r="R863" t="str">
        <f>PROPER(TRIM(Table1[[#This Row],[ReferralSource]]))</f>
        <v>Instagram</v>
      </c>
      <c r="S863" s="5">
        <f>Table1[[#This Row],[TotalPrice]]/Table1[[#This Row],[ItemsInCart]]</f>
        <v>576.35</v>
      </c>
    </row>
    <row r="864" spans="1:19" x14ac:dyDescent="0.3">
      <c r="A864" t="s">
        <v>766</v>
      </c>
      <c r="B864" s="1">
        <v>45568</v>
      </c>
      <c r="C864" t="s">
        <v>1963</v>
      </c>
      <c r="D864" t="s">
        <v>2404</v>
      </c>
      <c r="E864">
        <v>4</v>
      </c>
      <c r="F864">
        <v>429.37</v>
      </c>
      <c r="G864" t="s">
        <v>2648</v>
      </c>
      <c r="H864" t="s">
        <v>3067</v>
      </c>
      <c r="I864" t="s">
        <v>3073</v>
      </c>
      <c r="J864" t="s">
        <v>3827</v>
      </c>
      <c r="K864">
        <v>8</v>
      </c>
      <c r="L864" t="s">
        <v>4276</v>
      </c>
      <c r="M864" t="s">
        <v>4282</v>
      </c>
      <c r="N864" s="5">
        <v>1717.48</v>
      </c>
      <c r="O864" t="str">
        <f>IF(ABS(Table1[[#This Row],[TotalPrice]]-Table1[[#This Row],[Quantity]]*Table1[[#This Row],[UnitPrice]]) &lt;0.01, "ok",)</f>
        <v>ok</v>
      </c>
      <c r="P864" t="str">
        <f>PROPER(TRIM(Table1[[#This Row],[ShippingAddress]]))</f>
        <v>299 Main St</v>
      </c>
      <c r="Q864" t="str">
        <f>PROPER(TRIM((Table1[[#This Row],[PaymentMethod]])))</f>
        <v>Credit Card</v>
      </c>
      <c r="R864" t="str">
        <f>PROPER(TRIM(Table1[[#This Row],[ReferralSource]]))</f>
        <v>Google</v>
      </c>
      <c r="S864" s="5">
        <f>Table1[[#This Row],[TotalPrice]]/Table1[[#This Row],[ItemsInCart]]</f>
        <v>214.685</v>
      </c>
    </row>
    <row r="865" spans="1:19" x14ac:dyDescent="0.3">
      <c r="A865" t="s">
        <v>1160</v>
      </c>
      <c r="B865" s="1">
        <v>45568</v>
      </c>
      <c r="C865" t="s">
        <v>2349</v>
      </c>
      <c r="D865" t="s">
        <v>2403</v>
      </c>
      <c r="E865">
        <v>5</v>
      </c>
      <c r="F865">
        <v>421.44</v>
      </c>
      <c r="G865" t="s">
        <v>2761</v>
      </c>
      <c r="H865" t="s">
        <v>3069</v>
      </c>
      <c r="I865" t="s">
        <v>3074</v>
      </c>
      <c r="J865" t="s">
        <v>4221</v>
      </c>
      <c r="K865">
        <v>5</v>
      </c>
      <c r="L865" t="s">
        <v>4275</v>
      </c>
      <c r="M865" t="s">
        <v>4278</v>
      </c>
      <c r="N865" s="5">
        <v>2107.1999999999998</v>
      </c>
      <c r="O865" t="str">
        <f>IF(ABS(Table1[[#This Row],[TotalPrice]]-Table1[[#This Row],[Quantity]]*Table1[[#This Row],[UnitPrice]]) &lt;0.01, "ok",)</f>
        <v>ok</v>
      </c>
      <c r="P865" t="str">
        <f>PROPER(TRIM(Table1[[#This Row],[ShippingAddress]]))</f>
        <v>286 Main St</v>
      </c>
      <c r="Q865" t="str">
        <f>PROPER(TRIM((Table1[[#This Row],[PaymentMethod]])))</f>
        <v>Cash</v>
      </c>
      <c r="R865" t="str">
        <f>PROPER(TRIM(Table1[[#This Row],[ReferralSource]]))</f>
        <v>Instagram</v>
      </c>
      <c r="S865" s="5">
        <f>Table1[[#This Row],[TotalPrice]]/Table1[[#This Row],[ItemsInCart]]</f>
        <v>421.43999999999994</v>
      </c>
    </row>
    <row r="866" spans="1:19" x14ac:dyDescent="0.3">
      <c r="A866" t="s">
        <v>617</v>
      </c>
      <c r="B866" s="1">
        <v>45569</v>
      </c>
      <c r="C866" t="s">
        <v>1816</v>
      </c>
      <c r="D866" t="s">
        <v>2405</v>
      </c>
      <c r="E866">
        <v>1</v>
      </c>
      <c r="F866">
        <v>657.07</v>
      </c>
      <c r="G866" t="s">
        <v>2837</v>
      </c>
      <c r="H866" t="s">
        <v>3069</v>
      </c>
      <c r="I866" t="s">
        <v>3074</v>
      </c>
      <c r="J866" t="s">
        <v>3678</v>
      </c>
      <c r="K866">
        <v>4</v>
      </c>
      <c r="L866" t="s">
        <v>4275</v>
      </c>
      <c r="M866" t="s">
        <v>4282</v>
      </c>
      <c r="N866" s="5">
        <v>657.07</v>
      </c>
      <c r="O866" t="str">
        <f>IF(ABS(Table1[[#This Row],[TotalPrice]]-Table1[[#This Row],[Quantity]]*Table1[[#This Row],[UnitPrice]]) &lt;0.01, "ok",)</f>
        <v>ok</v>
      </c>
      <c r="P866" t="str">
        <f>PROPER(TRIM(Table1[[#This Row],[ShippingAddress]]))</f>
        <v>800 Main St</v>
      </c>
      <c r="Q866" t="str">
        <f>PROPER(TRIM((Table1[[#This Row],[PaymentMethod]])))</f>
        <v>Cash</v>
      </c>
      <c r="R866" t="str">
        <f>PROPER(TRIM(Table1[[#This Row],[ReferralSource]]))</f>
        <v>Google</v>
      </c>
      <c r="S866" s="5">
        <f>Table1[[#This Row],[TotalPrice]]/Table1[[#This Row],[ItemsInCart]]</f>
        <v>164.26750000000001</v>
      </c>
    </row>
    <row r="867" spans="1:19" x14ac:dyDescent="0.3">
      <c r="A867" t="s">
        <v>1187</v>
      </c>
      <c r="B867" s="1">
        <v>45569</v>
      </c>
      <c r="C867" t="s">
        <v>2376</v>
      </c>
      <c r="D867" t="s">
        <v>2403</v>
      </c>
      <c r="E867">
        <v>1</v>
      </c>
      <c r="F867">
        <v>208.36</v>
      </c>
      <c r="G867" t="s">
        <v>2891</v>
      </c>
      <c r="H867" t="s">
        <v>3066</v>
      </c>
      <c r="I867" t="s">
        <v>3070</v>
      </c>
      <c r="J867" t="s">
        <v>4248</v>
      </c>
      <c r="K867">
        <v>4</v>
      </c>
      <c r="L867" t="s">
        <v>4276</v>
      </c>
      <c r="M867" t="s">
        <v>4280</v>
      </c>
      <c r="N867" s="5">
        <v>208.36</v>
      </c>
      <c r="O867" t="str">
        <f>IF(ABS(Table1[[#This Row],[TotalPrice]]-Table1[[#This Row],[Quantity]]*Table1[[#This Row],[UnitPrice]]) &lt;0.01, "ok",)</f>
        <v>ok</v>
      </c>
      <c r="P867" t="str">
        <f>PROPER(TRIM(Table1[[#This Row],[ShippingAddress]]))</f>
        <v>703 Main St</v>
      </c>
      <c r="Q867" t="str">
        <f>PROPER(TRIM((Table1[[#This Row],[PaymentMethod]])))</f>
        <v>Online</v>
      </c>
      <c r="R867" t="str">
        <f>PROPER(TRIM(Table1[[#This Row],[ReferralSource]]))</f>
        <v>Email</v>
      </c>
      <c r="S867" s="5">
        <f>Table1[[#This Row],[TotalPrice]]/Table1[[#This Row],[ItemsInCart]]</f>
        <v>52.09</v>
      </c>
    </row>
    <row r="868" spans="1:19" x14ac:dyDescent="0.3">
      <c r="A868" t="s">
        <v>445</v>
      </c>
      <c r="B868" s="1">
        <v>45571</v>
      </c>
      <c r="C868" t="s">
        <v>1645</v>
      </c>
      <c r="D868" t="s">
        <v>2407</v>
      </c>
      <c r="E868">
        <v>1</v>
      </c>
      <c r="F868">
        <v>52.54</v>
      </c>
      <c r="G868" t="s">
        <v>2553</v>
      </c>
      <c r="H868" t="s">
        <v>3065</v>
      </c>
      <c r="I868" t="s">
        <v>3071</v>
      </c>
      <c r="J868" t="s">
        <v>3506</v>
      </c>
      <c r="K868">
        <v>6</v>
      </c>
      <c r="L868" t="s">
        <v>4277</v>
      </c>
      <c r="M868" t="s">
        <v>4281</v>
      </c>
      <c r="N868" s="5">
        <v>52.54</v>
      </c>
      <c r="O868" t="str">
        <f>IF(ABS(Table1[[#This Row],[TotalPrice]]-Table1[[#This Row],[Quantity]]*Table1[[#This Row],[UnitPrice]]) &lt;0.01, "ok",)</f>
        <v>ok</v>
      </c>
      <c r="P868" t="str">
        <f>PROPER(TRIM(Table1[[#This Row],[ShippingAddress]]))</f>
        <v>651 Main St</v>
      </c>
      <c r="Q868" t="str">
        <f>PROPER(TRIM((Table1[[#This Row],[PaymentMethod]])))</f>
        <v>Debit Card</v>
      </c>
      <c r="R868" t="str">
        <f>PROPER(TRIM(Table1[[#This Row],[ReferralSource]]))</f>
        <v>Facebook</v>
      </c>
      <c r="S868" s="5">
        <f>Table1[[#This Row],[TotalPrice]]/Table1[[#This Row],[ItemsInCart]]</f>
        <v>8.7566666666666659</v>
      </c>
    </row>
    <row r="869" spans="1:19" x14ac:dyDescent="0.3">
      <c r="A869" t="s">
        <v>474</v>
      </c>
      <c r="B869" s="1">
        <v>45571</v>
      </c>
      <c r="C869" t="s">
        <v>1674</v>
      </c>
      <c r="D869" t="s">
        <v>2408</v>
      </c>
      <c r="E869">
        <v>1</v>
      </c>
      <c r="F869">
        <v>144.25</v>
      </c>
      <c r="G869" t="s">
        <v>2768</v>
      </c>
      <c r="H869" t="s">
        <v>3069</v>
      </c>
      <c r="I869" t="s">
        <v>3072</v>
      </c>
      <c r="J869" t="s">
        <v>3535</v>
      </c>
      <c r="K869">
        <v>2</v>
      </c>
      <c r="L869" t="s">
        <v>4277</v>
      </c>
      <c r="M869" t="s">
        <v>4279</v>
      </c>
      <c r="N869" s="5">
        <v>144.25</v>
      </c>
      <c r="O869" t="str">
        <f>IF(ABS(Table1[[#This Row],[TotalPrice]]-Table1[[#This Row],[Quantity]]*Table1[[#This Row],[UnitPrice]]) &lt;0.01, "ok",)</f>
        <v>ok</v>
      </c>
      <c r="P869" t="str">
        <f>PROPER(TRIM(Table1[[#This Row],[ShippingAddress]]))</f>
        <v>474 Main St</v>
      </c>
      <c r="Q869" t="str">
        <f>PROPER(TRIM((Table1[[#This Row],[PaymentMethod]])))</f>
        <v>Cash</v>
      </c>
      <c r="R869" t="str">
        <f>PROPER(TRIM(Table1[[#This Row],[ReferralSource]]))</f>
        <v>Referral</v>
      </c>
      <c r="S869" s="5">
        <f>Table1[[#This Row],[TotalPrice]]/Table1[[#This Row],[ItemsInCart]]</f>
        <v>72.125</v>
      </c>
    </row>
    <row r="870" spans="1:19" x14ac:dyDescent="0.3">
      <c r="A870" t="s">
        <v>837</v>
      </c>
      <c r="B870" s="1">
        <v>45572</v>
      </c>
      <c r="C870" t="s">
        <v>2033</v>
      </c>
      <c r="D870" t="s">
        <v>2408</v>
      </c>
      <c r="E870">
        <v>4</v>
      </c>
      <c r="F870">
        <v>653.13</v>
      </c>
      <c r="G870" t="s">
        <v>2942</v>
      </c>
      <c r="H870" t="s">
        <v>3067</v>
      </c>
      <c r="I870" t="s">
        <v>3070</v>
      </c>
      <c r="J870" t="s">
        <v>3898</v>
      </c>
      <c r="K870">
        <v>8</v>
      </c>
      <c r="L870" t="s">
        <v>4277</v>
      </c>
      <c r="M870" t="s">
        <v>4278</v>
      </c>
      <c r="N870" s="5">
        <v>2612.52</v>
      </c>
      <c r="O870" t="str">
        <f>IF(ABS(Table1[[#This Row],[TotalPrice]]-Table1[[#This Row],[Quantity]]*Table1[[#This Row],[UnitPrice]]) &lt;0.01, "ok",)</f>
        <v>ok</v>
      </c>
      <c r="P870" t="str">
        <f>PROPER(TRIM(Table1[[#This Row],[ShippingAddress]]))</f>
        <v>973 Main St</v>
      </c>
      <c r="Q870" t="str">
        <f>PROPER(TRIM((Table1[[#This Row],[PaymentMethod]])))</f>
        <v>Credit Card</v>
      </c>
      <c r="R870" t="str">
        <f>PROPER(TRIM(Table1[[#This Row],[ReferralSource]]))</f>
        <v>Instagram</v>
      </c>
      <c r="S870" s="5">
        <f>Table1[[#This Row],[TotalPrice]]/Table1[[#This Row],[ItemsInCart]]</f>
        <v>326.565</v>
      </c>
    </row>
    <row r="871" spans="1:19" x14ac:dyDescent="0.3">
      <c r="A871" t="s">
        <v>1060</v>
      </c>
      <c r="B871" s="1">
        <v>45572</v>
      </c>
      <c r="C871" t="s">
        <v>2252</v>
      </c>
      <c r="D871" t="s">
        <v>2405</v>
      </c>
      <c r="E871">
        <v>3</v>
      </c>
      <c r="F871">
        <v>547.15</v>
      </c>
      <c r="G871" t="s">
        <v>3014</v>
      </c>
      <c r="H871" t="s">
        <v>3066</v>
      </c>
      <c r="I871" t="s">
        <v>3070</v>
      </c>
      <c r="J871" t="s">
        <v>4121</v>
      </c>
      <c r="K871">
        <v>4</v>
      </c>
      <c r="L871" t="s">
        <v>4277</v>
      </c>
      <c r="M871" t="s">
        <v>4278</v>
      </c>
      <c r="N871" s="5">
        <v>1641.45</v>
      </c>
      <c r="O871" t="str">
        <f>IF(ABS(Table1[[#This Row],[TotalPrice]]-Table1[[#This Row],[Quantity]]*Table1[[#This Row],[UnitPrice]]) &lt;0.01, "ok",)</f>
        <v>ok</v>
      </c>
      <c r="P871" t="str">
        <f>PROPER(TRIM(Table1[[#This Row],[ShippingAddress]]))</f>
        <v>466 Main St</v>
      </c>
      <c r="Q871" t="str">
        <f>PROPER(TRIM((Table1[[#This Row],[PaymentMethod]])))</f>
        <v>Online</v>
      </c>
      <c r="R871" t="str">
        <f>PROPER(TRIM(Table1[[#This Row],[ReferralSource]]))</f>
        <v>Instagram</v>
      </c>
      <c r="S871" s="5">
        <f>Table1[[#This Row],[TotalPrice]]/Table1[[#This Row],[ItemsInCart]]</f>
        <v>410.36250000000001</v>
      </c>
    </row>
    <row r="872" spans="1:19" x14ac:dyDescent="0.3">
      <c r="A872" t="s">
        <v>222</v>
      </c>
      <c r="B872" s="1">
        <v>45573</v>
      </c>
      <c r="C872" t="s">
        <v>1422</v>
      </c>
      <c r="D872" t="s">
        <v>2409</v>
      </c>
      <c r="E872">
        <v>2</v>
      </c>
      <c r="F872">
        <v>408.32</v>
      </c>
      <c r="G872" t="s">
        <v>2581</v>
      </c>
      <c r="H872" t="s">
        <v>3066</v>
      </c>
      <c r="I872" t="s">
        <v>3070</v>
      </c>
      <c r="J872" t="s">
        <v>3283</v>
      </c>
      <c r="K872">
        <v>3</v>
      </c>
      <c r="L872" t="s">
        <v>4276</v>
      </c>
      <c r="M872" t="s">
        <v>4281</v>
      </c>
      <c r="N872" s="5">
        <v>816.64</v>
      </c>
      <c r="O872" t="str">
        <f>IF(ABS(Table1[[#This Row],[TotalPrice]]-Table1[[#This Row],[Quantity]]*Table1[[#This Row],[UnitPrice]]) &lt;0.01, "ok",)</f>
        <v>ok</v>
      </c>
      <c r="P872" t="str">
        <f>PROPER(TRIM(Table1[[#This Row],[ShippingAddress]]))</f>
        <v>597 Main St</v>
      </c>
      <c r="Q872" t="str">
        <f>PROPER(TRIM((Table1[[#This Row],[PaymentMethod]])))</f>
        <v>Online</v>
      </c>
      <c r="R872" t="str">
        <f>PROPER(TRIM(Table1[[#This Row],[ReferralSource]]))</f>
        <v>Facebook</v>
      </c>
      <c r="S872" s="5">
        <f>Table1[[#This Row],[TotalPrice]]/Table1[[#This Row],[ItemsInCart]]</f>
        <v>272.21333333333331</v>
      </c>
    </row>
    <row r="873" spans="1:19" x14ac:dyDescent="0.3">
      <c r="A873" t="s">
        <v>1105</v>
      </c>
      <c r="B873" s="1">
        <v>45573</v>
      </c>
      <c r="C873" t="s">
        <v>2297</v>
      </c>
      <c r="D873" t="s">
        <v>2408</v>
      </c>
      <c r="E873">
        <v>3</v>
      </c>
      <c r="F873">
        <v>209.48</v>
      </c>
      <c r="G873" t="s">
        <v>2739</v>
      </c>
      <c r="H873" t="s">
        <v>3065</v>
      </c>
      <c r="I873" t="s">
        <v>3074</v>
      </c>
      <c r="J873" t="s">
        <v>4166</v>
      </c>
      <c r="K873">
        <v>4</v>
      </c>
      <c r="L873" t="s">
        <v>4283</v>
      </c>
      <c r="M873" t="s">
        <v>4280</v>
      </c>
      <c r="N873" s="5">
        <v>628.43999999999994</v>
      </c>
      <c r="O873" t="str">
        <f>IF(ABS(Table1[[#This Row],[TotalPrice]]-Table1[[#This Row],[Quantity]]*Table1[[#This Row],[UnitPrice]]) &lt;0.01, "ok",)</f>
        <v>ok</v>
      </c>
      <c r="P873" t="str">
        <f>PROPER(TRIM(Table1[[#This Row],[ShippingAddress]]))</f>
        <v>123 Main St</v>
      </c>
      <c r="Q873" t="str">
        <f>PROPER(TRIM((Table1[[#This Row],[PaymentMethod]])))</f>
        <v>Debit Card</v>
      </c>
      <c r="R873" t="str">
        <f>PROPER(TRIM(Table1[[#This Row],[ReferralSource]]))</f>
        <v>Email</v>
      </c>
      <c r="S873" s="5">
        <f>Table1[[#This Row],[TotalPrice]]/Table1[[#This Row],[ItemsInCart]]</f>
        <v>157.10999999999999</v>
      </c>
    </row>
    <row r="874" spans="1:19" x14ac:dyDescent="0.3">
      <c r="A874" t="s">
        <v>101</v>
      </c>
      <c r="B874" s="1">
        <v>45575</v>
      </c>
      <c r="C874" t="s">
        <v>1301</v>
      </c>
      <c r="D874" t="s">
        <v>2405</v>
      </c>
      <c r="E874">
        <v>3</v>
      </c>
      <c r="F874">
        <v>225.11</v>
      </c>
      <c r="G874" t="s">
        <v>2491</v>
      </c>
      <c r="H874" t="s">
        <v>3069</v>
      </c>
      <c r="I874" t="s">
        <v>3070</v>
      </c>
      <c r="J874" t="s">
        <v>3162</v>
      </c>
      <c r="K874">
        <v>4</v>
      </c>
      <c r="L874" t="s">
        <v>4275</v>
      </c>
      <c r="M874" t="s">
        <v>4281</v>
      </c>
      <c r="N874" s="5">
        <v>675.33</v>
      </c>
      <c r="O874" t="str">
        <f>IF(ABS(Table1[[#This Row],[TotalPrice]]-Table1[[#This Row],[Quantity]]*Table1[[#This Row],[UnitPrice]]) &lt;0.01, "ok",)</f>
        <v>ok</v>
      </c>
      <c r="P874" t="str">
        <f>PROPER(TRIM(Table1[[#This Row],[ShippingAddress]]))</f>
        <v>915 Main St</v>
      </c>
      <c r="Q874" t="str">
        <f>PROPER(TRIM((Table1[[#This Row],[PaymentMethod]])))</f>
        <v>Cash</v>
      </c>
      <c r="R874" t="str">
        <f>PROPER(TRIM(Table1[[#This Row],[ReferralSource]]))</f>
        <v>Facebook</v>
      </c>
      <c r="S874" s="5">
        <f>Table1[[#This Row],[TotalPrice]]/Table1[[#This Row],[ItemsInCart]]</f>
        <v>168.83250000000001</v>
      </c>
    </row>
    <row r="875" spans="1:19" x14ac:dyDescent="0.3">
      <c r="A875" t="s">
        <v>592</v>
      </c>
      <c r="B875" s="1">
        <v>45575</v>
      </c>
      <c r="C875" t="s">
        <v>1792</v>
      </c>
      <c r="D875" t="s">
        <v>2403</v>
      </c>
      <c r="E875">
        <v>5</v>
      </c>
      <c r="F875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>
        <v>6</v>
      </c>
      <c r="L875" t="s">
        <v>4275</v>
      </c>
      <c r="M875" t="s">
        <v>4278</v>
      </c>
      <c r="N875" s="5">
        <v>2830.35</v>
      </c>
      <c r="O875" t="str">
        <f>IF(ABS(Table1[[#This Row],[TotalPrice]]-Table1[[#This Row],[Quantity]]*Table1[[#This Row],[UnitPrice]]) &lt;0.01, "ok",)</f>
        <v>ok</v>
      </c>
      <c r="P875" t="str">
        <f>PROPER(TRIM(Table1[[#This Row],[ShippingAddress]]))</f>
        <v>587 Main St</v>
      </c>
      <c r="Q875" t="str">
        <f>PROPER(TRIM((Table1[[#This Row],[PaymentMethod]])))</f>
        <v>Credit Card</v>
      </c>
      <c r="R875" t="str">
        <f>PROPER(TRIM(Table1[[#This Row],[ReferralSource]]))</f>
        <v>Instagram</v>
      </c>
      <c r="S875" s="5">
        <f>Table1[[#This Row],[TotalPrice]]/Table1[[#This Row],[ItemsInCart]]</f>
        <v>471.72499999999997</v>
      </c>
    </row>
    <row r="876" spans="1:19" x14ac:dyDescent="0.3">
      <c r="A876" t="s">
        <v>1087</v>
      </c>
      <c r="B876" s="1">
        <v>45576</v>
      </c>
      <c r="C876" t="s">
        <v>2279</v>
      </c>
      <c r="D876" t="s">
        <v>2405</v>
      </c>
      <c r="E876">
        <v>4</v>
      </c>
      <c r="F876">
        <v>362.06</v>
      </c>
      <c r="G876" t="s">
        <v>2631</v>
      </c>
      <c r="H876" t="s">
        <v>3065</v>
      </c>
      <c r="I876" t="s">
        <v>3072</v>
      </c>
      <c r="J876" t="s">
        <v>4148</v>
      </c>
      <c r="K876">
        <v>4</v>
      </c>
      <c r="L876" t="s">
        <v>4283</v>
      </c>
      <c r="M876" t="s">
        <v>4281</v>
      </c>
      <c r="N876" s="5">
        <v>1448.24</v>
      </c>
      <c r="O876" t="str">
        <f>IF(ABS(Table1[[#This Row],[TotalPrice]]-Table1[[#This Row],[Quantity]]*Table1[[#This Row],[UnitPrice]]) &lt;0.01, "ok",)</f>
        <v>ok</v>
      </c>
      <c r="P876" t="str">
        <f>PROPER(TRIM(Table1[[#This Row],[ShippingAddress]]))</f>
        <v>294 Main St</v>
      </c>
      <c r="Q876" t="str">
        <f>PROPER(TRIM((Table1[[#This Row],[PaymentMethod]])))</f>
        <v>Debit Card</v>
      </c>
      <c r="R876" t="str">
        <f>PROPER(TRIM(Table1[[#This Row],[ReferralSource]]))</f>
        <v>Facebook</v>
      </c>
      <c r="S876" s="5">
        <f>Table1[[#This Row],[TotalPrice]]/Table1[[#This Row],[ItemsInCart]]</f>
        <v>362.06</v>
      </c>
    </row>
    <row r="877" spans="1:19" x14ac:dyDescent="0.3">
      <c r="A877" t="s">
        <v>51</v>
      </c>
      <c r="B877" s="1">
        <v>45579</v>
      </c>
      <c r="C877" t="s">
        <v>1251</v>
      </c>
      <c r="D877" t="s">
        <v>2408</v>
      </c>
      <c r="E877">
        <v>2</v>
      </c>
      <c r="F87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>
        <v>7</v>
      </c>
      <c r="L877" t="s">
        <v>4275</v>
      </c>
      <c r="M877" t="s">
        <v>4278</v>
      </c>
      <c r="N877" s="5">
        <v>153.47999999999999</v>
      </c>
      <c r="O877" t="str">
        <f>IF(ABS(Table1[[#This Row],[TotalPrice]]-Table1[[#This Row],[Quantity]]*Table1[[#This Row],[UnitPrice]]) &lt;0.01, "ok",)</f>
        <v>ok</v>
      </c>
      <c r="P877" t="str">
        <f>PROPER(TRIM(Table1[[#This Row],[ShippingAddress]]))</f>
        <v>409 Main St</v>
      </c>
      <c r="Q877" t="str">
        <f>PROPER(TRIM((Table1[[#This Row],[PaymentMethod]])))</f>
        <v>Cash</v>
      </c>
      <c r="R877" t="str">
        <f>PROPER(TRIM(Table1[[#This Row],[ReferralSource]]))</f>
        <v>Instagram</v>
      </c>
      <c r="S877" s="5">
        <f>Table1[[#This Row],[TotalPrice]]/Table1[[#This Row],[ItemsInCart]]</f>
        <v>21.925714285714285</v>
      </c>
    </row>
    <row r="878" spans="1:19" x14ac:dyDescent="0.3">
      <c r="A878" t="s">
        <v>26</v>
      </c>
      <c r="B878" s="1">
        <v>45580</v>
      </c>
      <c r="C878" t="s">
        <v>1226</v>
      </c>
      <c r="D878" t="s">
        <v>2403</v>
      </c>
      <c r="E878">
        <v>2</v>
      </c>
      <c r="F878">
        <v>180.5</v>
      </c>
      <c r="G878" t="s">
        <v>2422</v>
      </c>
      <c r="H878" t="s">
        <v>3065</v>
      </c>
      <c r="I878" t="s">
        <v>3074</v>
      </c>
      <c r="J878" t="s">
        <v>3087</v>
      </c>
      <c r="K878">
        <v>6</v>
      </c>
      <c r="L878" t="s">
        <v>4276</v>
      </c>
      <c r="M878" t="s">
        <v>4279</v>
      </c>
      <c r="N878" s="5">
        <v>361</v>
      </c>
      <c r="O878" t="str">
        <f>IF(ABS(Table1[[#This Row],[TotalPrice]]-Table1[[#This Row],[Quantity]]*Table1[[#This Row],[UnitPrice]]) &lt;0.01, "ok",)</f>
        <v>ok</v>
      </c>
      <c r="P878" t="str">
        <f>PROPER(TRIM(Table1[[#This Row],[ShippingAddress]]))</f>
        <v>179 Main St</v>
      </c>
      <c r="Q878" t="str">
        <f>PROPER(TRIM((Table1[[#This Row],[PaymentMethod]])))</f>
        <v>Debit Card</v>
      </c>
      <c r="R878" t="str">
        <f>PROPER(TRIM(Table1[[#This Row],[ReferralSource]]))</f>
        <v>Referral</v>
      </c>
      <c r="S878" s="5">
        <f>Table1[[#This Row],[TotalPrice]]/Table1[[#This Row],[ItemsInCart]]</f>
        <v>60.166666666666664</v>
      </c>
    </row>
    <row r="879" spans="1:19" x14ac:dyDescent="0.3">
      <c r="A879" t="s">
        <v>819</v>
      </c>
      <c r="B879" s="1">
        <v>45580</v>
      </c>
      <c r="C879" t="s">
        <v>2015</v>
      </c>
      <c r="D879" t="s">
        <v>2408</v>
      </c>
      <c r="E879">
        <v>5</v>
      </c>
      <c r="F879">
        <v>472.01</v>
      </c>
      <c r="G879" t="s">
        <v>2934</v>
      </c>
      <c r="H879" t="s">
        <v>3068</v>
      </c>
      <c r="I879" t="s">
        <v>3071</v>
      </c>
      <c r="J879" t="s">
        <v>3880</v>
      </c>
      <c r="K879">
        <v>10</v>
      </c>
      <c r="L879" t="s">
        <v>4275</v>
      </c>
      <c r="M879" t="s">
        <v>4280</v>
      </c>
      <c r="N879" s="5">
        <v>2360.0500000000002</v>
      </c>
      <c r="O879" t="str">
        <f>IF(ABS(Table1[[#This Row],[TotalPrice]]-Table1[[#This Row],[Quantity]]*Table1[[#This Row],[UnitPrice]]) &lt;0.01, "ok",)</f>
        <v>ok</v>
      </c>
      <c r="P879" t="str">
        <f>PROPER(TRIM(Table1[[#This Row],[ShippingAddress]]))</f>
        <v>178 Main St</v>
      </c>
      <c r="Q879" t="str">
        <f>PROPER(TRIM((Table1[[#This Row],[PaymentMethod]])))</f>
        <v>Gift Card</v>
      </c>
      <c r="R879" t="str">
        <f>PROPER(TRIM(Table1[[#This Row],[ReferralSource]]))</f>
        <v>Email</v>
      </c>
      <c r="S879" s="5">
        <f>Table1[[#This Row],[TotalPrice]]/Table1[[#This Row],[ItemsInCart]]</f>
        <v>236.00500000000002</v>
      </c>
    </row>
    <row r="880" spans="1:19" x14ac:dyDescent="0.3">
      <c r="A880" t="s">
        <v>943</v>
      </c>
      <c r="B880" s="1">
        <v>45581</v>
      </c>
      <c r="C880" t="s">
        <v>2139</v>
      </c>
      <c r="D880" t="s">
        <v>2405</v>
      </c>
      <c r="E880">
        <v>2</v>
      </c>
      <c r="F880">
        <v>536.25</v>
      </c>
      <c r="G880" t="s">
        <v>2568</v>
      </c>
      <c r="H880" t="s">
        <v>3065</v>
      </c>
      <c r="I880" t="s">
        <v>3074</v>
      </c>
      <c r="J880" t="s">
        <v>4004</v>
      </c>
      <c r="K880">
        <v>3</v>
      </c>
      <c r="L880" t="s">
        <v>4283</v>
      </c>
      <c r="M880" t="s">
        <v>4280</v>
      </c>
      <c r="N880" s="5">
        <v>1072.5</v>
      </c>
      <c r="O880" t="str">
        <f>IF(ABS(Table1[[#This Row],[TotalPrice]]-Table1[[#This Row],[Quantity]]*Table1[[#This Row],[UnitPrice]]) &lt;0.01, "ok",)</f>
        <v>ok</v>
      </c>
      <c r="P880" t="str">
        <f>PROPER(TRIM(Table1[[#This Row],[ShippingAddress]]))</f>
        <v>553 Main St</v>
      </c>
      <c r="Q880" t="str">
        <f>PROPER(TRIM((Table1[[#This Row],[PaymentMethod]])))</f>
        <v>Debit Card</v>
      </c>
      <c r="R880" t="str">
        <f>PROPER(TRIM(Table1[[#This Row],[ReferralSource]]))</f>
        <v>Email</v>
      </c>
      <c r="S880" s="5">
        <f>Table1[[#This Row],[TotalPrice]]/Table1[[#This Row],[ItemsInCart]]</f>
        <v>357.5</v>
      </c>
    </row>
    <row r="881" spans="1:19" x14ac:dyDescent="0.3">
      <c r="A881" t="s">
        <v>630</v>
      </c>
      <c r="B881" s="1">
        <v>45582</v>
      </c>
      <c r="C881" t="s">
        <v>1829</v>
      </c>
      <c r="D881" t="s">
        <v>2405</v>
      </c>
      <c r="E881">
        <v>3</v>
      </c>
      <c r="F881">
        <v>601.6</v>
      </c>
      <c r="G881" t="s">
        <v>2843</v>
      </c>
      <c r="H881" t="s">
        <v>3067</v>
      </c>
      <c r="I881" t="s">
        <v>3071</v>
      </c>
      <c r="J881" t="s">
        <v>3691</v>
      </c>
      <c r="K881">
        <v>7</v>
      </c>
      <c r="L881" t="s">
        <v>4275</v>
      </c>
      <c r="M881" t="s">
        <v>4281</v>
      </c>
      <c r="N881" s="5">
        <v>1804.8</v>
      </c>
      <c r="O881" t="str">
        <f>IF(ABS(Table1[[#This Row],[TotalPrice]]-Table1[[#This Row],[Quantity]]*Table1[[#This Row],[UnitPrice]]) &lt;0.01, "ok",)</f>
        <v>ok</v>
      </c>
      <c r="P881" t="str">
        <f>PROPER(TRIM(Table1[[#This Row],[ShippingAddress]]))</f>
        <v>984 Main St</v>
      </c>
      <c r="Q881" t="str">
        <f>PROPER(TRIM((Table1[[#This Row],[PaymentMethod]])))</f>
        <v>Credit Card</v>
      </c>
      <c r="R881" t="str">
        <f>PROPER(TRIM(Table1[[#This Row],[ReferralSource]]))</f>
        <v>Facebook</v>
      </c>
      <c r="S881" s="5">
        <f>Table1[[#This Row],[TotalPrice]]/Table1[[#This Row],[ItemsInCart]]</f>
        <v>257.82857142857142</v>
      </c>
    </row>
    <row r="882" spans="1:19" x14ac:dyDescent="0.3">
      <c r="A882" t="s">
        <v>318</v>
      </c>
      <c r="B882" s="1">
        <v>45583</v>
      </c>
      <c r="C882" t="s">
        <v>1518</v>
      </c>
      <c r="D882" t="s">
        <v>2403</v>
      </c>
      <c r="E882">
        <v>5</v>
      </c>
      <c r="F882">
        <v>408.73</v>
      </c>
      <c r="G882" t="s">
        <v>2667</v>
      </c>
      <c r="H882" t="s">
        <v>3068</v>
      </c>
      <c r="I882" t="s">
        <v>3073</v>
      </c>
      <c r="J882" t="s">
        <v>3379</v>
      </c>
      <c r="K882">
        <v>10</v>
      </c>
      <c r="L882" t="s">
        <v>4276</v>
      </c>
      <c r="M882" t="s">
        <v>4278</v>
      </c>
      <c r="N882" s="5">
        <v>2043.65</v>
      </c>
      <c r="O882" t="str">
        <f>IF(ABS(Table1[[#This Row],[TotalPrice]]-Table1[[#This Row],[Quantity]]*Table1[[#This Row],[UnitPrice]]) &lt;0.01, "ok",)</f>
        <v>ok</v>
      </c>
      <c r="P882" t="str">
        <f>PROPER(TRIM(Table1[[#This Row],[ShippingAddress]]))</f>
        <v>326 Main St</v>
      </c>
      <c r="Q882" t="str">
        <f>PROPER(TRIM((Table1[[#This Row],[PaymentMethod]])))</f>
        <v>Gift Card</v>
      </c>
      <c r="R882" t="str">
        <f>PROPER(TRIM(Table1[[#This Row],[ReferralSource]]))</f>
        <v>Instagram</v>
      </c>
      <c r="S882" s="5">
        <f>Table1[[#This Row],[TotalPrice]]/Table1[[#This Row],[ItemsInCart]]</f>
        <v>204.36500000000001</v>
      </c>
    </row>
    <row r="883" spans="1:19" x14ac:dyDescent="0.3">
      <c r="A883" t="s">
        <v>738</v>
      </c>
      <c r="B883" s="1">
        <v>45583</v>
      </c>
      <c r="C883" t="s">
        <v>1935</v>
      </c>
      <c r="D883" t="s">
        <v>2407</v>
      </c>
      <c r="E883">
        <v>3</v>
      </c>
      <c r="F883">
        <v>136.97</v>
      </c>
      <c r="G883" t="s">
        <v>2667</v>
      </c>
      <c r="H883" t="s">
        <v>3067</v>
      </c>
      <c r="I883" t="s">
        <v>3072</v>
      </c>
      <c r="J883" t="s">
        <v>3799</v>
      </c>
      <c r="K883">
        <v>4</v>
      </c>
      <c r="L883" t="s">
        <v>4276</v>
      </c>
      <c r="M883" t="s">
        <v>4279</v>
      </c>
      <c r="N883" s="5">
        <v>410.91</v>
      </c>
      <c r="O883" t="str">
        <f>IF(ABS(Table1[[#This Row],[TotalPrice]]-Table1[[#This Row],[Quantity]]*Table1[[#This Row],[UnitPrice]]) &lt;0.01, "ok",)</f>
        <v>ok</v>
      </c>
      <c r="P883" t="str">
        <f>PROPER(TRIM(Table1[[#This Row],[ShippingAddress]]))</f>
        <v>326 Main St</v>
      </c>
      <c r="Q883" t="str">
        <f>PROPER(TRIM((Table1[[#This Row],[PaymentMethod]])))</f>
        <v>Credit Card</v>
      </c>
      <c r="R883" t="str">
        <f>PROPER(TRIM(Table1[[#This Row],[ReferralSource]]))</f>
        <v>Referral</v>
      </c>
      <c r="S883" s="5">
        <f>Table1[[#This Row],[TotalPrice]]/Table1[[#This Row],[ItemsInCart]]</f>
        <v>102.72750000000001</v>
      </c>
    </row>
    <row r="884" spans="1:19" x14ac:dyDescent="0.3">
      <c r="A884" t="s">
        <v>910</v>
      </c>
      <c r="B884" s="1">
        <v>45583</v>
      </c>
      <c r="C884" t="s">
        <v>2106</v>
      </c>
      <c r="D884" t="s">
        <v>2409</v>
      </c>
      <c r="E884">
        <v>3</v>
      </c>
      <c r="F884">
        <v>147.29</v>
      </c>
      <c r="G884" t="s">
        <v>2419</v>
      </c>
      <c r="H884" t="s">
        <v>3068</v>
      </c>
      <c r="I884" t="s">
        <v>3070</v>
      </c>
      <c r="J884" t="s">
        <v>3971</v>
      </c>
      <c r="K884">
        <v>3</v>
      </c>
      <c r="L884" t="s">
        <v>4276</v>
      </c>
      <c r="M884" t="s">
        <v>4282</v>
      </c>
      <c r="N884" s="5">
        <v>441.87</v>
      </c>
      <c r="O884" t="str">
        <f>IF(ABS(Table1[[#This Row],[TotalPrice]]-Table1[[#This Row],[Quantity]]*Table1[[#This Row],[UnitPrice]]) &lt;0.01, "ok",)</f>
        <v>ok</v>
      </c>
      <c r="P884" t="str">
        <f>PROPER(TRIM(Table1[[#This Row],[ShippingAddress]]))</f>
        <v>102 Main St</v>
      </c>
      <c r="Q884" t="str">
        <f>PROPER(TRIM((Table1[[#This Row],[PaymentMethod]])))</f>
        <v>Gift Card</v>
      </c>
      <c r="R884" t="str">
        <f>PROPER(TRIM(Table1[[#This Row],[ReferralSource]]))</f>
        <v>Google</v>
      </c>
      <c r="S884" s="5">
        <f>Table1[[#This Row],[TotalPrice]]/Table1[[#This Row],[ItemsInCart]]</f>
        <v>147.29</v>
      </c>
    </row>
    <row r="885" spans="1:19" x14ac:dyDescent="0.3">
      <c r="A885" t="s">
        <v>674</v>
      </c>
      <c r="B885" s="1">
        <v>45584</v>
      </c>
      <c r="C885" t="s">
        <v>1873</v>
      </c>
      <c r="D885" t="s">
        <v>2406</v>
      </c>
      <c r="E885">
        <v>2</v>
      </c>
      <c r="F885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>
        <v>7</v>
      </c>
      <c r="L885" t="s">
        <v>4277</v>
      </c>
      <c r="M885" t="s">
        <v>4281</v>
      </c>
      <c r="N885" s="5">
        <v>1303.1400000000001</v>
      </c>
      <c r="O885" t="str">
        <f>IF(ABS(Table1[[#This Row],[TotalPrice]]-Table1[[#This Row],[Quantity]]*Table1[[#This Row],[UnitPrice]]) &lt;0.01, "ok",)</f>
        <v>ok</v>
      </c>
      <c r="P885" t="str">
        <f>PROPER(TRIM(Table1[[#This Row],[ShippingAddress]]))</f>
        <v>933 Main St</v>
      </c>
      <c r="Q885" t="str">
        <f>PROPER(TRIM((Table1[[#This Row],[PaymentMethod]])))</f>
        <v>Debit Card</v>
      </c>
      <c r="R885" t="str">
        <f>PROPER(TRIM(Table1[[#This Row],[ReferralSource]]))</f>
        <v>Facebook</v>
      </c>
      <c r="S885" s="5">
        <f>Table1[[#This Row],[TotalPrice]]/Table1[[#This Row],[ItemsInCart]]</f>
        <v>186.16285714285715</v>
      </c>
    </row>
    <row r="886" spans="1:19" x14ac:dyDescent="0.3">
      <c r="A886" t="s">
        <v>968</v>
      </c>
      <c r="B886" s="1">
        <v>45587</v>
      </c>
      <c r="C886" t="s">
        <v>2162</v>
      </c>
      <c r="D886" t="s">
        <v>2406</v>
      </c>
      <c r="E886">
        <v>3</v>
      </c>
      <c r="F886">
        <v>443.44</v>
      </c>
      <c r="G886" t="s">
        <v>2556</v>
      </c>
      <c r="H886" t="s">
        <v>3068</v>
      </c>
      <c r="I886" t="s">
        <v>3070</v>
      </c>
      <c r="J886" t="s">
        <v>4029</v>
      </c>
      <c r="K886">
        <v>3</v>
      </c>
      <c r="L886" t="s">
        <v>4276</v>
      </c>
      <c r="M886" t="s">
        <v>4282</v>
      </c>
      <c r="N886" s="5">
        <v>1330.32</v>
      </c>
      <c r="O886" t="str">
        <f>IF(ABS(Table1[[#This Row],[TotalPrice]]-Table1[[#This Row],[Quantity]]*Table1[[#This Row],[UnitPrice]]) &lt;0.01, "ok",)</f>
        <v>ok</v>
      </c>
      <c r="P886" t="str">
        <f>PROPER(TRIM(Table1[[#This Row],[ShippingAddress]]))</f>
        <v>240 Main St</v>
      </c>
      <c r="Q886" t="str">
        <f>PROPER(TRIM((Table1[[#This Row],[PaymentMethod]])))</f>
        <v>Gift Card</v>
      </c>
      <c r="R886" t="str">
        <f>PROPER(TRIM(Table1[[#This Row],[ReferralSource]]))</f>
        <v>Google</v>
      </c>
      <c r="S886" s="5">
        <f>Table1[[#This Row],[TotalPrice]]/Table1[[#This Row],[ItemsInCart]]</f>
        <v>443.44</v>
      </c>
    </row>
    <row r="887" spans="1:19" x14ac:dyDescent="0.3">
      <c r="A887" t="s">
        <v>119</v>
      </c>
      <c r="B887" s="1">
        <v>45589</v>
      </c>
      <c r="C887" t="s">
        <v>1319</v>
      </c>
      <c r="D887" t="s">
        <v>2407</v>
      </c>
      <c r="E887">
        <v>3</v>
      </c>
      <c r="F887">
        <v>185.4</v>
      </c>
      <c r="G887" t="s">
        <v>2508</v>
      </c>
      <c r="H887" t="s">
        <v>3068</v>
      </c>
      <c r="I887" t="s">
        <v>3071</v>
      </c>
      <c r="J887" t="s">
        <v>3180</v>
      </c>
      <c r="K887">
        <v>7</v>
      </c>
      <c r="L887" t="s">
        <v>4283</v>
      </c>
      <c r="M887" t="s">
        <v>4281</v>
      </c>
      <c r="N887" s="5">
        <v>556.20000000000005</v>
      </c>
      <c r="O887" t="str">
        <f>IF(ABS(Table1[[#This Row],[TotalPrice]]-Table1[[#This Row],[Quantity]]*Table1[[#This Row],[UnitPrice]]) &lt;0.01, "ok",)</f>
        <v>ok</v>
      </c>
      <c r="P887" t="str">
        <f>PROPER(TRIM(Table1[[#This Row],[ShippingAddress]]))</f>
        <v>810 Main St</v>
      </c>
      <c r="Q887" t="str">
        <f>PROPER(TRIM((Table1[[#This Row],[PaymentMethod]])))</f>
        <v>Gift Card</v>
      </c>
      <c r="R887" t="str">
        <f>PROPER(TRIM(Table1[[#This Row],[ReferralSource]]))</f>
        <v>Facebook</v>
      </c>
      <c r="S887" s="5">
        <f>Table1[[#This Row],[TotalPrice]]/Table1[[#This Row],[ItemsInCart]]</f>
        <v>79.45714285714287</v>
      </c>
    </row>
    <row r="888" spans="1:19" x14ac:dyDescent="0.3">
      <c r="A888" t="s">
        <v>511</v>
      </c>
      <c r="B888" s="1">
        <v>45589</v>
      </c>
      <c r="C888" t="s">
        <v>1711</v>
      </c>
      <c r="D888" t="s">
        <v>2407</v>
      </c>
      <c r="E888">
        <v>3</v>
      </c>
      <c r="F888">
        <v>112.29</v>
      </c>
      <c r="G888" t="s">
        <v>2790</v>
      </c>
      <c r="H888" t="s">
        <v>3068</v>
      </c>
      <c r="I888" t="s">
        <v>3070</v>
      </c>
      <c r="J888" t="s">
        <v>3572</v>
      </c>
      <c r="K888">
        <v>6</v>
      </c>
      <c r="L888" t="s">
        <v>4283</v>
      </c>
      <c r="M888" t="s">
        <v>4282</v>
      </c>
      <c r="N888" s="5">
        <v>336.87</v>
      </c>
      <c r="O888" t="str">
        <f>IF(ABS(Table1[[#This Row],[TotalPrice]]-Table1[[#This Row],[Quantity]]*Table1[[#This Row],[UnitPrice]]) &lt;0.01, "ok",)</f>
        <v>ok</v>
      </c>
      <c r="P888" t="str">
        <f>PROPER(TRIM(Table1[[#This Row],[ShippingAddress]]))</f>
        <v>454 Main St</v>
      </c>
      <c r="Q888" t="str">
        <f>PROPER(TRIM((Table1[[#This Row],[PaymentMethod]])))</f>
        <v>Gift Card</v>
      </c>
      <c r="R888" t="str">
        <f>PROPER(TRIM(Table1[[#This Row],[ReferralSource]]))</f>
        <v>Google</v>
      </c>
      <c r="S888" s="5">
        <f>Table1[[#This Row],[TotalPrice]]/Table1[[#This Row],[ItemsInCart]]</f>
        <v>56.145000000000003</v>
      </c>
    </row>
    <row r="889" spans="1:19" x14ac:dyDescent="0.3">
      <c r="A889" t="s">
        <v>866</v>
      </c>
      <c r="B889" s="1">
        <v>45589</v>
      </c>
      <c r="C889" t="s">
        <v>2062</v>
      </c>
      <c r="D889" t="s">
        <v>2409</v>
      </c>
      <c r="E889">
        <v>3</v>
      </c>
      <c r="F889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>
        <v>6</v>
      </c>
      <c r="L889" t="s">
        <v>4275</v>
      </c>
      <c r="M889" t="s">
        <v>4282</v>
      </c>
      <c r="N889" s="5">
        <v>1704.15</v>
      </c>
      <c r="O889" t="str">
        <f>IF(ABS(Table1[[#This Row],[TotalPrice]]-Table1[[#This Row],[Quantity]]*Table1[[#This Row],[UnitPrice]]) &lt;0.01, "ok",)</f>
        <v>ok</v>
      </c>
      <c r="P889" t="str">
        <f>PROPER(TRIM(Table1[[#This Row],[ShippingAddress]]))</f>
        <v>618 Main St</v>
      </c>
      <c r="Q889" t="str">
        <f>PROPER(TRIM((Table1[[#This Row],[PaymentMethod]])))</f>
        <v>Gift Card</v>
      </c>
      <c r="R889" t="str">
        <f>PROPER(TRIM(Table1[[#This Row],[ReferralSource]]))</f>
        <v>Google</v>
      </c>
      <c r="S889" s="5">
        <f>Table1[[#This Row],[TotalPrice]]/Table1[[#This Row],[ItemsInCart]]</f>
        <v>284.02500000000003</v>
      </c>
    </row>
    <row r="890" spans="1:19" x14ac:dyDescent="0.3">
      <c r="A890" t="s">
        <v>740</v>
      </c>
      <c r="B890" s="1">
        <v>45590</v>
      </c>
      <c r="C890" t="s">
        <v>1937</v>
      </c>
      <c r="D890" t="s">
        <v>2408</v>
      </c>
      <c r="E890">
        <v>4</v>
      </c>
      <c r="F890">
        <v>583.02</v>
      </c>
      <c r="G890" t="s">
        <v>2894</v>
      </c>
      <c r="H890" t="s">
        <v>3066</v>
      </c>
      <c r="I890" t="s">
        <v>3073</v>
      </c>
      <c r="J890" t="s">
        <v>3801</v>
      </c>
      <c r="K890">
        <v>4</v>
      </c>
      <c r="L890" t="s">
        <v>4276</v>
      </c>
      <c r="M890" t="s">
        <v>4281</v>
      </c>
      <c r="N890" s="5">
        <v>2332.08</v>
      </c>
      <c r="O890" t="str">
        <f>IF(ABS(Table1[[#This Row],[TotalPrice]]-Table1[[#This Row],[Quantity]]*Table1[[#This Row],[UnitPrice]]) &lt;0.01, "ok",)</f>
        <v>ok</v>
      </c>
      <c r="P890" t="str">
        <f>PROPER(TRIM(Table1[[#This Row],[ShippingAddress]]))</f>
        <v>338 Main St</v>
      </c>
      <c r="Q890" t="str">
        <f>PROPER(TRIM((Table1[[#This Row],[PaymentMethod]])))</f>
        <v>Online</v>
      </c>
      <c r="R890" t="str">
        <f>PROPER(TRIM(Table1[[#This Row],[ReferralSource]]))</f>
        <v>Facebook</v>
      </c>
      <c r="S890" s="5">
        <f>Table1[[#This Row],[TotalPrice]]/Table1[[#This Row],[ItemsInCart]]</f>
        <v>583.02</v>
      </c>
    </row>
    <row r="891" spans="1:19" x14ac:dyDescent="0.3">
      <c r="A891" t="s">
        <v>673</v>
      </c>
      <c r="B891" s="1">
        <v>45591</v>
      </c>
      <c r="C891" t="s">
        <v>1872</v>
      </c>
      <c r="D891" t="s">
        <v>2404</v>
      </c>
      <c r="E891">
        <v>2</v>
      </c>
      <c r="F891">
        <v>642.04</v>
      </c>
      <c r="G891" t="s">
        <v>2813</v>
      </c>
      <c r="H891" t="s">
        <v>3068</v>
      </c>
      <c r="I891" t="s">
        <v>3073</v>
      </c>
      <c r="J891" t="s">
        <v>3734</v>
      </c>
      <c r="K891">
        <v>4</v>
      </c>
      <c r="L891" t="s">
        <v>4277</v>
      </c>
      <c r="M891" t="s">
        <v>4280</v>
      </c>
      <c r="N891" s="5">
        <v>1284.08</v>
      </c>
      <c r="O891" t="str">
        <f>IF(ABS(Table1[[#This Row],[TotalPrice]]-Table1[[#This Row],[Quantity]]*Table1[[#This Row],[UnitPrice]]) &lt;0.01, "ok",)</f>
        <v>ok</v>
      </c>
      <c r="P891" t="str">
        <f>PROPER(TRIM(Table1[[#This Row],[ShippingAddress]]))</f>
        <v>964 Main St</v>
      </c>
      <c r="Q891" t="str">
        <f>PROPER(TRIM((Table1[[#This Row],[PaymentMethod]])))</f>
        <v>Gift Card</v>
      </c>
      <c r="R891" t="str">
        <f>PROPER(TRIM(Table1[[#This Row],[ReferralSource]]))</f>
        <v>Email</v>
      </c>
      <c r="S891" s="5">
        <f>Table1[[#This Row],[TotalPrice]]/Table1[[#This Row],[ItemsInCart]]</f>
        <v>321.02</v>
      </c>
    </row>
    <row r="892" spans="1:19" x14ac:dyDescent="0.3">
      <c r="A892" t="s">
        <v>287</v>
      </c>
      <c r="B892" s="1">
        <v>45592</v>
      </c>
      <c r="C892" t="s">
        <v>1487</v>
      </c>
      <c r="D892" t="s">
        <v>2405</v>
      </c>
      <c r="E892">
        <v>2</v>
      </c>
      <c r="F892">
        <v>238.25</v>
      </c>
      <c r="G892" t="s">
        <v>2643</v>
      </c>
      <c r="H892" t="s">
        <v>3066</v>
      </c>
      <c r="I892" t="s">
        <v>3071</v>
      </c>
      <c r="J892" t="s">
        <v>3348</v>
      </c>
      <c r="K892">
        <v>7</v>
      </c>
      <c r="L892" t="s">
        <v>4276</v>
      </c>
      <c r="M892" t="s">
        <v>4280</v>
      </c>
      <c r="N892" s="5">
        <v>476.5</v>
      </c>
      <c r="O892" t="str">
        <f>IF(ABS(Table1[[#This Row],[TotalPrice]]-Table1[[#This Row],[Quantity]]*Table1[[#This Row],[UnitPrice]]) &lt;0.01, "ok",)</f>
        <v>ok</v>
      </c>
      <c r="P892" t="str">
        <f>PROPER(TRIM(Table1[[#This Row],[ShippingAddress]]))</f>
        <v>974 Main St</v>
      </c>
      <c r="Q892" t="str">
        <f>PROPER(TRIM((Table1[[#This Row],[PaymentMethod]])))</f>
        <v>Online</v>
      </c>
      <c r="R892" t="str">
        <f>PROPER(TRIM(Table1[[#This Row],[ReferralSource]]))</f>
        <v>Email</v>
      </c>
      <c r="S892" s="5">
        <f>Table1[[#This Row],[TotalPrice]]/Table1[[#This Row],[ItemsInCart]]</f>
        <v>68.071428571428569</v>
      </c>
    </row>
    <row r="893" spans="1:19" x14ac:dyDescent="0.3">
      <c r="A893" t="s">
        <v>903</v>
      </c>
      <c r="B893" s="1">
        <v>45592</v>
      </c>
      <c r="C893" t="s">
        <v>2099</v>
      </c>
      <c r="D893" t="s">
        <v>2403</v>
      </c>
      <c r="E893">
        <v>5</v>
      </c>
      <c r="F893">
        <v>650.72</v>
      </c>
      <c r="G893" t="s">
        <v>2973</v>
      </c>
      <c r="H893" t="s">
        <v>3067</v>
      </c>
      <c r="I893" t="s">
        <v>3071</v>
      </c>
      <c r="J893" t="s">
        <v>3964</v>
      </c>
      <c r="K893">
        <v>8</v>
      </c>
      <c r="L893" t="s">
        <v>4277</v>
      </c>
      <c r="M893" t="s">
        <v>4280</v>
      </c>
      <c r="N893" s="5">
        <v>3253.6</v>
      </c>
      <c r="O893" t="str">
        <f>IF(ABS(Table1[[#This Row],[TotalPrice]]-Table1[[#This Row],[Quantity]]*Table1[[#This Row],[UnitPrice]]) &lt;0.01, "ok",)</f>
        <v>ok</v>
      </c>
      <c r="P893" t="str">
        <f>PROPER(TRIM(Table1[[#This Row],[ShippingAddress]]))</f>
        <v>350 Main St</v>
      </c>
      <c r="Q893" t="str">
        <f>PROPER(TRIM((Table1[[#This Row],[PaymentMethod]])))</f>
        <v>Credit Card</v>
      </c>
      <c r="R893" t="str">
        <f>PROPER(TRIM(Table1[[#This Row],[ReferralSource]]))</f>
        <v>Email</v>
      </c>
      <c r="S893" s="5">
        <f>Table1[[#This Row],[TotalPrice]]/Table1[[#This Row],[ItemsInCart]]</f>
        <v>406.7</v>
      </c>
    </row>
    <row r="894" spans="1:19" x14ac:dyDescent="0.3">
      <c r="A894" t="s">
        <v>38</v>
      </c>
      <c r="B894" s="1">
        <v>45595</v>
      </c>
      <c r="C894" t="s">
        <v>1238</v>
      </c>
      <c r="D894" t="s">
        <v>2408</v>
      </c>
      <c r="E894">
        <v>2</v>
      </c>
      <c r="F894">
        <v>230.95</v>
      </c>
      <c r="G894" t="s">
        <v>2434</v>
      </c>
      <c r="H894" t="s">
        <v>3066</v>
      </c>
      <c r="I894" t="s">
        <v>3073</v>
      </c>
      <c r="J894" t="s">
        <v>3099</v>
      </c>
      <c r="K894">
        <v>3</v>
      </c>
      <c r="L894" t="s">
        <v>4277</v>
      </c>
      <c r="M894" t="s">
        <v>4279</v>
      </c>
      <c r="N894" s="5">
        <v>461.9</v>
      </c>
      <c r="O894" t="str">
        <f>IF(ABS(Table1[[#This Row],[TotalPrice]]-Table1[[#This Row],[Quantity]]*Table1[[#This Row],[UnitPrice]]) &lt;0.01, "ok",)</f>
        <v>ok</v>
      </c>
      <c r="P894" t="str">
        <f>PROPER(TRIM(Table1[[#This Row],[ShippingAddress]]))</f>
        <v>956 Main St</v>
      </c>
      <c r="Q894" t="str">
        <f>PROPER(TRIM((Table1[[#This Row],[PaymentMethod]])))</f>
        <v>Online</v>
      </c>
      <c r="R894" t="str">
        <f>PROPER(TRIM(Table1[[#This Row],[ReferralSource]]))</f>
        <v>Referral</v>
      </c>
      <c r="S894" s="5">
        <f>Table1[[#This Row],[TotalPrice]]/Table1[[#This Row],[ItemsInCart]]</f>
        <v>153.96666666666667</v>
      </c>
    </row>
    <row r="895" spans="1:19" x14ac:dyDescent="0.3">
      <c r="A895" t="s">
        <v>492</v>
      </c>
      <c r="B895" s="1">
        <v>45597</v>
      </c>
      <c r="C895" t="s">
        <v>1692</v>
      </c>
      <c r="D895" t="s">
        <v>2405</v>
      </c>
      <c r="E895">
        <v>3</v>
      </c>
      <c r="F895">
        <v>62.77</v>
      </c>
      <c r="G895" t="s">
        <v>2426</v>
      </c>
      <c r="H895" t="s">
        <v>3068</v>
      </c>
      <c r="I895" t="s">
        <v>3070</v>
      </c>
      <c r="J895" t="s">
        <v>3553</v>
      </c>
      <c r="K895">
        <v>6</v>
      </c>
      <c r="L895" t="s">
        <v>4276</v>
      </c>
      <c r="M895" t="s">
        <v>4279</v>
      </c>
      <c r="N895" s="5">
        <v>188.31</v>
      </c>
      <c r="O895" t="str">
        <f>IF(ABS(Table1[[#This Row],[TotalPrice]]-Table1[[#This Row],[Quantity]]*Table1[[#This Row],[UnitPrice]]) &lt;0.01, "ok",)</f>
        <v>ok</v>
      </c>
      <c r="P895" t="str">
        <f>PROPER(TRIM(Table1[[#This Row],[ShippingAddress]]))</f>
        <v>914 Main St</v>
      </c>
      <c r="Q895" t="str">
        <f>PROPER(TRIM((Table1[[#This Row],[PaymentMethod]])))</f>
        <v>Gift Card</v>
      </c>
      <c r="R895" t="str">
        <f>PROPER(TRIM(Table1[[#This Row],[ReferralSource]]))</f>
        <v>Referral</v>
      </c>
      <c r="S895" s="5">
        <f>Table1[[#This Row],[TotalPrice]]/Table1[[#This Row],[ItemsInCart]]</f>
        <v>31.385000000000002</v>
      </c>
    </row>
    <row r="896" spans="1:19" x14ac:dyDescent="0.3">
      <c r="A896" t="s">
        <v>721</v>
      </c>
      <c r="B896" s="1">
        <v>45597</v>
      </c>
      <c r="C896" t="s">
        <v>1919</v>
      </c>
      <c r="D896" t="s">
        <v>2406</v>
      </c>
      <c r="E896">
        <v>4</v>
      </c>
      <c r="F896">
        <v>650.04</v>
      </c>
      <c r="G896" t="s">
        <v>2487</v>
      </c>
      <c r="H896" t="s">
        <v>3068</v>
      </c>
      <c r="I896" t="s">
        <v>3071</v>
      </c>
      <c r="J896" t="s">
        <v>3782</v>
      </c>
      <c r="K896">
        <v>6</v>
      </c>
      <c r="L896" t="s">
        <v>4275</v>
      </c>
      <c r="M896" t="s">
        <v>4281</v>
      </c>
      <c r="N896" s="5">
        <v>2600.16</v>
      </c>
      <c r="O896" t="str">
        <f>IF(ABS(Table1[[#This Row],[TotalPrice]]-Table1[[#This Row],[Quantity]]*Table1[[#This Row],[UnitPrice]]) &lt;0.01, "ok",)</f>
        <v>ok</v>
      </c>
      <c r="P896" t="str">
        <f>PROPER(TRIM(Table1[[#This Row],[ShippingAddress]]))</f>
        <v>989 Main St</v>
      </c>
      <c r="Q896" t="str">
        <f>PROPER(TRIM((Table1[[#This Row],[PaymentMethod]])))</f>
        <v>Gift Card</v>
      </c>
      <c r="R896" t="str">
        <f>PROPER(TRIM(Table1[[#This Row],[ReferralSource]]))</f>
        <v>Facebook</v>
      </c>
      <c r="S896" s="5">
        <f>Table1[[#This Row],[TotalPrice]]/Table1[[#This Row],[ItemsInCart]]</f>
        <v>433.35999999999996</v>
      </c>
    </row>
    <row r="897" spans="1:19" x14ac:dyDescent="0.3">
      <c r="A897" t="s">
        <v>636</v>
      </c>
      <c r="B897" s="1">
        <v>45598</v>
      </c>
      <c r="C897" t="s">
        <v>1835</v>
      </c>
      <c r="D897" t="s">
        <v>2409</v>
      </c>
      <c r="E897">
        <v>5</v>
      </c>
      <c r="F897">
        <v>236.38</v>
      </c>
      <c r="G897" t="s">
        <v>2445</v>
      </c>
      <c r="H897" t="s">
        <v>3067</v>
      </c>
      <c r="I897" t="s">
        <v>3072</v>
      </c>
      <c r="J897" t="s">
        <v>3697</v>
      </c>
      <c r="K897">
        <v>7</v>
      </c>
      <c r="L897" t="s">
        <v>4283</v>
      </c>
      <c r="M897" t="s">
        <v>4281</v>
      </c>
      <c r="N897" s="5">
        <v>1181.9000000000001</v>
      </c>
      <c r="O897" t="str">
        <f>IF(ABS(Table1[[#This Row],[TotalPrice]]-Table1[[#This Row],[Quantity]]*Table1[[#This Row],[UnitPrice]]) &lt;0.01, "ok",)</f>
        <v>ok</v>
      </c>
      <c r="P897" t="str">
        <f>PROPER(TRIM(Table1[[#This Row],[ShippingAddress]]))</f>
        <v>128 Main St</v>
      </c>
      <c r="Q897" t="str">
        <f>PROPER(TRIM((Table1[[#This Row],[PaymentMethod]])))</f>
        <v>Credit Card</v>
      </c>
      <c r="R897" t="str">
        <f>PROPER(TRIM(Table1[[#This Row],[ReferralSource]]))</f>
        <v>Facebook</v>
      </c>
      <c r="S897" s="5">
        <f>Table1[[#This Row],[TotalPrice]]/Table1[[#This Row],[ItemsInCart]]</f>
        <v>168.84285714285716</v>
      </c>
    </row>
    <row r="898" spans="1:19" x14ac:dyDescent="0.3">
      <c r="A898" t="s">
        <v>454</v>
      </c>
      <c r="B898" s="1">
        <v>45601</v>
      </c>
      <c r="C898" t="s">
        <v>1654</v>
      </c>
      <c r="D898" t="s">
        <v>2409</v>
      </c>
      <c r="E898">
        <v>4</v>
      </c>
      <c r="F898">
        <v>83.6</v>
      </c>
      <c r="G898" t="s">
        <v>2674</v>
      </c>
      <c r="H898" t="s">
        <v>3065</v>
      </c>
      <c r="I898" t="s">
        <v>3074</v>
      </c>
      <c r="J898" t="s">
        <v>3515</v>
      </c>
      <c r="K898">
        <v>4</v>
      </c>
      <c r="L898" t="s">
        <v>4275</v>
      </c>
      <c r="M898" t="s">
        <v>4281</v>
      </c>
      <c r="N898" s="5">
        <v>334.4</v>
      </c>
      <c r="O898" t="str">
        <f>IF(ABS(Table1[[#This Row],[TotalPrice]]-Table1[[#This Row],[Quantity]]*Table1[[#This Row],[UnitPrice]]) &lt;0.01, "ok",)</f>
        <v>ok</v>
      </c>
      <c r="P898" t="str">
        <f>PROPER(TRIM(Table1[[#This Row],[ShippingAddress]]))</f>
        <v>978 Main St</v>
      </c>
      <c r="Q898" t="str">
        <f>PROPER(TRIM((Table1[[#This Row],[PaymentMethod]])))</f>
        <v>Debit Card</v>
      </c>
      <c r="R898" t="str">
        <f>PROPER(TRIM(Table1[[#This Row],[ReferralSource]]))</f>
        <v>Facebook</v>
      </c>
      <c r="S898" s="5">
        <f>Table1[[#This Row],[TotalPrice]]/Table1[[#This Row],[ItemsInCart]]</f>
        <v>83.6</v>
      </c>
    </row>
    <row r="899" spans="1:19" x14ac:dyDescent="0.3">
      <c r="A899" t="s">
        <v>139</v>
      </c>
      <c r="B899" s="1">
        <v>45602</v>
      </c>
      <c r="C899" t="s">
        <v>1339</v>
      </c>
      <c r="D899" t="s">
        <v>2404</v>
      </c>
      <c r="E899">
        <v>2</v>
      </c>
      <c r="F899">
        <v>512.65</v>
      </c>
      <c r="G899" t="s">
        <v>2527</v>
      </c>
      <c r="H899" t="s">
        <v>3067</v>
      </c>
      <c r="I899" t="s">
        <v>3070</v>
      </c>
      <c r="J899" t="s">
        <v>3200</v>
      </c>
      <c r="K899">
        <v>5</v>
      </c>
      <c r="L899" t="s">
        <v>4275</v>
      </c>
      <c r="M899" t="s">
        <v>4280</v>
      </c>
      <c r="N899" s="5">
        <v>1025.3</v>
      </c>
      <c r="O899" t="str">
        <f>IF(ABS(Table1[[#This Row],[TotalPrice]]-Table1[[#This Row],[Quantity]]*Table1[[#This Row],[UnitPrice]]) &lt;0.01, "ok",)</f>
        <v>ok</v>
      </c>
      <c r="P899" t="str">
        <f>PROPER(TRIM(Table1[[#This Row],[ShippingAddress]]))</f>
        <v>758 Main St</v>
      </c>
      <c r="Q899" t="str">
        <f>PROPER(TRIM((Table1[[#This Row],[PaymentMethod]])))</f>
        <v>Credit Card</v>
      </c>
      <c r="R899" t="str">
        <f>PROPER(TRIM(Table1[[#This Row],[ReferralSource]]))</f>
        <v>Email</v>
      </c>
      <c r="S899" s="5">
        <f>Table1[[#This Row],[TotalPrice]]/Table1[[#This Row],[ItemsInCart]]</f>
        <v>205.06</v>
      </c>
    </row>
    <row r="900" spans="1:19" x14ac:dyDescent="0.3">
      <c r="A900" t="s">
        <v>620</v>
      </c>
      <c r="B900" s="1">
        <v>45602</v>
      </c>
      <c r="C900" t="s">
        <v>1819</v>
      </c>
      <c r="D900" t="s">
        <v>2408</v>
      </c>
      <c r="E900">
        <v>3</v>
      </c>
      <c r="F900">
        <v>274.75</v>
      </c>
      <c r="G900" t="s">
        <v>2614</v>
      </c>
      <c r="H900" t="s">
        <v>3069</v>
      </c>
      <c r="I900" t="s">
        <v>3071</v>
      </c>
      <c r="J900" t="s">
        <v>3681</v>
      </c>
      <c r="K900">
        <v>3</v>
      </c>
      <c r="L900" t="s">
        <v>4275</v>
      </c>
      <c r="M900" t="s">
        <v>4282</v>
      </c>
      <c r="N900" s="5">
        <v>824.25</v>
      </c>
      <c r="O900" t="str">
        <f>IF(ABS(Table1[[#This Row],[TotalPrice]]-Table1[[#This Row],[Quantity]]*Table1[[#This Row],[UnitPrice]]) &lt;0.01, "ok",)</f>
        <v>ok</v>
      </c>
      <c r="P900" t="str">
        <f>PROPER(TRIM(Table1[[#This Row],[ShippingAddress]]))</f>
        <v>783 Main St</v>
      </c>
      <c r="Q900" t="str">
        <f>PROPER(TRIM((Table1[[#This Row],[PaymentMethod]])))</f>
        <v>Cash</v>
      </c>
      <c r="R900" t="str">
        <f>PROPER(TRIM(Table1[[#This Row],[ReferralSource]]))</f>
        <v>Google</v>
      </c>
      <c r="S900" s="5">
        <f>Table1[[#This Row],[TotalPrice]]/Table1[[#This Row],[ItemsInCart]]</f>
        <v>274.75</v>
      </c>
    </row>
    <row r="901" spans="1:19" x14ac:dyDescent="0.3">
      <c r="A901" t="s">
        <v>170</v>
      </c>
      <c r="B901" s="1">
        <v>45604</v>
      </c>
      <c r="C901" t="s">
        <v>1370</v>
      </c>
      <c r="D901" t="s">
        <v>2406</v>
      </c>
      <c r="E901">
        <v>2</v>
      </c>
      <c r="F901">
        <v>269.83</v>
      </c>
      <c r="G901" t="s">
        <v>2553</v>
      </c>
      <c r="H901" t="s">
        <v>3066</v>
      </c>
      <c r="I901" t="s">
        <v>3073</v>
      </c>
      <c r="J901" t="s">
        <v>3231</v>
      </c>
      <c r="K901">
        <v>4</v>
      </c>
      <c r="L901" t="s">
        <v>4275</v>
      </c>
      <c r="M901" t="s">
        <v>4280</v>
      </c>
      <c r="N901" s="5">
        <v>539.66</v>
      </c>
      <c r="O901" t="str">
        <f>IF(ABS(Table1[[#This Row],[TotalPrice]]-Table1[[#This Row],[Quantity]]*Table1[[#This Row],[UnitPrice]]) &lt;0.01, "ok",)</f>
        <v>ok</v>
      </c>
      <c r="P901" t="str">
        <f>PROPER(TRIM(Table1[[#This Row],[ShippingAddress]]))</f>
        <v>651 Main St</v>
      </c>
      <c r="Q901" t="str">
        <f>PROPER(TRIM((Table1[[#This Row],[PaymentMethod]])))</f>
        <v>Online</v>
      </c>
      <c r="R901" t="str">
        <f>PROPER(TRIM(Table1[[#This Row],[ReferralSource]]))</f>
        <v>Email</v>
      </c>
      <c r="S901" s="5">
        <f>Table1[[#This Row],[TotalPrice]]/Table1[[#This Row],[ItemsInCart]]</f>
        <v>134.91499999999999</v>
      </c>
    </row>
    <row r="902" spans="1:19" x14ac:dyDescent="0.3">
      <c r="A902" t="s">
        <v>417</v>
      </c>
      <c r="B902" s="1">
        <v>45606</v>
      </c>
      <c r="C902" t="s">
        <v>1617</v>
      </c>
      <c r="D902" t="s">
        <v>2405</v>
      </c>
      <c r="E902">
        <v>1</v>
      </c>
      <c r="F902">
        <v>620.21</v>
      </c>
      <c r="G902" t="s">
        <v>2650</v>
      </c>
      <c r="H902" t="s">
        <v>3066</v>
      </c>
      <c r="I902" t="s">
        <v>3072</v>
      </c>
      <c r="J902" t="s">
        <v>3478</v>
      </c>
      <c r="K902">
        <v>1</v>
      </c>
      <c r="L902" t="s">
        <v>4276</v>
      </c>
      <c r="M902" t="s">
        <v>4279</v>
      </c>
      <c r="N902" s="5">
        <v>620.21</v>
      </c>
      <c r="O902" t="str">
        <f>IF(ABS(Table1[[#This Row],[TotalPrice]]-Table1[[#This Row],[Quantity]]*Table1[[#This Row],[UnitPrice]]) &lt;0.01, "ok",)</f>
        <v>ok</v>
      </c>
      <c r="P902" t="str">
        <f>PROPER(TRIM(Table1[[#This Row],[ShippingAddress]]))</f>
        <v>740 Main St</v>
      </c>
      <c r="Q902" t="str">
        <f>PROPER(TRIM((Table1[[#This Row],[PaymentMethod]])))</f>
        <v>Online</v>
      </c>
      <c r="R902" t="str">
        <f>PROPER(TRIM(Table1[[#This Row],[ReferralSource]]))</f>
        <v>Referral</v>
      </c>
      <c r="S902" s="5">
        <f>Table1[[#This Row],[TotalPrice]]/Table1[[#This Row],[ItemsInCart]]</f>
        <v>620.21</v>
      </c>
    </row>
    <row r="903" spans="1:19" x14ac:dyDescent="0.3">
      <c r="A903" t="s">
        <v>600</v>
      </c>
      <c r="B903" s="1">
        <v>45606</v>
      </c>
      <c r="C903" t="s">
        <v>1800</v>
      </c>
      <c r="D903" t="s">
        <v>2403</v>
      </c>
      <c r="E903">
        <v>1</v>
      </c>
      <c r="F903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>
        <v>5</v>
      </c>
      <c r="L903" t="s">
        <v>4276</v>
      </c>
      <c r="M903" t="s">
        <v>4279</v>
      </c>
      <c r="N903" s="5">
        <v>522.08000000000004</v>
      </c>
      <c r="O903" t="str">
        <f>IF(ABS(Table1[[#This Row],[TotalPrice]]-Table1[[#This Row],[Quantity]]*Table1[[#This Row],[UnitPrice]]) &lt;0.01, "ok",)</f>
        <v>ok</v>
      </c>
      <c r="P903" t="str">
        <f>PROPER(TRIM(Table1[[#This Row],[ShippingAddress]]))</f>
        <v>905 Main St</v>
      </c>
      <c r="Q903" t="str">
        <f>PROPER(TRIM((Table1[[#This Row],[PaymentMethod]])))</f>
        <v>Gift Card</v>
      </c>
      <c r="R903" t="str">
        <f>PROPER(TRIM(Table1[[#This Row],[ReferralSource]]))</f>
        <v>Referral</v>
      </c>
      <c r="S903" s="5">
        <f>Table1[[#This Row],[TotalPrice]]/Table1[[#This Row],[ItemsInCart]]</f>
        <v>104.41600000000001</v>
      </c>
    </row>
    <row r="904" spans="1:19" x14ac:dyDescent="0.3">
      <c r="A904" t="s">
        <v>821</v>
      </c>
      <c r="B904" s="1">
        <v>45606</v>
      </c>
      <c r="C904" t="s">
        <v>2017</v>
      </c>
      <c r="D904" t="s">
        <v>2403</v>
      </c>
      <c r="E904">
        <v>3</v>
      </c>
      <c r="F904">
        <v>676.21</v>
      </c>
      <c r="G904" t="s">
        <v>2935</v>
      </c>
      <c r="H904" t="s">
        <v>3066</v>
      </c>
      <c r="I904" t="s">
        <v>3073</v>
      </c>
      <c r="J904" t="s">
        <v>3882</v>
      </c>
      <c r="K904">
        <v>5</v>
      </c>
      <c r="L904" t="s">
        <v>4275</v>
      </c>
      <c r="M904" t="s">
        <v>4282</v>
      </c>
      <c r="N904" s="5">
        <v>2028.63</v>
      </c>
      <c r="O904" t="str">
        <f>IF(ABS(Table1[[#This Row],[TotalPrice]]-Table1[[#This Row],[Quantity]]*Table1[[#This Row],[UnitPrice]]) &lt;0.01, "ok",)</f>
        <v>ok</v>
      </c>
      <c r="P904" t="str">
        <f>PROPER(TRIM(Table1[[#This Row],[ShippingAddress]]))</f>
        <v>260 Main St</v>
      </c>
      <c r="Q904" t="str">
        <f>PROPER(TRIM((Table1[[#This Row],[PaymentMethod]])))</f>
        <v>Online</v>
      </c>
      <c r="R904" t="str">
        <f>PROPER(TRIM(Table1[[#This Row],[ReferralSource]]))</f>
        <v>Google</v>
      </c>
      <c r="S904" s="5">
        <f>Table1[[#This Row],[TotalPrice]]/Table1[[#This Row],[ItemsInCart]]</f>
        <v>405.726</v>
      </c>
    </row>
    <row r="905" spans="1:19" x14ac:dyDescent="0.3">
      <c r="A905" t="s">
        <v>595</v>
      </c>
      <c r="B905" s="1">
        <v>45607</v>
      </c>
      <c r="C905" t="s">
        <v>1795</v>
      </c>
      <c r="D905" t="s">
        <v>2408</v>
      </c>
      <c r="E905">
        <v>1</v>
      </c>
      <c r="F905">
        <v>627.34</v>
      </c>
      <c r="G905" t="s">
        <v>2425</v>
      </c>
      <c r="H905" t="s">
        <v>3066</v>
      </c>
      <c r="I905" t="s">
        <v>3073</v>
      </c>
      <c r="J905" t="s">
        <v>3656</v>
      </c>
      <c r="K905">
        <v>1</v>
      </c>
      <c r="L905" t="s">
        <v>4283</v>
      </c>
      <c r="M905" t="s">
        <v>4279</v>
      </c>
      <c r="N905" s="5">
        <v>627.34</v>
      </c>
      <c r="O905" t="str">
        <f>IF(ABS(Table1[[#This Row],[TotalPrice]]-Table1[[#This Row],[Quantity]]*Table1[[#This Row],[UnitPrice]]) &lt;0.01, "ok",)</f>
        <v>ok</v>
      </c>
      <c r="P905" t="str">
        <f>PROPER(TRIM(Table1[[#This Row],[ShippingAddress]]))</f>
        <v>942 Main St</v>
      </c>
      <c r="Q905" t="str">
        <f>PROPER(TRIM((Table1[[#This Row],[PaymentMethod]])))</f>
        <v>Online</v>
      </c>
      <c r="R905" t="str">
        <f>PROPER(TRIM(Table1[[#This Row],[ReferralSource]]))</f>
        <v>Referral</v>
      </c>
      <c r="S905" s="5">
        <f>Table1[[#This Row],[TotalPrice]]/Table1[[#This Row],[ItemsInCart]]</f>
        <v>627.34</v>
      </c>
    </row>
    <row r="906" spans="1:19" x14ac:dyDescent="0.3">
      <c r="A906" t="s">
        <v>975</v>
      </c>
      <c r="B906" s="1">
        <v>45607</v>
      </c>
      <c r="C906" t="s">
        <v>2168</v>
      </c>
      <c r="D906" t="s">
        <v>2404</v>
      </c>
      <c r="E906">
        <v>1</v>
      </c>
      <c r="F906">
        <v>601.36</v>
      </c>
      <c r="G906" t="s">
        <v>2685</v>
      </c>
      <c r="H906" t="s">
        <v>3066</v>
      </c>
      <c r="I906" t="s">
        <v>3070</v>
      </c>
      <c r="J906" t="s">
        <v>4036</v>
      </c>
      <c r="K906">
        <v>1</v>
      </c>
      <c r="L906" t="s">
        <v>4283</v>
      </c>
      <c r="M906" t="s">
        <v>4281</v>
      </c>
      <c r="N906" s="5">
        <v>601.36</v>
      </c>
      <c r="O906" t="str">
        <f>IF(ABS(Table1[[#This Row],[TotalPrice]]-Table1[[#This Row],[Quantity]]*Table1[[#This Row],[UnitPrice]]) &lt;0.01, "ok",)</f>
        <v>ok</v>
      </c>
      <c r="P906" t="str">
        <f>PROPER(TRIM(Table1[[#This Row],[ShippingAddress]]))</f>
        <v>532 Main St</v>
      </c>
      <c r="Q906" t="str">
        <f>PROPER(TRIM((Table1[[#This Row],[PaymentMethod]])))</f>
        <v>Online</v>
      </c>
      <c r="R906" t="str">
        <f>PROPER(TRIM(Table1[[#This Row],[ReferralSource]]))</f>
        <v>Facebook</v>
      </c>
      <c r="S906" s="5">
        <f>Table1[[#This Row],[TotalPrice]]/Table1[[#This Row],[ItemsInCart]]</f>
        <v>601.36</v>
      </c>
    </row>
    <row r="907" spans="1:19" x14ac:dyDescent="0.3">
      <c r="A907" t="s">
        <v>665</v>
      </c>
      <c r="B907" s="1">
        <v>45608</v>
      </c>
      <c r="C907" t="s">
        <v>1864</v>
      </c>
      <c r="D907" t="s">
        <v>2406</v>
      </c>
      <c r="E907">
        <v>3</v>
      </c>
      <c r="F907">
        <v>646.34</v>
      </c>
      <c r="G907" t="s">
        <v>2584</v>
      </c>
      <c r="H907" t="s">
        <v>3065</v>
      </c>
      <c r="I907" t="s">
        <v>3074</v>
      </c>
      <c r="J907" t="s">
        <v>3726</v>
      </c>
      <c r="K907">
        <v>5</v>
      </c>
      <c r="L907" t="s">
        <v>4283</v>
      </c>
      <c r="M907" t="s">
        <v>4282</v>
      </c>
      <c r="N907" s="5">
        <v>1939.02</v>
      </c>
      <c r="O907" t="str">
        <f>IF(ABS(Table1[[#This Row],[TotalPrice]]-Table1[[#This Row],[Quantity]]*Table1[[#This Row],[UnitPrice]]) &lt;0.01, "ok",)</f>
        <v>ok</v>
      </c>
      <c r="P907" t="str">
        <f>PROPER(TRIM(Table1[[#This Row],[ShippingAddress]]))</f>
        <v>429 Main St</v>
      </c>
      <c r="Q907" t="str">
        <f>PROPER(TRIM((Table1[[#This Row],[PaymentMethod]])))</f>
        <v>Debit Card</v>
      </c>
      <c r="R907" t="str">
        <f>PROPER(TRIM(Table1[[#This Row],[ReferralSource]]))</f>
        <v>Google</v>
      </c>
      <c r="S907" s="5">
        <f>Table1[[#This Row],[TotalPrice]]/Table1[[#This Row],[ItemsInCart]]</f>
        <v>387.80399999999997</v>
      </c>
    </row>
    <row r="908" spans="1:19" x14ac:dyDescent="0.3">
      <c r="A908" t="s">
        <v>80</v>
      </c>
      <c r="B908" s="1">
        <v>45611</v>
      </c>
      <c r="C908" t="s">
        <v>1280</v>
      </c>
      <c r="D908" t="s">
        <v>2406</v>
      </c>
      <c r="E908">
        <v>5</v>
      </c>
      <c r="F908">
        <v>127.18</v>
      </c>
      <c r="G908" t="s">
        <v>2472</v>
      </c>
      <c r="H908" t="s">
        <v>3069</v>
      </c>
      <c r="I908" t="s">
        <v>3071</v>
      </c>
      <c r="J908" t="s">
        <v>3141</v>
      </c>
      <c r="K908">
        <v>9</v>
      </c>
      <c r="L908" t="s">
        <v>4275</v>
      </c>
      <c r="M908" t="s">
        <v>4279</v>
      </c>
      <c r="N908" s="5">
        <v>635.90000000000009</v>
      </c>
      <c r="O908" t="str">
        <f>IF(ABS(Table1[[#This Row],[TotalPrice]]-Table1[[#This Row],[Quantity]]*Table1[[#This Row],[UnitPrice]]) &lt;0.01, "ok",)</f>
        <v>ok</v>
      </c>
      <c r="P908" t="str">
        <f>PROPER(TRIM(Table1[[#This Row],[ShippingAddress]]))</f>
        <v>715 Main St</v>
      </c>
      <c r="Q908" t="str">
        <f>PROPER(TRIM((Table1[[#This Row],[PaymentMethod]])))</f>
        <v>Cash</v>
      </c>
      <c r="R908" t="str">
        <f>PROPER(TRIM(Table1[[#This Row],[ReferralSource]]))</f>
        <v>Referral</v>
      </c>
      <c r="S908" s="5">
        <f>Table1[[#This Row],[TotalPrice]]/Table1[[#This Row],[ItemsInCart]]</f>
        <v>70.655555555555566</v>
      </c>
    </row>
    <row r="909" spans="1:19" x14ac:dyDescent="0.3">
      <c r="A909" t="s">
        <v>736</v>
      </c>
      <c r="B909" s="1">
        <v>45611</v>
      </c>
      <c r="C909" t="s">
        <v>1933</v>
      </c>
      <c r="D909" t="s">
        <v>2407</v>
      </c>
      <c r="E909">
        <v>1</v>
      </c>
      <c r="F909">
        <v>95.1</v>
      </c>
      <c r="G909" t="s">
        <v>2654</v>
      </c>
      <c r="H909" t="s">
        <v>3068</v>
      </c>
      <c r="I909" t="s">
        <v>3074</v>
      </c>
      <c r="J909" t="s">
        <v>3797</v>
      </c>
      <c r="K909">
        <v>1</v>
      </c>
      <c r="L909" t="s">
        <v>4277</v>
      </c>
      <c r="M909" t="s">
        <v>4278</v>
      </c>
      <c r="N909" s="5">
        <v>95.1</v>
      </c>
      <c r="O909" t="str">
        <f>IF(ABS(Table1[[#This Row],[TotalPrice]]-Table1[[#This Row],[Quantity]]*Table1[[#This Row],[UnitPrice]]) &lt;0.01, "ok",)</f>
        <v>ok</v>
      </c>
      <c r="P909" t="str">
        <f>PROPER(TRIM(Table1[[#This Row],[ShippingAddress]]))</f>
        <v>516 Main St</v>
      </c>
      <c r="Q909" t="str">
        <f>PROPER(TRIM((Table1[[#This Row],[PaymentMethod]])))</f>
        <v>Gift Card</v>
      </c>
      <c r="R909" t="str">
        <f>PROPER(TRIM(Table1[[#This Row],[ReferralSource]]))</f>
        <v>Instagram</v>
      </c>
      <c r="S909" s="5">
        <f>Table1[[#This Row],[TotalPrice]]/Table1[[#This Row],[ItemsInCart]]</f>
        <v>95.1</v>
      </c>
    </row>
    <row r="910" spans="1:19" x14ac:dyDescent="0.3">
      <c r="A910" t="s">
        <v>35</v>
      </c>
      <c r="B910" s="1">
        <v>45613</v>
      </c>
      <c r="C910" t="s">
        <v>1235</v>
      </c>
      <c r="D910" t="s">
        <v>2403</v>
      </c>
      <c r="E910">
        <v>4</v>
      </c>
      <c r="F910">
        <v>342.95</v>
      </c>
      <c r="G910" t="s">
        <v>2431</v>
      </c>
      <c r="H910" t="s">
        <v>3069</v>
      </c>
      <c r="I910" t="s">
        <v>3073</v>
      </c>
      <c r="J910" t="s">
        <v>3096</v>
      </c>
      <c r="K910">
        <v>6</v>
      </c>
      <c r="L910" t="s">
        <v>4283</v>
      </c>
      <c r="M910" t="s">
        <v>4282</v>
      </c>
      <c r="N910" s="5">
        <v>1371.8</v>
      </c>
      <c r="O910" t="str">
        <f>IF(ABS(Table1[[#This Row],[TotalPrice]]-Table1[[#This Row],[Quantity]]*Table1[[#This Row],[UnitPrice]]) &lt;0.01, "ok",)</f>
        <v>ok</v>
      </c>
      <c r="P910" t="str">
        <f>PROPER(TRIM(Table1[[#This Row],[ShippingAddress]]))</f>
        <v>569 Main St</v>
      </c>
      <c r="Q910" t="str">
        <f>PROPER(TRIM((Table1[[#This Row],[PaymentMethod]])))</f>
        <v>Cash</v>
      </c>
      <c r="R910" t="str">
        <f>PROPER(TRIM(Table1[[#This Row],[ReferralSource]]))</f>
        <v>Google</v>
      </c>
      <c r="S910" s="5">
        <f>Table1[[#This Row],[TotalPrice]]/Table1[[#This Row],[ItemsInCart]]</f>
        <v>228.63333333333333</v>
      </c>
    </row>
    <row r="911" spans="1:19" x14ac:dyDescent="0.3">
      <c r="A911" t="s">
        <v>292</v>
      </c>
      <c r="B911" s="1">
        <v>45614</v>
      </c>
      <c r="C911" t="s">
        <v>1492</v>
      </c>
      <c r="D911" t="s">
        <v>2408</v>
      </c>
      <c r="E911">
        <v>5</v>
      </c>
      <c r="F911">
        <v>362.46</v>
      </c>
      <c r="G911" t="s">
        <v>2648</v>
      </c>
      <c r="H911" t="s">
        <v>3069</v>
      </c>
      <c r="I911" t="s">
        <v>3073</v>
      </c>
      <c r="J911" t="s">
        <v>3353</v>
      </c>
      <c r="K911">
        <v>6</v>
      </c>
      <c r="L911" t="s">
        <v>4276</v>
      </c>
      <c r="M911" t="s">
        <v>4278</v>
      </c>
      <c r="N911" s="5">
        <v>1812.3</v>
      </c>
      <c r="O911" t="str">
        <f>IF(ABS(Table1[[#This Row],[TotalPrice]]-Table1[[#This Row],[Quantity]]*Table1[[#This Row],[UnitPrice]]) &lt;0.01, "ok",)</f>
        <v>ok</v>
      </c>
      <c r="P911" t="str">
        <f>PROPER(TRIM(Table1[[#This Row],[ShippingAddress]]))</f>
        <v>299 Main St</v>
      </c>
      <c r="Q911" t="str">
        <f>PROPER(TRIM((Table1[[#This Row],[PaymentMethod]])))</f>
        <v>Cash</v>
      </c>
      <c r="R911" t="str">
        <f>PROPER(TRIM(Table1[[#This Row],[ReferralSource]]))</f>
        <v>Instagram</v>
      </c>
      <c r="S911" s="5">
        <f>Table1[[#This Row],[TotalPrice]]/Table1[[#This Row],[ItemsInCart]]</f>
        <v>302.05</v>
      </c>
    </row>
    <row r="912" spans="1:19" x14ac:dyDescent="0.3">
      <c r="A912" t="s">
        <v>605</v>
      </c>
      <c r="B912" s="1">
        <v>45614</v>
      </c>
      <c r="C912" t="s">
        <v>1805</v>
      </c>
      <c r="D912" t="s">
        <v>2408</v>
      </c>
      <c r="E912">
        <v>1</v>
      </c>
      <c r="F912">
        <v>605.28</v>
      </c>
      <c r="G912" t="s">
        <v>2832</v>
      </c>
      <c r="H912" t="s">
        <v>3068</v>
      </c>
      <c r="I912" t="s">
        <v>3070</v>
      </c>
      <c r="J912" t="s">
        <v>3666</v>
      </c>
      <c r="K912">
        <v>3</v>
      </c>
      <c r="L912" t="s">
        <v>4276</v>
      </c>
      <c r="M912" t="s">
        <v>4279</v>
      </c>
      <c r="N912" s="5">
        <v>605.28</v>
      </c>
      <c r="O912" t="str">
        <f>IF(ABS(Table1[[#This Row],[TotalPrice]]-Table1[[#This Row],[Quantity]]*Table1[[#This Row],[UnitPrice]]) &lt;0.01, "ok",)</f>
        <v>ok</v>
      </c>
      <c r="P912" t="str">
        <f>PROPER(TRIM(Table1[[#This Row],[ShippingAddress]]))</f>
        <v>470 Main St</v>
      </c>
      <c r="Q912" t="str">
        <f>PROPER(TRIM((Table1[[#This Row],[PaymentMethod]])))</f>
        <v>Gift Card</v>
      </c>
      <c r="R912" t="str">
        <f>PROPER(TRIM(Table1[[#This Row],[ReferralSource]]))</f>
        <v>Referral</v>
      </c>
      <c r="S912" s="5">
        <f>Table1[[#This Row],[TotalPrice]]/Table1[[#This Row],[ItemsInCart]]</f>
        <v>201.76</v>
      </c>
    </row>
    <row r="913" spans="1:19" x14ac:dyDescent="0.3">
      <c r="A913" t="s">
        <v>861</v>
      </c>
      <c r="B913" s="1">
        <v>45614</v>
      </c>
      <c r="C913" t="s">
        <v>2057</v>
      </c>
      <c r="D913" t="s">
        <v>2407</v>
      </c>
      <c r="E913">
        <v>4</v>
      </c>
      <c r="F913">
        <v>434.23</v>
      </c>
      <c r="G913" t="s">
        <v>2657</v>
      </c>
      <c r="H913" t="s">
        <v>3066</v>
      </c>
      <c r="I913" t="s">
        <v>3070</v>
      </c>
      <c r="J913" t="s">
        <v>3922</v>
      </c>
      <c r="K913">
        <v>8</v>
      </c>
      <c r="L913" t="s">
        <v>4276</v>
      </c>
      <c r="M913" t="s">
        <v>4280</v>
      </c>
      <c r="N913" s="5">
        <v>1736.92</v>
      </c>
      <c r="O913" t="str">
        <f>IF(ABS(Table1[[#This Row],[TotalPrice]]-Table1[[#This Row],[Quantity]]*Table1[[#This Row],[UnitPrice]]) &lt;0.01, "ok",)</f>
        <v>ok</v>
      </c>
      <c r="P913" t="str">
        <f>PROPER(TRIM(Table1[[#This Row],[ShippingAddress]]))</f>
        <v>670 Main St</v>
      </c>
      <c r="Q913" t="str">
        <f>PROPER(TRIM((Table1[[#This Row],[PaymentMethod]])))</f>
        <v>Online</v>
      </c>
      <c r="R913" t="str">
        <f>PROPER(TRIM(Table1[[#This Row],[ReferralSource]]))</f>
        <v>Email</v>
      </c>
      <c r="S913" s="5">
        <f>Table1[[#This Row],[TotalPrice]]/Table1[[#This Row],[ItemsInCart]]</f>
        <v>217.11500000000001</v>
      </c>
    </row>
    <row r="914" spans="1:19" x14ac:dyDescent="0.3">
      <c r="A914" t="s">
        <v>809</v>
      </c>
      <c r="B914" s="1">
        <v>45616</v>
      </c>
      <c r="C914" t="s">
        <v>2006</v>
      </c>
      <c r="D914" t="s">
        <v>2408</v>
      </c>
      <c r="E914">
        <v>4</v>
      </c>
      <c r="F914">
        <v>115.77</v>
      </c>
      <c r="G914" t="s">
        <v>2928</v>
      </c>
      <c r="H914" t="s">
        <v>3066</v>
      </c>
      <c r="I914" t="s">
        <v>3074</v>
      </c>
      <c r="J914" t="s">
        <v>3870</v>
      </c>
      <c r="K914">
        <v>7</v>
      </c>
      <c r="L914" t="s">
        <v>4275</v>
      </c>
      <c r="M914" t="s">
        <v>4278</v>
      </c>
      <c r="N914" s="5">
        <v>463.08</v>
      </c>
      <c r="O914" t="str">
        <f>IF(ABS(Table1[[#This Row],[TotalPrice]]-Table1[[#This Row],[Quantity]]*Table1[[#This Row],[UnitPrice]]) &lt;0.01, "ok",)</f>
        <v>ok</v>
      </c>
      <c r="P914" t="str">
        <f>PROPER(TRIM(Table1[[#This Row],[ShippingAddress]]))</f>
        <v>586 Main St</v>
      </c>
      <c r="Q914" t="str">
        <f>PROPER(TRIM((Table1[[#This Row],[PaymentMethod]])))</f>
        <v>Online</v>
      </c>
      <c r="R914" t="str">
        <f>PROPER(TRIM(Table1[[#This Row],[ReferralSource]]))</f>
        <v>Instagram</v>
      </c>
      <c r="S914" s="5">
        <f>Table1[[#This Row],[TotalPrice]]/Table1[[#This Row],[ItemsInCart]]</f>
        <v>66.154285714285706</v>
      </c>
    </row>
    <row r="915" spans="1:19" x14ac:dyDescent="0.3">
      <c r="A915" t="s">
        <v>585</v>
      </c>
      <c r="B915" s="1">
        <v>45619</v>
      </c>
      <c r="C915" t="s">
        <v>1785</v>
      </c>
      <c r="D915" t="s">
        <v>2405</v>
      </c>
      <c r="E915">
        <v>1</v>
      </c>
      <c r="F915">
        <v>214.08</v>
      </c>
      <c r="G915" t="s">
        <v>2779</v>
      </c>
      <c r="H915" t="s">
        <v>3068</v>
      </c>
      <c r="I915" t="s">
        <v>3072</v>
      </c>
      <c r="J915" t="s">
        <v>3646</v>
      </c>
      <c r="K915">
        <v>2</v>
      </c>
      <c r="L915" t="s">
        <v>4277</v>
      </c>
      <c r="M915" t="s">
        <v>4282</v>
      </c>
      <c r="N915" s="5">
        <v>214.08</v>
      </c>
      <c r="O915" t="str">
        <f>IF(ABS(Table1[[#This Row],[TotalPrice]]-Table1[[#This Row],[Quantity]]*Table1[[#This Row],[UnitPrice]]) &lt;0.01, "ok",)</f>
        <v>ok</v>
      </c>
      <c r="P915" t="str">
        <f>PROPER(TRIM(Table1[[#This Row],[ShippingAddress]]))</f>
        <v>867 Main St</v>
      </c>
      <c r="Q915" t="str">
        <f>PROPER(TRIM((Table1[[#This Row],[PaymentMethod]])))</f>
        <v>Gift Card</v>
      </c>
      <c r="R915" t="str">
        <f>PROPER(TRIM(Table1[[#This Row],[ReferralSource]]))</f>
        <v>Google</v>
      </c>
      <c r="S915" s="5">
        <f>Table1[[#This Row],[TotalPrice]]/Table1[[#This Row],[ItemsInCart]]</f>
        <v>107.04</v>
      </c>
    </row>
    <row r="916" spans="1:19" x14ac:dyDescent="0.3">
      <c r="A916" t="s">
        <v>709</v>
      </c>
      <c r="B916" s="1">
        <v>45619</v>
      </c>
      <c r="C916" t="s">
        <v>1907</v>
      </c>
      <c r="D916" t="s">
        <v>2407</v>
      </c>
      <c r="E916">
        <v>5</v>
      </c>
      <c r="F916">
        <v>101.3</v>
      </c>
      <c r="G916" t="s">
        <v>2568</v>
      </c>
      <c r="H916" t="s">
        <v>3066</v>
      </c>
      <c r="I916" t="s">
        <v>3070</v>
      </c>
      <c r="J916" t="s">
        <v>3770</v>
      </c>
      <c r="K916">
        <v>7</v>
      </c>
      <c r="L916" t="s">
        <v>4276</v>
      </c>
      <c r="M916" t="s">
        <v>4280</v>
      </c>
      <c r="N916" s="5">
        <v>506.5</v>
      </c>
      <c r="O916" t="str">
        <f>IF(ABS(Table1[[#This Row],[TotalPrice]]-Table1[[#This Row],[Quantity]]*Table1[[#This Row],[UnitPrice]]) &lt;0.01, "ok",)</f>
        <v>ok</v>
      </c>
      <c r="P916" t="str">
        <f>PROPER(TRIM(Table1[[#This Row],[ShippingAddress]]))</f>
        <v>553 Main St</v>
      </c>
      <c r="Q916" t="str">
        <f>PROPER(TRIM((Table1[[#This Row],[PaymentMethod]])))</f>
        <v>Online</v>
      </c>
      <c r="R916" t="str">
        <f>PROPER(TRIM(Table1[[#This Row],[ReferralSource]]))</f>
        <v>Email</v>
      </c>
      <c r="S916" s="5">
        <f>Table1[[#This Row],[TotalPrice]]/Table1[[#This Row],[ItemsInCart]]</f>
        <v>72.357142857142861</v>
      </c>
    </row>
    <row r="917" spans="1:19" x14ac:dyDescent="0.3">
      <c r="A917" t="s">
        <v>193</v>
      </c>
      <c r="B917" s="1">
        <v>45620</v>
      </c>
      <c r="C917" t="s">
        <v>1393</v>
      </c>
      <c r="D917" t="s">
        <v>2408</v>
      </c>
      <c r="E917">
        <v>3</v>
      </c>
      <c r="F917">
        <v>539.91</v>
      </c>
      <c r="G917" t="s">
        <v>2571</v>
      </c>
      <c r="H917" t="s">
        <v>3067</v>
      </c>
      <c r="I917" t="s">
        <v>3073</v>
      </c>
      <c r="J917" t="s">
        <v>3254</v>
      </c>
      <c r="K917">
        <v>8</v>
      </c>
      <c r="L917" t="s">
        <v>4283</v>
      </c>
      <c r="M917" t="s">
        <v>4280</v>
      </c>
      <c r="N917" s="5">
        <v>1619.73</v>
      </c>
      <c r="O917" t="str">
        <f>IF(ABS(Table1[[#This Row],[TotalPrice]]-Table1[[#This Row],[Quantity]]*Table1[[#This Row],[UnitPrice]]) &lt;0.01, "ok",)</f>
        <v>ok</v>
      </c>
      <c r="P917" t="str">
        <f>PROPER(TRIM(Table1[[#This Row],[ShippingAddress]]))</f>
        <v>500 Main St</v>
      </c>
      <c r="Q917" t="str">
        <f>PROPER(TRIM((Table1[[#This Row],[PaymentMethod]])))</f>
        <v>Credit Card</v>
      </c>
      <c r="R917" t="str">
        <f>PROPER(TRIM(Table1[[#This Row],[ReferralSource]]))</f>
        <v>Email</v>
      </c>
      <c r="S917" s="5">
        <f>Table1[[#This Row],[TotalPrice]]/Table1[[#This Row],[ItemsInCart]]</f>
        <v>202.46625</v>
      </c>
    </row>
    <row r="918" spans="1:19" x14ac:dyDescent="0.3">
      <c r="A918" t="s">
        <v>398</v>
      </c>
      <c r="B918" s="1">
        <v>45620</v>
      </c>
      <c r="C918" t="s">
        <v>1598</v>
      </c>
      <c r="D918" t="s">
        <v>2406</v>
      </c>
      <c r="E918">
        <v>3</v>
      </c>
      <c r="F918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>
        <v>4</v>
      </c>
      <c r="L918" t="s">
        <v>4276</v>
      </c>
      <c r="M918" t="s">
        <v>4281</v>
      </c>
      <c r="N918" s="5">
        <v>1660.71</v>
      </c>
      <c r="O918" t="str">
        <f>IF(ABS(Table1[[#This Row],[TotalPrice]]-Table1[[#This Row],[Quantity]]*Table1[[#This Row],[UnitPrice]]) &lt;0.01, "ok",)</f>
        <v>ok</v>
      </c>
      <c r="P918" t="str">
        <f>PROPER(TRIM(Table1[[#This Row],[ShippingAddress]]))</f>
        <v>147 Main St</v>
      </c>
      <c r="Q918" t="str">
        <f>PROPER(TRIM((Table1[[#This Row],[PaymentMethod]])))</f>
        <v>Credit Card</v>
      </c>
      <c r="R918" t="str">
        <f>PROPER(TRIM(Table1[[#This Row],[ReferralSource]]))</f>
        <v>Facebook</v>
      </c>
      <c r="S918" s="5">
        <f>Table1[[#This Row],[TotalPrice]]/Table1[[#This Row],[ItemsInCart]]</f>
        <v>415.17750000000001</v>
      </c>
    </row>
    <row r="919" spans="1:19" x14ac:dyDescent="0.3">
      <c r="A919" t="s">
        <v>692</v>
      </c>
      <c r="B919" s="1">
        <v>45620</v>
      </c>
      <c r="C919" t="s">
        <v>1890</v>
      </c>
      <c r="D919" t="s">
        <v>2406</v>
      </c>
      <c r="E919">
        <v>3</v>
      </c>
      <c r="F919">
        <v>163.13</v>
      </c>
      <c r="G919" t="s">
        <v>2600</v>
      </c>
      <c r="H919" t="s">
        <v>3068</v>
      </c>
      <c r="I919" t="s">
        <v>3070</v>
      </c>
      <c r="J919" t="s">
        <v>3753</v>
      </c>
      <c r="K919">
        <v>5</v>
      </c>
      <c r="L919" t="s">
        <v>4277</v>
      </c>
      <c r="M919" t="s">
        <v>4281</v>
      </c>
      <c r="N919" s="5">
        <v>489.39</v>
      </c>
      <c r="O919" t="str">
        <f>IF(ABS(Table1[[#This Row],[TotalPrice]]-Table1[[#This Row],[Quantity]]*Table1[[#This Row],[UnitPrice]]) &lt;0.01, "ok",)</f>
        <v>ok</v>
      </c>
      <c r="P919" t="str">
        <f>PROPER(TRIM(Table1[[#This Row],[ShippingAddress]]))</f>
        <v>457 Main St</v>
      </c>
      <c r="Q919" t="str">
        <f>PROPER(TRIM((Table1[[#This Row],[PaymentMethod]])))</f>
        <v>Gift Card</v>
      </c>
      <c r="R919" t="str">
        <f>PROPER(TRIM(Table1[[#This Row],[ReferralSource]]))</f>
        <v>Facebook</v>
      </c>
      <c r="S919" s="5">
        <f>Table1[[#This Row],[TotalPrice]]/Table1[[#This Row],[ItemsInCart]]</f>
        <v>97.878</v>
      </c>
    </row>
    <row r="920" spans="1:19" x14ac:dyDescent="0.3">
      <c r="A920" t="s">
        <v>705</v>
      </c>
      <c r="B920" s="1">
        <v>45620</v>
      </c>
      <c r="C920" t="s">
        <v>1903</v>
      </c>
      <c r="D920" t="s">
        <v>2408</v>
      </c>
      <c r="E920">
        <v>3</v>
      </c>
      <c r="F920">
        <v>239.08</v>
      </c>
      <c r="G920" t="s">
        <v>2877</v>
      </c>
      <c r="H920" t="s">
        <v>3069</v>
      </c>
      <c r="I920" t="s">
        <v>3070</v>
      </c>
      <c r="J920" t="s">
        <v>3766</v>
      </c>
      <c r="K920">
        <v>8</v>
      </c>
      <c r="L920" t="s">
        <v>4283</v>
      </c>
      <c r="M920" t="s">
        <v>4282</v>
      </c>
      <c r="N920" s="5">
        <v>717.24</v>
      </c>
      <c r="O920" t="str">
        <f>IF(ABS(Table1[[#This Row],[TotalPrice]]-Table1[[#This Row],[Quantity]]*Table1[[#This Row],[UnitPrice]]) &lt;0.01, "ok",)</f>
        <v>ok</v>
      </c>
      <c r="P920" t="str">
        <f>PROPER(TRIM(Table1[[#This Row],[ShippingAddress]]))</f>
        <v>396 Main St</v>
      </c>
      <c r="Q920" t="str">
        <f>PROPER(TRIM((Table1[[#This Row],[PaymentMethod]])))</f>
        <v>Cash</v>
      </c>
      <c r="R920" t="str">
        <f>PROPER(TRIM(Table1[[#This Row],[ReferralSource]]))</f>
        <v>Google</v>
      </c>
      <c r="S920" s="5">
        <f>Table1[[#This Row],[TotalPrice]]/Table1[[#This Row],[ItemsInCart]]</f>
        <v>89.655000000000001</v>
      </c>
    </row>
    <row r="921" spans="1:19" x14ac:dyDescent="0.3">
      <c r="A921" t="s">
        <v>997</v>
      </c>
      <c r="B921" s="1">
        <v>45620</v>
      </c>
      <c r="C921" t="s">
        <v>2190</v>
      </c>
      <c r="D921" t="s">
        <v>2403</v>
      </c>
      <c r="E921">
        <v>4</v>
      </c>
      <c r="F921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>
        <v>5</v>
      </c>
      <c r="L921" t="s">
        <v>4275</v>
      </c>
      <c r="M921" t="s">
        <v>4280</v>
      </c>
      <c r="N921" s="5">
        <v>1185.1199999999999</v>
      </c>
      <c r="O921" t="str">
        <f>IF(ABS(Table1[[#This Row],[TotalPrice]]-Table1[[#This Row],[Quantity]]*Table1[[#This Row],[UnitPrice]]) &lt;0.01, "ok",)</f>
        <v>ok</v>
      </c>
      <c r="P921" t="str">
        <f>PROPER(TRIM(Table1[[#This Row],[ShippingAddress]]))</f>
        <v>110 Main St</v>
      </c>
      <c r="Q921" t="str">
        <f>PROPER(TRIM((Table1[[#This Row],[PaymentMethod]])))</f>
        <v>Gift Card</v>
      </c>
      <c r="R921" t="str">
        <f>PROPER(TRIM(Table1[[#This Row],[ReferralSource]]))</f>
        <v>Email</v>
      </c>
      <c r="S921" s="5">
        <f>Table1[[#This Row],[TotalPrice]]/Table1[[#This Row],[ItemsInCart]]</f>
        <v>237.02399999999997</v>
      </c>
    </row>
    <row r="922" spans="1:19" x14ac:dyDescent="0.3">
      <c r="A922" t="s">
        <v>1133</v>
      </c>
      <c r="B922" s="1">
        <v>45620</v>
      </c>
      <c r="C922" t="s">
        <v>2324</v>
      </c>
      <c r="D922" t="s">
        <v>2408</v>
      </c>
      <c r="E922">
        <v>1</v>
      </c>
      <c r="F922">
        <v>684.65</v>
      </c>
      <c r="G922" t="s">
        <v>2634</v>
      </c>
      <c r="H922" t="s">
        <v>3067</v>
      </c>
      <c r="I922" t="s">
        <v>3073</v>
      </c>
      <c r="J922" t="s">
        <v>4194</v>
      </c>
      <c r="K922">
        <v>1</v>
      </c>
      <c r="L922" t="s">
        <v>4276</v>
      </c>
      <c r="M922" t="s">
        <v>4280</v>
      </c>
      <c r="N922" s="5">
        <v>684.65</v>
      </c>
      <c r="O922" t="str">
        <f>IF(ABS(Table1[[#This Row],[TotalPrice]]-Table1[[#This Row],[Quantity]]*Table1[[#This Row],[UnitPrice]]) &lt;0.01, "ok",)</f>
        <v>ok</v>
      </c>
      <c r="P922" t="str">
        <f>PROPER(TRIM(Table1[[#This Row],[ShippingAddress]]))</f>
        <v>250 Main St</v>
      </c>
      <c r="Q922" t="str">
        <f>PROPER(TRIM((Table1[[#This Row],[PaymentMethod]])))</f>
        <v>Credit Card</v>
      </c>
      <c r="R922" t="str">
        <f>PROPER(TRIM(Table1[[#This Row],[ReferralSource]]))</f>
        <v>Email</v>
      </c>
      <c r="S922" s="5">
        <f>Table1[[#This Row],[TotalPrice]]/Table1[[#This Row],[ItemsInCart]]</f>
        <v>684.65</v>
      </c>
    </row>
    <row r="923" spans="1:19" x14ac:dyDescent="0.3">
      <c r="A923" t="s">
        <v>611</v>
      </c>
      <c r="B923" s="1">
        <v>45621</v>
      </c>
      <c r="C923" t="s">
        <v>1811</v>
      </c>
      <c r="D923" t="s">
        <v>2409</v>
      </c>
      <c r="E923">
        <v>2</v>
      </c>
      <c r="F923">
        <v>211.82</v>
      </c>
      <c r="G923" t="s">
        <v>2835</v>
      </c>
      <c r="H923" t="s">
        <v>3068</v>
      </c>
      <c r="I923" t="s">
        <v>3071</v>
      </c>
      <c r="J923" t="s">
        <v>3672</v>
      </c>
      <c r="K923">
        <v>4</v>
      </c>
      <c r="L923" t="s">
        <v>4277</v>
      </c>
      <c r="M923" t="s">
        <v>4280</v>
      </c>
      <c r="N923" s="5">
        <v>423.64</v>
      </c>
      <c r="O923" t="str">
        <f>IF(ABS(Table1[[#This Row],[TotalPrice]]-Table1[[#This Row],[Quantity]]*Table1[[#This Row],[UnitPrice]]) &lt;0.01, "ok",)</f>
        <v>ok</v>
      </c>
      <c r="P923" t="str">
        <f>PROPER(TRIM(Table1[[#This Row],[ShippingAddress]]))</f>
        <v>700 Main St</v>
      </c>
      <c r="Q923" t="str">
        <f>PROPER(TRIM((Table1[[#This Row],[PaymentMethod]])))</f>
        <v>Gift Card</v>
      </c>
      <c r="R923" t="str">
        <f>PROPER(TRIM(Table1[[#This Row],[ReferralSource]]))</f>
        <v>Email</v>
      </c>
      <c r="S923" s="5">
        <f>Table1[[#This Row],[TotalPrice]]/Table1[[#This Row],[ItemsInCart]]</f>
        <v>105.91</v>
      </c>
    </row>
    <row r="924" spans="1:19" x14ac:dyDescent="0.3">
      <c r="A924" t="s">
        <v>151</v>
      </c>
      <c r="B924" s="1">
        <v>45622</v>
      </c>
      <c r="C924" t="s">
        <v>1351</v>
      </c>
      <c r="D924" t="s">
        <v>2403</v>
      </c>
      <c r="E924">
        <v>2</v>
      </c>
      <c r="F924">
        <v>250.98</v>
      </c>
      <c r="G924" t="s">
        <v>2538</v>
      </c>
      <c r="H924" t="s">
        <v>3067</v>
      </c>
      <c r="I924" t="s">
        <v>3073</v>
      </c>
      <c r="J924" t="s">
        <v>3212</v>
      </c>
      <c r="K924">
        <v>5</v>
      </c>
      <c r="L924" t="s">
        <v>4283</v>
      </c>
      <c r="M924" t="s">
        <v>4282</v>
      </c>
      <c r="N924" s="5">
        <v>501.96</v>
      </c>
      <c r="O924" t="str">
        <f>IF(ABS(Table1[[#This Row],[TotalPrice]]-Table1[[#This Row],[Quantity]]*Table1[[#This Row],[UnitPrice]]) &lt;0.01, "ok",)</f>
        <v>ok</v>
      </c>
      <c r="P924" t="str">
        <f>PROPER(TRIM(Table1[[#This Row],[ShippingAddress]]))</f>
        <v>598 Main St</v>
      </c>
      <c r="Q924" t="str">
        <f>PROPER(TRIM((Table1[[#This Row],[PaymentMethod]])))</f>
        <v>Credit Card</v>
      </c>
      <c r="R924" t="str">
        <f>PROPER(TRIM(Table1[[#This Row],[ReferralSource]]))</f>
        <v>Google</v>
      </c>
      <c r="S924" s="5">
        <f>Table1[[#This Row],[TotalPrice]]/Table1[[#This Row],[ItemsInCart]]</f>
        <v>100.392</v>
      </c>
    </row>
    <row r="925" spans="1:19" x14ac:dyDescent="0.3">
      <c r="A925" t="s">
        <v>248</v>
      </c>
      <c r="B925" s="1">
        <v>45622</v>
      </c>
      <c r="C925" t="s">
        <v>1448</v>
      </c>
      <c r="D925" t="s">
        <v>2407</v>
      </c>
      <c r="E925">
        <v>4</v>
      </c>
      <c r="F925">
        <v>236.41</v>
      </c>
      <c r="G925" t="s">
        <v>2611</v>
      </c>
      <c r="H925" t="s">
        <v>3065</v>
      </c>
      <c r="I925" t="s">
        <v>3074</v>
      </c>
      <c r="J925" t="s">
        <v>3309</v>
      </c>
      <c r="K925">
        <v>7</v>
      </c>
      <c r="L925" t="s">
        <v>4275</v>
      </c>
      <c r="M925" t="s">
        <v>4282</v>
      </c>
      <c r="N925" s="5">
        <v>945.64</v>
      </c>
      <c r="O925" t="str">
        <f>IF(ABS(Table1[[#This Row],[TotalPrice]]-Table1[[#This Row],[Quantity]]*Table1[[#This Row],[UnitPrice]]) &lt;0.01, "ok",)</f>
        <v>ok</v>
      </c>
      <c r="P925" t="str">
        <f>PROPER(TRIM(Table1[[#This Row],[ShippingAddress]]))</f>
        <v>337 Main St</v>
      </c>
      <c r="Q925" t="str">
        <f>PROPER(TRIM((Table1[[#This Row],[PaymentMethod]])))</f>
        <v>Debit Card</v>
      </c>
      <c r="R925" t="str">
        <f>PROPER(TRIM(Table1[[#This Row],[ReferralSource]]))</f>
        <v>Google</v>
      </c>
      <c r="S925" s="5">
        <f>Table1[[#This Row],[TotalPrice]]/Table1[[#This Row],[ItemsInCart]]</f>
        <v>135.09142857142857</v>
      </c>
    </row>
    <row r="926" spans="1:19" x14ac:dyDescent="0.3">
      <c r="A926" t="s">
        <v>442</v>
      </c>
      <c r="B926" s="1">
        <v>45622</v>
      </c>
      <c r="C926" t="s">
        <v>1642</v>
      </c>
      <c r="D926" t="s">
        <v>2406</v>
      </c>
      <c r="E926">
        <v>4</v>
      </c>
      <c r="F926">
        <v>262.58</v>
      </c>
      <c r="G926" t="s">
        <v>2440</v>
      </c>
      <c r="H926" t="s">
        <v>3066</v>
      </c>
      <c r="I926" t="s">
        <v>3071</v>
      </c>
      <c r="J926" t="s">
        <v>3503</v>
      </c>
      <c r="K926">
        <v>8</v>
      </c>
      <c r="L926" t="s">
        <v>4277</v>
      </c>
      <c r="M926" t="s">
        <v>4280</v>
      </c>
      <c r="N926" s="5">
        <v>1050.32</v>
      </c>
      <c r="O926" t="str">
        <f>IF(ABS(Table1[[#This Row],[TotalPrice]]-Table1[[#This Row],[Quantity]]*Table1[[#This Row],[UnitPrice]]) &lt;0.01, "ok",)</f>
        <v>ok</v>
      </c>
      <c r="P926" t="str">
        <f>PROPER(TRIM(Table1[[#This Row],[ShippingAddress]]))</f>
        <v>895 Main St</v>
      </c>
      <c r="Q926" t="str">
        <f>PROPER(TRIM((Table1[[#This Row],[PaymentMethod]])))</f>
        <v>Online</v>
      </c>
      <c r="R926" t="str">
        <f>PROPER(TRIM(Table1[[#This Row],[ReferralSource]]))</f>
        <v>Email</v>
      </c>
      <c r="S926" s="5">
        <f>Table1[[#This Row],[TotalPrice]]/Table1[[#This Row],[ItemsInCart]]</f>
        <v>131.29</v>
      </c>
    </row>
    <row r="927" spans="1:19" x14ac:dyDescent="0.3">
      <c r="A927" t="s">
        <v>468</v>
      </c>
      <c r="B927" s="1">
        <v>45623</v>
      </c>
      <c r="C927" t="s">
        <v>1668</v>
      </c>
      <c r="D927" t="s">
        <v>2408</v>
      </c>
      <c r="E927">
        <v>1</v>
      </c>
      <c r="F927">
        <v>109.29</v>
      </c>
      <c r="G927" t="s">
        <v>2765</v>
      </c>
      <c r="H927" t="s">
        <v>3065</v>
      </c>
      <c r="I927" t="s">
        <v>3071</v>
      </c>
      <c r="J927" t="s">
        <v>3529</v>
      </c>
      <c r="K927">
        <v>5</v>
      </c>
      <c r="L927" t="s">
        <v>4276</v>
      </c>
      <c r="M927" t="s">
        <v>4282</v>
      </c>
      <c r="N927" s="5">
        <v>109.29</v>
      </c>
      <c r="O927" t="str">
        <f>IF(ABS(Table1[[#This Row],[TotalPrice]]-Table1[[#This Row],[Quantity]]*Table1[[#This Row],[UnitPrice]]) &lt;0.01, "ok",)</f>
        <v>ok</v>
      </c>
      <c r="P927" t="str">
        <f>PROPER(TRIM(Table1[[#This Row],[ShippingAddress]]))</f>
        <v>686 Main St</v>
      </c>
      <c r="Q927" t="str">
        <f>PROPER(TRIM((Table1[[#This Row],[PaymentMethod]])))</f>
        <v>Debit Card</v>
      </c>
      <c r="R927" t="str">
        <f>PROPER(TRIM(Table1[[#This Row],[ReferralSource]]))</f>
        <v>Google</v>
      </c>
      <c r="S927" s="5">
        <f>Table1[[#This Row],[TotalPrice]]/Table1[[#This Row],[ItemsInCart]]</f>
        <v>21.858000000000001</v>
      </c>
    </row>
    <row r="928" spans="1:19" x14ac:dyDescent="0.3">
      <c r="A928" t="s">
        <v>434</v>
      </c>
      <c r="B928" s="1">
        <v>45625</v>
      </c>
      <c r="C928" t="s">
        <v>1634</v>
      </c>
      <c r="D928" t="s">
        <v>2404</v>
      </c>
      <c r="E928">
        <v>1</v>
      </c>
      <c r="F928">
        <v>452.7</v>
      </c>
      <c r="G928" t="s">
        <v>2744</v>
      </c>
      <c r="H928" t="s">
        <v>3065</v>
      </c>
      <c r="I928" t="s">
        <v>3070</v>
      </c>
      <c r="J928" t="s">
        <v>3495</v>
      </c>
      <c r="K928">
        <v>5</v>
      </c>
      <c r="L928" t="s">
        <v>4276</v>
      </c>
      <c r="M928" t="s">
        <v>4278</v>
      </c>
      <c r="N928" s="5">
        <v>452.7</v>
      </c>
      <c r="O928" t="str">
        <f>IF(ABS(Table1[[#This Row],[TotalPrice]]-Table1[[#This Row],[Quantity]]*Table1[[#This Row],[UnitPrice]]) &lt;0.01, "ok",)</f>
        <v>ok</v>
      </c>
      <c r="P928" t="str">
        <f>PROPER(TRIM(Table1[[#This Row],[ShippingAddress]]))</f>
        <v>439 Main St</v>
      </c>
      <c r="Q928" t="str">
        <f>PROPER(TRIM((Table1[[#This Row],[PaymentMethod]])))</f>
        <v>Debit Card</v>
      </c>
      <c r="R928" t="str">
        <f>PROPER(TRIM(Table1[[#This Row],[ReferralSource]]))</f>
        <v>Instagram</v>
      </c>
      <c r="S928" s="5">
        <f>Table1[[#This Row],[TotalPrice]]/Table1[[#This Row],[ItemsInCart]]</f>
        <v>90.539999999999992</v>
      </c>
    </row>
    <row r="929" spans="1:19" x14ac:dyDescent="0.3">
      <c r="A929" t="s">
        <v>756</v>
      </c>
      <c r="B929" s="1">
        <v>45626</v>
      </c>
      <c r="C929" t="s">
        <v>1953</v>
      </c>
      <c r="D929" t="s">
        <v>2408</v>
      </c>
      <c r="E929">
        <v>3</v>
      </c>
      <c r="F929">
        <v>699.93</v>
      </c>
      <c r="G929" t="s">
        <v>2664</v>
      </c>
      <c r="H929" t="s">
        <v>3069</v>
      </c>
      <c r="I929" t="s">
        <v>3072</v>
      </c>
      <c r="J929" t="s">
        <v>3817</v>
      </c>
      <c r="K929">
        <v>7</v>
      </c>
      <c r="L929" t="s">
        <v>4275</v>
      </c>
      <c r="M929" t="s">
        <v>4282</v>
      </c>
      <c r="N929" s="5">
        <v>2099.79</v>
      </c>
      <c r="O929" t="str">
        <f>IF(ABS(Table1[[#This Row],[TotalPrice]]-Table1[[#This Row],[Quantity]]*Table1[[#This Row],[UnitPrice]]) &lt;0.01, "ok",)</f>
        <v>ok</v>
      </c>
      <c r="P929" t="str">
        <f>PROPER(TRIM(Table1[[#This Row],[ShippingAddress]]))</f>
        <v>726 Main St</v>
      </c>
      <c r="Q929" t="str">
        <f>PROPER(TRIM((Table1[[#This Row],[PaymentMethod]])))</f>
        <v>Cash</v>
      </c>
      <c r="R929" t="str">
        <f>PROPER(TRIM(Table1[[#This Row],[ReferralSource]]))</f>
        <v>Google</v>
      </c>
      <c r="S929" s="5">
        <f>Table1[[#This Row],[TotalPrice]]/Table1[[#This Row],[ItemsInCart]]</f>
        <v>299.96999999999997</v>
      </c>
    </row>
    <row r="930" spans="1:19" x14ac:dyDescent="0.3">
      <c r="A930" t="s">
        <v>1146</v>
      </c>
      <c r="B930" s="1">
        <v>45628</v>
      </c>
      <c r="C930" t="s">
        <v>2336</v>
      </c>
      <c r="D930" t="s">
        <v>2406</v>
      </c>
      <c r="E930">
        <v>2</v>
      </c>
      <c r="F930">
        <v>337.32</v>
      </c>
      <c r="G930" t="s">
        <v>2608</v>
      </c>
      <c r="H930" t="s">
        <v>3067</v>
      </c>
      <c r="I930" t="s">
        <v>3071</v>
      </c>
      <c r="J930" t="s">
        <v>4207</v>
      </c>
      <c r="K930">
        <v>4</v>
      </c>
      <c r="L930" t="s">
        <v>4275</v>
      </c>
      <c r="M930" t="s">
        <v>4280</v>
      </c>
      <c r="N930" s="5">
        <v>674.64</v>
      </c>
      <c r="O930" t="str">
        <f>IF(ABS(Table1[[#This Row],[TotalPrice]]-Table1[[#This Row],[Quantity]]*Table1[[#This Row],[UnitPrice]]) &lt;0.01, "ok",)</f>
        <v>ok</v>
      </c>
      <c r="P930" t="str">
        <f>PROPER(TRIM(Table1[[#This Row],[ShippingAddress]]))</f>
        <v>948 Main St</v>
      </c>
      <c r="Q930" t="str">
        <f>PROPER(TRIM((Table1[[#This Row],[PaymentMethod]])))</f>
        <v>Credit Card</v>
      </c>
      <c r="R930" t="str">
        <f>PROPER(TRIM(Table1[[#This Row],[ReferralSource]]))</f>
        <v>Email</v>
      </c>
      <c r="S930" s="5">
        <f>Table1[[#This Row],[TotalPrice]]/Table1[[#This Row],[ItemsInCart]]</f>
        <v>168.66</v>
      </c>
    </row>
    <row r="931" spans="1:19" x14ac:dyDescent="0.3">
      <c r="A931" t="s">
        <v>1025</v>
      </c>
      <c r="B931" s="1">
        <v>45629</v>
      </c>
      <c r="C931" t="s">
        <v>2217</v>
      </c>
      <c r="D931" t="s">
        <v>2404</v>
      </c>
      <c r="E931">
        <v>2</v>
      </c>
      <c r="F931">
        <v>478.36</v>
      </c>
      <c r="G931" t="s">
        <v>2646</v>
      </c>
      <c r="H931" t="s">
        <v>3066</v>
      </c>
      <c r="I931" t="s">
        <v>3070</v>
      </c>
      <c r="J931" t="s">
        <v>4086</v>
      </c>
      <c r="K931">
        <v>3</v>
      </c>
      <c r="L931" t="s">
        <v>4283</v>
      </c>
      <c r="M931" t="s">
        <v>4282</v>
      </c>
      <c r="N931" s="5">
        <v>956.72</v>
      </c>
      <c r="O931" t="str">
        <f>IF(ABS(Table1[[#This Row],[TotalPrice]]-Table1[[#This Row],[Quantity]]*Table1[[#This Row],[UnitPrice]]) &lt;0.01, "ok",)</f>
        <v>ok</v>
      </c>
      <c r="P931" t="str">
        <f>PROPER(TRIM(Table1[[#This Row],[ShippingAddress]]))</f>
        <v>654 Main St</v>
      </c>
      <c r="Q931" t="str">
        <f>PROPER(TRIM((Table1[[#This Row],[PaymentMethod]])))</f>
        <v>Online</v>
      </c>
      <c r="R931" t="str">
        <f>PROPER(TRIM(Table1[[#This Row],[ReferralSource]]))</f>
        <v>Google</v>
      </c>
      <c r="S931" s="5">
        <f>Table1[[#This Row],[TotalPrice]]/Table1[[#This Row],[ItemsInCart]]</f>
        <v>318.90666666666669</v>
      </c>
    </row>
    <row r="932" spans="1:19" x14ac:dyDescent="0.3">
      <c r="A932" t="s">
        <v>1026</v>
      </c>
      <c r="B932" s="1">
        <v>45629</v>
      </c>
      <c r="C932" t="s">
        <v>2218</v>
      </c>
      <c r="D932" t="s">
        <v>2407</v>
      </c>
      <c r="E932">
        <v>4</v>
      </c>
      <c r="F932">
        <v>30.05</v>
      </c>
      <c r="G932" t="s">
        <v>2676</v>
      </c>
      <c r="H932" t="s">
        <v>3066</v>
      </c>
      <c r="I932" t="s">
        <v>3072</v>
      </c>
      <c r="J932" t="s">
        <v>4087</v>
      </c>
      <c r="K932">
        <v>6</v>
      </c>
      <c r="L932" t="s">
        <v>4283</v>
      </c>
      <c r="M932" t="s">
        <v>4281</v>
      </c>
      <c r="N932" s="5">
        <v>120.2</v>
      </c>
      <c r="O932" t="str">
        <f>IF(ABS(Table1[[#This Row],[TotalPrice]]-Table1[[#This Row],[Quantity]]*Table1[[#This Row],[UnitPrice]]) &lt;0.01, "ok",)</f>
        <v>ok</v>
      </c>
      <c r="P932" t="str">
        <f>PROPER(TRIM(Table1[[#This Row],[ShippingAddress]]))</f>
        <v>301 Main St</v>
      </c>
      <c r="Q932" t="str">
        <f>PROPER(TRIM((Table1[[#This Row],[PaymentMethod]])))</f>
        <v>Online</v>
      </c>
      <c r="R932" t="str">
        <f>PROPER(TRIM(Table1[[#This Row],[ReferralSource]]))</f>
        <v>Facebook</v>
      </c>
      <c r="S932" s="5">
        <f>Table1[[#This Row],[TotalPrice]]/Table1[[#This Row],[ItemsInCart]]</f>
        <v>20.033333333333335</v>
      </c>
    </row>
    <row r="933" spans="1:19" x14ac:dyDescent="0.3">
      <c r="A933" t="s">
        <v>858</v>
      </c>
      <c r="B933" s="1">
        <v>45630</v>
      </c>
      <c r="C933" t="s">
        <v>2054</v>
      </c>
      <c r="D933" t="s">
        <v>2406</v>
      </c>
      <c r="E933">
        <v>1</v>
      </c>
      <c r="F933">
        <v>320.92</v>
      </c>
      <c r="G933" t="s">
        <v>2952</v>
      </c>
      <c r="H933" t="s">
        <v>3066</v>
      </c>
      <c r="I933" t="s">
        <v>3072</v>
      </c>
      <c r="J933" t="s">
        <v>3919</v>
      </c>
      <c r="K933">
        <v>5</v>
      </c>
      <c r="L933" t="s">
        <v>4276</v>
      </c>
      <c r="M933" t="s">
        <v>4281</v>
      </c>
      <c r="N933" s="5">
        <v>320.92</v>
      </c>
      <c r="O933" t="str">
        <f>IF(ABS(Table1[[#This Row],[TotalPrice]]-Table1[[#This Row],[Quantity]]*Table1[[#This Row],[UnitPrice]]) &lt;0.01, "ok",)</f>
        <v>ok</v>
      </c>
      <c r="P933" t="str">
        <f>PROPER(TRIM(Table1[[#This Row],[ShippingAddress]]))</f>
        <v>883 Main St</v>
      </c>
      <c r="Q933" t="str">
        <f>PROPER(TRIM((Table1[[#This Row],[PaymentMethod]])))</f>
        <v>Online</v>
      </c>
      <c r="R933" t="str">
        <f>PROPER(TRIM(Table1[[#This Row],[ReferralSource]]))</f>
        <v>Facebook</v>
      </c>
      <c r="S933" s="5">
        <f>Table1[[#This Row],[TotalPrice]]/Table1[[#This Row],[ItemsInCart]]</f>
        <v>64.183999999999997</v>
      </c>
    </row>
    <row r="934" spans="1:19" x14ac:dyDescent="0.3">
      <c r="A934" t="s">
        <v>224</v>
      </c>
      <c r="B934" s="1">
        <v>45631</v>
      </c>
      <c r="C934" t="s">
        <v>1424</v>
      </c>
      <c r="D934" t="s">
        <v>2406</v>
      </c>
      <c r="E934">
        <v>3</v>
      </c>
      <c r="F934">
        <v>358.48</v>
      </c>
      <c r="G934" t="s">
        <v>2532</v>
      </c>
      <c r="H934" t="s">
        <v>3068</v>
      </c>
      <c r="I934" t="s">
        <v>3073</v>
      </c>
      <c r="J934" t="s">
        <v>3285</v>
      </c>
      <c r="K934">
        <v>7</v>
      </c>
      <c r="L934" t="s">
        <v>4276</v>
      </c>
      <c r="M934" t="s">
        <v>4281</v>
      </c>
      <c r="N934" s="5">
        <v>1075.44</v>
      </c>
      <c r="O934" t="str">
        <f>IF(ABS(Table1[[#This Row],[TotalPrice]]-Table1[[#This Row],[Quantity]]*Table1[[#This Row],[UnitPrice]]) &lt;0.01, "ok",)</f>
        <v>ok</v>
      </c>
      <c r="P934" t="str">
        <f>PROPER(TRIM(Table1[[#This Row],[ShippingAddress]]))</f>
        <v>513 Main St</v>
      </c>
      <c r="Q934" t="str">
        <f>PROPER(TRIM((Table1[[#This Row],[PaymentMethod]])))</f>
        <v>Gift Card</v>
      </c>
      <c r="R934" t="str">
        <f>PROPER(TRIM(Table1[[#This Row],[ReferralSource]]))</f>
        <v>Facebook</v>
      </c>
      <c r="S934" s="5">
        <f>Table1[[#This Row],[TotalPrice]]/Table1[[#This Row],[ItemsInCart]]</f>
        <v>153.63428571428571</v>
      </c>
    </row>
    <row r="935" spans="1:19" x14ac:dyDescent="0.3">
      <c r="A935" t="s">
        <v>502</v>
      </c>
      <c r="B935" s="1">
        <v>45631</v>
      </c>
      <c r="C935" t="s">
        <v>1702</v>
      </c>
      <c r="D935" t="s">
        <v>2406</v>
      </c>
      <c r="E935">
        <v>1</v>
      </c>
      <c r="F935">
        <v>36.65</v>
      </c>
      <c r="G935" t="s">
        <v>2785</v>
      </c>
      <c r="H935" t="s">
        <v>3066</v>
      </c>
      <c r="I935" t="s">
        <v>3071</v>
      </c>
      <c r="J935" t="s">
        <v>3563</v>
      </c>
      <c r="K935">
        <v>1</v>
      </c>
      <c r="L935" t="s">
        <v>4277</v>
      </c>
      <c r="M935" t="s">
        <v>4280</v>
      </c>
      <c r="N935" s="5">
        <v>36.65</v>
      </c>
      <c r="O935" t="str">
        <f>IF(ABS(Table1[[#This Row],[TotalPrice]]-Table1[[#This Row],[Quantity]]*Table1[[#This Row],[UnitPrice]]) &lt;0.01, "ok",)</f>
        <v>ok</v>
      </c>
      <c r="P935" t="str">
        <f>PROPER(TRIM(Table1[[#This Row],[ShippingAddress]]))</f>
        <v>556 Main St</v>
      </c>
      <c r="Q935" t="str">
        <f>PROPER(TRIM((Table1[[#This Row],[PaymentMethod]])))</f>
        <v>Online</v>
      </c>
      <c r="R935" t="str">
        <f>PROPER(TRIM(Table1[[#This Row],[ReferralSource]]))</f>
        <v>Email</v>
      </c>
      <c r="S935" s="5">
        <f>Table1[[#This Row],[TotalPrice]]/Table1[[#This Row],[ItemsInCart]]</f>
        <v>36.65</v>
      </c>
    </row>
    <row r="936" spans="1:19" x14ac:dyDescent="0.3">
      <c r="A936" t="s">
        <v>360</v>
      </c>
      <c r="B936" s="1">
        <v>45632</v>
      </c>
      <c r="C936" t="s">
        <v>1560</v>
      </c>
      <c r="D936" t="s">
        <v>2405</v>
      </c>
      <c r="E936">
        <v>1</v>
      </c>
      <c r="F936">
        <v>655.09</v>
      </c>
      <c r="G936" t="s">
        <v>2699</v>
      </c>
      <c r="H936" t="s">
        <v>3069</v>
      </c>
      <c r="I936" t="s">
        <v>3074</v>
      </c>
      <c r="J936" t="s">
        <v>3421</v>
      </c>
      <c r="K936">
        <v>6</v>
      </c>
      <c r="L936" t="s">
        <v>4283</v>
      </c>
      <c r="M936" t="s">
        <v>4279</v>
      </c>
      <c r="N936" s="5">
        <v>655.09</v>
      </c>
      <c r="O936" t="str">
        <f>IF(ABS(Table1[[#This Row],[TotalPrice]]-Table1[[#This Row],[Quantity]]*Table1[[#This Row],[UnitPrice]]) &lt;0.01, "ok",)</f>
        <v>ok</v>
      </c>
      <c r="P936" t="str">
        <f>PROPER(TRIM(Table1[[#This Row],[ShippingAddress]]))</f>
        <v>876 Main St</v>
      </c>
      <c r="Q936" t="str">
        <f>PROPER(TRIM((Table1[[#This Row],[PaymentMethod]])))</f>
        <v>Cash</v>
      </c>
      <c r="R936" t="str">
        <f>PROPER(TRIM(Table1[[#This Row],[ReferralSource]]))</f>
        <v>Referral</v>
      </c>
      <c r="S936" s="5">
        <f>Table1[[#This Row],[TotalPrice]]/Table1[[#This Row],[ItemsInCart]]</f>
        <v>109.18166666666667</v>
      </c>
    </row>
    <row r="937" spans="1:19" x14ac:dyDescent="0.3">
      <c r="A937" t="s">
        <v>49</v>
      </c>
      <c r="B937" s="1">
        <v>45633</v>
      </c>
      <c r="C937" t="s">
        <v>1249</v>
      </c>
      <c r="D937" t="s">
        <v>2403</v>
      </c>
      <c r="E937">
        <v>2</v>
      </c>
      <c r="F937">
        <v>465.15</v>
      </c>
      <c r="G937" t="s">
        <v>2445</v>
      </c>
      <c r="H937" t="s">
        <v>3066</v>
      </c>
      <c r="I937" t="s">
        <v>3070</v>
      </c>
      <c r="J937" t="s">
        <v>3110</v>
      </c>
      <c r="K937">
        <v>2</v>
      </c>
      <c r="L937" t="s">
        <v>4275</v>
      </c>
      <c r="M937" t="s">
        <v>4281</v>
      </c>
      <c r="N937" s="5">
        <v>930.3</v>
      </c>
      <c r="O937" t="str">
        <f>IF(ABS(Table1[[#This Row],[TotalPrice]]-Table1[[#This Row],[Quantity]]*Table1[[#This Row],[UnitPrice]]) &lt;0.01, "ok",)</f>
        <v>ok</v>
      </c>
      <c r="P937" t="str">
        <f>PROPER(TRIM(Table1[[#This Row],[ShippingAddress]]))</f>
        <v>128 Main St</v>
      </c>
      <c r="Q937" t="str">
        <f>PROPER(TRIM((Table1[[#This Row],[PaymentMethod]])))</f>
        <v>Online</v>
      </c>
      <c r="R937" t="str">
        <f>PROPER(TRIM(Table1[[#This Row],[ReferralSource]]))</f>
        <v>Facebook</v>
      </c>
      <c r="S937" s="5">
        <f>Table1[[#This Row],[TotalPrice]]/Table1[[#This Row],[ItemsInCart]]</f>
        <v>465.15</v>
      </c>
    </row>
    <row r="938" spans="1:19" x14ac:dyDescent="0.3">
      <c r="A938" t="s">
        <v>317</v>
      </c>
      <c r="B938" s="1">
        <v>45633</v>
      </c>
      <c r="C938" t="s">
        <v>1517</v>
      </c>
      <c r="D938" t="s">
        <v>2405</v>
      </c>
      <c r="E938">
        <v>1</v>
      </c>
      <c r="F938">
        <v>30.54</v>
      </c>
      <c r="G938" t="s">
        <v>2666</v>
      </c>
      <c r="H938" t="s">
        <v>3065</v>
      </c>
      <c r="I938" t="s">
        <v>3072</v>
      </c>
      <c r="J938" t="s">
        <v>3378</v>
      </c>
      <c r="K938">
        <v>1</v>
      </c>
      <c r="L938" t="s">
        <v>4283</v>
      </c>
      <c r="M938" t="s">
        <v>4282</v>
      </c>
      <c r="N938" s="5">
        <v>30.54</v>
      </c>
      <c r="O938" t="str">
        <f>IF(ABS(Table1[[#This Row],[TotalPrice]]-Table1[[#This Row],[Quantity]]*Table1[[#This Row],[UnitPrice]]) &lt;0.01, "ok",)</f>
        <v>ok</v>
      </c>
      <c r="P938" t="str">
        <f>PROPER(TRIM(Table1[[#This Row],[ShippingAddress]]))</f>
        <v>368 Main St</v>
      </c>
      <c r="Q938" t="str">
        <f>PROPER(TRIM((Table1[[#This Row],[PaymentMethod]])))</f>
        <v>Debit Card</v>
      </c>
      <c r="R938" t="str">
        <f>PROPER(TRIM(Table1[[#This Row],[ReferralSource]]))</f>
        <v>Google</v>
      </c>
      <c r="S938" s="5">
        <f>Table1[[#This Row],[TotalPrice]]/Table1[[#This Row],[ItemsInCart]]</f>
        <v>30.54</v>
      </c>
    </row>
    <row r="939" spans="1:19" x14ac:dyDescent="0.3">
      <c r="A939" t="s">
        <v>723</v>
      </c>
      <c r="B939" s="1">
        <v>45633</v>
      </c>
      <c r="C939" t="s">
        <v>1921</v>
      </c>
      <c r="D939" t="s">
        <v>2409</v>
      </c>
      <c r="E939">
        <v>1</v>
      </c>
      <c r="F939">
        <v>386.03</v>
      </c>
      <c r="G939" t="s">
        <v>2884</v>
      </c>
      <c r="H939" t="s">
        <v>3066</v>
      </c>
      <c r="I939" t="s">
        <v>3074</v>
      </c>
      <c r="J939" t="s">
        <v>3784</v>
      </c>
      <c r="K939">
        <v>4</v>
      </c>
      <c r="L939" t="s">
        <v>4276</v>
      </c>
      <c r="M939" t="s">
        <v>4282</v>
      </c>
      <c r="N939" s="5">
        <v>386.03</v>
      </c>
      <c r="O939" t="str">
        <f>IF(ABS(Table1[[#This Row],[TotalPrice]]-Table1[[#This Row],[Quantity]]*Table1[[#This Row],[UnitPrice]]) &lt;0.01, "ok",)</f>
        <v>ok</v>
      </c>
      <c r="P939" t="str">
        <f>PROPER(TRIM(Table1[[#This Row],[ShippingAddress]]))</f>
        <v>855 Main St</v>
      </c>
      <c r="Q939" t="str">
        <f>PROPER(TRIM((Table1[[#This Row],[PaymentMethod]])))</f>
        <v>Online</v>
      </c>
      <c r="R939" t="str">
        <f>PROPER(TRIM(Table1[[#This Row],[ReferralSource]]))</f>
        <v>Google</v>
      </c>
      <c r="S939" s="5">
        <f>Table1[[#This Row],[TotalPrice]]/Table1[[#This Row],[ItemsInCart]]</f>
        <v>96.507499999999993</v>
      </c>
    </row>
    <row r="940" spans="1:19" x14ac:dyDescent="0.3">
      <c r="A940" t="s">
        <v>81</v>
      </c>
      <c r="B940" s="1">
        <v>45635</v>
      </c>
      <c r="C940" t="s">
        <v>1281</v>
      </c>
      <c r="D940" t="s">
        <v>2407</v>
      </c>
      <c r="E940">
        <v>4</v>
      </c>
      <c r="F940">
        <v>12.1</v>
      </c>
      <c r="G940" t="s">
        <v>2473</v>
      </c>
      <c r="H940" t="s">
        <v>3065</v>
      </c>
      <c r="I940" t="s">
        <v>3071</v>
      </c>
      <c r="J940" t="s">
        <v>3142</v>
      </c>
      <c r="K940">
        <v>8</v>
      </c>
      <c r="L940" t="s">
        <v>4283</v>
      </c>
      <c r="M940" t="s">
        <v>4282</v>
      </c>
      <c r="N940" s="5">
        <v>48.4</v>
      </c>
      <c r="O940" t="str">
        <f>IF(ABS(Table1[[#This Row],[TotalPrice]]-Table1[[#This Row],[Quantity]]*Table1[[#This Row],[UnitPrice]]) &lt;0.01, "ok",)</f>
        <v>ok</v>
      </c>
      <c r="P940" t="str">
        <f>PROPER(TRIM(Table1[[#This Row],[ShippingAddress]]))</f>
        <v>440 Main St</v>
      </c>
      <c r="Q940" t="str">
        <f>PROPER(TRIM((Table1[[#This Row],[PaymentMethod]])))</f>
        <v>Debit Card</v>
      </c>
      <c r="R940" t="str">
        <f>PROPER(TRIM(Table1[[#This Row],[ReferralSource]]))</f>
        <v>Google</v>
      </c>
      <c r="S940" s="5">
        <f>Table1[[#This Row],[TotalPrice]]/Table1[[#This Row],[ItemsInCart]]</f>
        <v>6.05</v>
      </c>
    </row>
    <row r="941" spans="1:19" x14ac:dyDescent="0.3">
      <c r="A941" t="s">
        <v>1056</v>
      </c>
      <c r="B941" s="1">
        <v>45635</v>
      </c>
      <c r="C941" t="s">
        <v>2248</v>
      </c>
      <c r="D941" t="s">
        <v>2405</v>
      </c>
      <c r="E941">
        <v>2</v>
      </c>
      <c r="F941">
        <v>409.75</v>
      </c>
      <c r="G941" t="s">
        <v>2681</v>
      </c>
      <c r="H941" t="s">
        <v>3065</v>
      </c>
      <c r="I941" t="s">
        <v>3070</v>
      </c>
      <c r="J941" t="s">
        <v>4117</v>
      </c>
      <c r="K941">
        <v>2</v>
      </c>
      <c r="L941" t="s">
        <v>4277</v>
      </c>
      <c r="M941" t="s">
        <v>4281</v>
      </c>
      <c r="N941" s="5">
        <v>819.5</v>
      </c>
      <c r="O941" t="str">
        <f>IF(ABS(Table1[[#This Row],[TotalPrice]]-Table1[[#This Row],[Quantity]]*Table1[[#This Row],[UnitPrice]]) &lt;0.01, "ok",)</f>
        <v>ok</v>
      </c>
      <c r="P941" t="str">
        <f>PROPER(TRIM(Table1[[#This Row],[ShippingAddress]]))</f>
        <v>414 Main St</v>
      </c>
      <c r="Q941" t="str">
        <f>PROPER(TRIM((Table1[[#This Row],[PaymentMethod]])))</f>
        <v>Debit Card</v>
      </c>
      <c r="R941" t="str">
        <f>PROPER(TRIM(Table1[[#This Row],[ReferralSource]]))</f>
        <v>Facebook</v>
      </c>
      <c r="S941" s="5">
        <f>Table1[[#This Row],[TotalPrice]]/Table1[[#This Row],[ItemsInCart]]</f>
        <v>409.75</v>
      </c>
    </row>
    <row r="942" spans="1:19" x14ac:dyDescent="0.3">
      <c r="A942" t="s">
        <v>602</v>
      </c>
      <c r="B942" s="1">
        <v>45636</v>
      </c>
      <c r="C942" t="s">
        <v>1802</v>
      </c>
      <c r="D942" t="s">
        <v>2403</v>
      </c>
      <c r="E942">
        <v>4</v>
      </c>
      <c r="F942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>
        <v>9</v>
      </c>
      <c r="L942" t="s">
        <v>4283</v>
      </c>
      <c r="M942" t="s">
        <v>4282</v>
      </c>
      <c r="N942" s="5">
        <v>2311.2800000000002</v>
      </c>
      <c r="O942" t="str">
        <f>IF(ABS(Table1[[#This Row],[TotalPrice]]-Table1[[#This Row],[Quantity]]*Table1[[#This Row],[UnitPrice]]) &lt;0.01, "ok",)</f>
        <v>ok</v>
      </c>
      <c r="P942" t="str">
        <f>PROPER(TRIM(Table1[[#This Row],[ShippingAddress]]))</f>
        <v>811 Main St</v>
      </c>
      <c r="Q942" t="str">
        <f>PROPER(TRIM((Table1[[#This Row],[PaymentMethod]])))</f>
        <v>Credit Card</v>
      </c>
      <c r="R942" t="str">
        <f>PROPER(TRIM(Table1[[#This Row],[ReferralSource]]))</f>
        <v>Google</v>
      </c>
      <c r="S942" s="5">
        <f>Table1[[#This Row],[TotalPrice]]/Table1[[#This Row],[ItemsInCart]]</f>
        <v>256.80888888888893</v>
      </c>
    </row>
    <row r="943" spans="1:19" x14ac:dyDescent="0.3">
      <c r="A943" t="s">
        <v>253</v>
      </c>
      <c r="B943" s="1">
        <v>45637</v>
      </c>
      <c r="C943" t="s">
        <v>1453</v>
      </c>
      <c r="D943" t="s">
        <v>2405</v>
      </c>
      <c r="E943">
        <v>3</v>
      </c>
      <c r="F943">
        <v>538.74</v>
      </c>
      <c r="G943" t="s">
        <v>2616</v>
      </c>
      <c r="H943" t="s">
        <v>3066</v>
      </c>
      <c r="I943" t="s">
        <v>3070</v>
      </c>
      <c r="J943" t="s">
        <v>3314</v>
      </c>
      <c r="K943">
        <v>6</v>
      </c>
      <c r="L943" t="s">
        <v>4276</v>
      </c>
      <c r="M943" t="s">
        <v>4280</v>
      </c>
      <c r="N943" s="5">
        <v>1616.22</v>
      </c>
      <c r="O943" t="str">
        <f>IF(ABS(Table1[[#This Row],[TotalPrice]]-Table1[[#This Row],[Quantity]]*Table1[[#This Row],[UnitPrice]]) &lt;0.01, "ok",)</f>
        <v>ok</v>
      </c>
      <c r="P943" t="str">
        <f>PROPER(TRIM(Table1[[#This Row],[ShippingAddress]]))</f>
        <v>456 Main St</v>
      </c>
      <c r="Q943" t="str">
        <f>PROPER(TRIM((Table1[[#This Row],[PaymentMethod]])))</f>
        <v>Online</v>
      </c>
      <c r="R943" t="str">
        <f>PROPER(TRIM(Table1[[#This Row],[ReferralSource]]))</f>
        <v>Email</v>
      </c>
      <c r="S943" s="5">
        <f>Table1[[#This Row],[TotalPrice]]/Table1[[#This Row],[ItemsInCart]]</f>
        <v>269.37</v>
      </c>
    </row>
    <row r="944" spans="1:19" x14ac:dyDescent="0.3">
      <c r="A944" t="s">
        <v>828</v>
      </c>
      <c r="B944" s="1">
        <v>45637</v>
      </c>
      <c r="C944" t="s">
        <v>2024</v>
      </c>
      <c r="D944" t="s">
        <v>2406</v>
      </c>
      <c r="E944">
        <v>4</v>
      </c>
      <c r="F944">
        <v>147.51</v>
      </c>
      <c r="G944" t="s">
        <v>2938</v>
      </c>
      <c r="H944" t="s">
        <v>3065</v>
      </c>
      <c r="I944" t="s">
        <v>3074</v>
      </c>
      <c r="J944" t="s">
        <v>3889</v>
      </c>
      <c r="K944">
        <v>4</v>
      </c>
      <c r="L944" t="s">
        <v>4277</v>
      </c>
      <c r="M944" t="s">
        <v>4278</v>
      </c>
      <c r="N944" s="5">
        <v>590.04</v>
      </c>
      <c r="O944" t="str">
        <f>IF(ABS(Table1[[#This Row],[TotalPrice]]-Table1[[#This Row],[Quantity]]*Table1[[#This Row],[UnitPrice]]) &lt;0.01, "ok",)</f>
        <v>ok</v>
      </c>
      <c r="P944" t="str">
        <f>PROPER(TRIM(Table1[[#This Row],[ShippingAddress]]))</f>
        <v>979 Main St</v>
      </c>
      <c r="Q944" t="str">
        <f>PROPER(TRIM((Table1[[#This Row],[PaymentMethod]])))</f>
        <v>Debit Card</v>
      </c>
      <c r="R944" t="str">
        <f>PROPER(TRIM(Table1[[#This Row],[ReferralSource]]))</f>
        <v>Instagram</v>
      </c>
      <c r="S944" s="5">
        <f>Table1[[#This Row],[TotalPrice]]/Table1[[#This Row],[ItemsInCart]]</f>
        <v>147.51</v>
      </c>
    </row>
    <row r="945" spans="1:19" x14ac:dyDescent="0.3">
      <c r="A945" t="s">
        <v>844</v>
      </c>
      <c r="B945" s="1">
        <v>45637</v>
      </c>
      <c r="C945" t="s">
        <v>2040</v>
      </c>
      <c r="D945" t="s">
        <v>2405</v>
      </c>
      <c r="E945">
        <v>4</v>
      </c>
      <c r="F945">
        <v>190.64</v>
      </c>
      <c r="G945" t="s">
        <v>2947</v>
      </c>
      <c r="H945" t="s">
        <v>3069</v>
      </c>
      <c r="I945" t="s">
        <v>3073</v>
      </c>
      <c r="J945" t="s">
        <v>3905</v>
      </c>
      <c r="K945">
        <v>5</v>
      </c>
      <c r="L945" t="s">
        <v>4275</v>
      </c>
      <c r="M945" t="s">
        <v>4280</v>
      </c>
      <c r="N945" s="5">
        <v>762.56</v>
      </c>
      <c r="O945" t="str">
        <f>IF(ABS(Table1[[#This Row],[TotalPrice]]-Table1[[#This Row],[Quantity]]*Table1[[#This Row],[UnitPrice]]) &lt;0.01, "ok",)</f>
        <v>ok</v>
      </c>
      <c r="P945" t="str">
        <f>PROPER(TRIM(Table1[[#This Row],[ShippingAddress]]))</f>
        <v>853 Main St</v>
      </c>
      <c r="Q945" t="str">
        <f>PROPER(TRIM((Table1[[#This Row],[PaymentMethod]])))</f>
        <v>Cash</v>
      </c>
      <c r="R945" t="str">
        <f>PROPER(TRIM(Table1[[#This Row],[ReferralSource]]))</f>
        <v>Email</v>
      </c>
      <c r="S945" s="5">
        <f>Table1[[#This Row],[TotalPrice]]/Table1[[#This Row],[ItemsInCart]]</f>
        <v>152.512</v>
      </c>
    </row>
    <row r="946" spans="1:19" x14ac:dyDescent="0.3">
      <c r="A946" t="s">
        <v>252</v>
      </c>
      <c r="B946" s="1">
        <v>45639</v>
      </c>
      <c r="C946" t="s">
        <v>1452</v>
      </c>
      <c r="D946" t="s">
        <v>2409</v>
      </c>
      <c r="E946">
        <v>4</v>
      </c>
      <c r="F946">
        <v>384.32</v>
      </c>
      <c r="G946" t="s">
        <v>2615</v>
      </c>
      <c r="H946" t="s">
        <v>3067</v>
      </c>
      <c r="I946" t="s">
        <v>3074</v>
      </c>
      <c r="J946" t="s">
        <v>3313</v>
      </c>
      <c r="K946">
        <v>6</v>
      </c>
      <c r="L946" t="s">
        <v>4277</v>
      </c>
      <c r="M946" t="s">
        <v>4282</v>
      </c>
      <c r="N946" s="5">
        <v>1537.28</v>
      </c>
      <c r="O946" t="str">
        <f>IF(ABS(Table1[[#This Row],[TotalPrice]]-Table1[[#This Row],[Quantity]]*Table1[[#This Row],[UnitPrice]]) &lt;0.01, "ok",)</f>
        <v>ok</v>
      </c>
      <c r="P946" t="str">
        <f>PROPER(TRIM(Table1[[#This Row],[ShippingAddress]]))</f>
        <v>770 Main St</v>
      </c>
      <c r="Q946" t="str">
        <f>PROPER(TRIM((Table1[[#This Row],[PaymentMethod]])))</f>
        <v>Credit Card</v>
      </c>
      <c r="R946" t="str">
        <f>PROPER(TRIM(Table1[[#This Row],[ReferralSource]]))</f>
        <v>Google</v>
      </c>
      <c r="S946" s="5">
        <f>Table1[[#This Row],[TotalPrice]]/Table1[[#This Row],[ItemsInCart]]</f>
        <v>256.21333333333331</v>
      </c>
    </row>
    <row r="947" spans="1:19" x14ac:dyDescent="0.3">
      <c r="A947" t="s">
        <v>835</v>
      </c>
      <c r="B947" s="1">
        <v>45640</v>
      </c>
      <c r="C947" t="s">
        <v>2031</v>
      </c>
      <c r="D947" t="s">
        <v>2408</v>
      </c>
      <c r="E947">
        <v>4</v>
      </c>
      <c r="F947">
        <v>174.49</v>
      </c>
      <c r="G947" t="s">
        <v>2698</v>
      </c>
      <c r="H947" t="s">
        <v>3067</v>
      </c>
      <c r="I947" t="s">
        <v>3073</v>
      </c>
      <c r="J947" t="s">
        <v>3896</v>
      </c>
      <c r="K947">
        <v>5</v>
      </c>
      <c r="L947" t="s">
        <v>4275</v>
      </c>
      <c r="M947" t="s">
        <v>4281</v>
      </c>
      <c r="N947" s="5">
        <v>697.96</v>
      </c>
      <c r="O947" t="str">
        <f>IF(ABS(Table1[[#This Row],[TotalPrice]]-Table1[[#This Row],[Quantity]]*Table1[[#This Row],[UnitPrice]]) &lt;0.01, "ok",)</f>
        <v>ok</v>
      </c>
      <c r="P947" t="str">
        <f>PROPER(TRIM(Table1[[#This Row],[ShippingAddress]]))</f>
        <v>259 Main St</v>
      </c>
      <c r="Q947" t="str">
        <f>PROPER(TRIM((Table1[[#This Row],[PaymentMethod]])))</f>
        <v>Credit Card</v>
      </c>
      <c r="R947" t="str">
        <f>PROPER(TRIM(Table1[[#This Row],[ReferralSource]]))</f>
        <v>Facebook</v>
      </c>
      <c r="S947" s="5">
        <f>Table1[[#This Row],[TotalPrice]]/Table1[[#This Row],[ItemsInCart]]</f>
        <v>139.59200000000001</v>
      </c>
    </row>
    <row r="948" spans="1:19" x14ac:dyDescent="0.3">
      <c r="A948" t="s">
        <v>162</v>
      </c>
      <c r="B948" s="1">
        <v>45641</v>
      </c>
      <c r="C948" t="s">
        <v>1362</v>
      </c>
      <c r="D948" t="s">
        <v>2404</v>
      </c>
      <c r="E948">
        <v>2</v>
      </c>
      <c r="F948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>
        <v>3</v>
      </c>
      <c r="L948" t="s">
        <v>4277</v>
      </c>
      <c r="M948" t="s">
        <v>4282</v>
      </c>
      <c r="N948" s="5">
        <v>639.82000000000005</v>
      </c>
      <c r="O948" t="str">
        <f>IF(ABS(Table1[[#This Row],[TotalPrice]]-Table1[[#This Row],[Quantity]]*Table1[[#This Row],[UnitPrice]]) &lt;0.01, "ok",)</f>
        <v>ok</v>
      </c>
      <c r="P948" t="str">
        <f>PROPER(TRIM(Table1[[#This Row],[ShippingAddress]]))</f>
        <v>139 Main St</v>
      </c>
      <c r="Q948" t="str">
        <f>PROPER(TRIM((Table1[[#This Row],[PaymentMethod]])))</f>
        <v>Credit Card</v>
      </c>
      <c r="R948" t="str">
        <f>PROPER(TRIM(Table1[[#This Row],[ReferralSource]]))</f>
        <v>Google</v>
      </c>
      <c r="S948" s="5">
        <f>Table1[[#This Row],[TotalPrice]]/Table1[[#This Row],[ItemsInCart]]</f>
        <v>213.27333333333334</v>
      </c>
    </row>
    <row r="949" spans="1:19" x14ac:dyDescent="0.3">
      <c r="A949" t="s">
        <v>524</v>
      </c>
      <c r="B949" s="1">
        <v>45642</v>
      </c>
      <c r="C949" t="s">
        <v>1724</v>
      </c>
      <c r="D949" t="s">
        <v>2407</v>
      </c>
      <c r="E949">
        <v>1</v>
      </c>
      <c r="F949">
        <v>376.76</v>
      </c>
      <c r="G949" t="s">
        <v>2799</v>
      </c>
      <c r="H949" t="s">
        <v>3065</v>
      </c>
      <c r="I949" t="s">
        <v>3073</v>
      </c>
      <c r="J949" t="s">
        <v>3585</v>
      </c>
      <c r="K949">
        <v>5</v>
      </c>
      <c r="L949" t="s">
        <v>4275</v>
      </c>
      <c r="M949" t="s">
        <v>4280</v>
      </c>
      <c r="N949" s="5">
        <v>376.76</v>
      </c>
      <c r="O949" t="str">
        <f>IF(ABS(Table1[[#This Row],[TotalPrice]]-Table1[[#This Row],[Quantity]]*Table1[[#This Row],[UnitPrice]]) &lt;0.01, "ok",)</f>
        <v>ok</v>
      </c>
      <c r="P949" t="str">
        <f>PROPER(TRIM(Table1[[#This Row],[ShippingAddress]]))</f>
        <v>389 Main St</v>
      </c>
      <c r="Q949" t="str">
        <f>PROPER(TRIM((Table1[[#This Row],[PaymentMethod]])))</f>
        <v>Debit Card</v>
      </c>
      <c r="R949" t="str">
        <f>PROPER(TRIM(Table1[[#This Row],[ReferralSource]]))</f>
        <v>Email</v>
      </c>
      <c r="S949" s="5">
        <f>Table1[[#This Row],[TotalPrice]]/Table1[[#This Row],[ItemsInCart]]</f>
        <v>75.352000000000004</v>
      </c>
    </row>
    <row r="950" spans="1:19" x14ac:dyDescent="0.3">
      <c r="A950" t="s">
        <v>944</v>
      </c>
      <c r="B950" s="1">
        <v>45642</v>
      </c>
      <c r="C950" t="s">
        <v>2140</v>
      </c>
      <c r="D950" t="s">
        <v>2404</v>
      </c>
      <c r="E950">
        <v>2</v>
      </c>
      <c r="F950">
        <v>456.04</v>
      </c>
      <c r="G950" t="s">
        <v>2427</v>
      </c>
      <c r="H950" t="s">
        <v>3065</v>
      </c>
      <c r="I950" t="s">
        <v>3072</v>
      </c>
      <c r="J950" t="s">
        <v>4005</v>
      </c>
      <c r="K950">
        <v>4</v>
      </c>
      <c r="L950" t="s">
        <v>4276</v>
      </c>
      <c r="M950" t="s">
        <v>4280</v>
      </c>
      <c r="N950" s="5">
        <v>912.08</v>
      </c>
      <c r="O950" t="str">
        <f>IF(ABS(Table1[[#This Row],[TotalPrice]]-Table1[[#This Row],[Quantity]]*Table1[[#This Row],[UnitPrice]]) &lt;0.01, "ok",)</f>
        <v>ok</v>
      </c>
      <c r="P950" t="str">
        <f>PROPER(TRIM(Table1[[#This Row],[ShippingAddress]]))</f>
        <v>382 Main St</v>
      </c>
      <c r="Q950" t="str">
        <f>PROPER(TRIM((Table1[[#This Row],[PaymentMethod]])))</f>
        <v>Debit Card</v>
      </c>
      <c r="R950" t="str">
        <f>PROPER(TRIM(Table1[[#This Row],[ReferralSource]]))</f>
        <v>Email</v>
      </c>
      <c r="S950" s="5">
        <f>Table1[[#This Row],[TotalPrice]]/Table1[[#This Row],[ItemsInCart]]</f>
        <v>228.02</v>
      </c>
    </row>
    <row r="951" spans="1:19" x14ac:dyDescent="0.3">
      <c r="A951" t="s">
        <v>958</v>
      </c>
      <c r="B951" s="1">
        <v>45642</v>
      </c>
      <c r="C951" t="s">
        <v>2153</v>
      </c>
      <c r="D951" t="s">
        <v>2408</v>
      </c>
      <c r="E951">
        <v>2</v>
      </c>
      <c r="F951">
        <v>426.22</v>
      </c>
      <c r="G951" t="s">
        <v>2964</v>
      </c>
      <c r="H951" t="s">
        <v>3066</v>
      </c>
      <c r="I951" t="s">
        <v>3073</v>
      </c>
      <c r="J951" t="s">
        <v>4019</v>
      </c>
      <c r="K951">
        <v>7</v>
      </c>
      <c r="L951" t="s">
        <v>4277</v>
      </c>
      <c r="M951" t="s">
        <v>4282</v>
      </c>
      <c r="N951" s="5">
        <v>852.44</v>
      </c>
      <c r="O951" t="str">
        <f>IF(ABS(Table1[[#This Row],[TotalPrice]]-Table1[[#This Row],[Quantity]]*Table1[[#This Row],[UnitPrice]]) &lt;0.01, "ok",)</f>
        <v>ok</v>
      </c>
      <c r="P951" t="str">
        <f>PROPER(TRIM(Table1[[#This Row],[ShippingAddress]]))</f>
        <v>448 Main St</v>
      </c>
      <c r="Q951" t="str">
        <f>PROPER(TRIM((Table1[[#This Row],[PaymentMethod]])))</f>
        <v>Online</v>
      </c>
      <c r="R951" t="str">
        <f>PROPER(TRIM(Table1[[#This Row],[ReferralSource]]))</f>
        <v>Google</v>
      </c>
      <c r="S951" s="5">
        <f>Table1[[#This Row],[TotalPrice]]/Table1[[#This Row],[ItemsInCart]]</f>
        <v>121.77714285714286</v>
      </c>
    </row>
    <row r="952" spans="1:19" x14ac:dyDescent="0.3">
      <c r="A952" t="s">
        <v>1167</v>
      </c>
      <c r="B952" s="1">
        <v>45642</v>
      </c>
      <c r="C952" t="s">
        <v>2356</v>
      </c>
      <c r="D952" t="s">
        <v>2403</v>
      </c>
      <c r="E952">
        <v>4</v>
      </c>
      <c r="F952">
        <v>696.71</v>
      </c>
      <c r="G952" t="s">
        <v>3048</v>
      </c>
      <c r="H952" t="s">
        <v>3065</v>
      </c>
      <c r="I952" t="s">
        <v>3070</v>
      </c>
      <c r="J952" t="s">
        <v>4228</v>
      </c>
      <c r="K952">
        <v>4</v>
      </c>
      <c r="L952" t="s">
        <v>4283</v>
      </c>
      <c r="M952" t="s">
        <v>4278</v>
      </c>
      <c r="N952" s="5">
        <v>2786.84</v>
      </c>
      <c r="O952" t="str">
        <f>IF(ABS(Table1[[#This Row],[TotalPrice]]-Table1[[#This Row],[Quantity]]*Table1[[#This Row],[UnitPrice]]) &lt;0.01, "ok",)</f>
        <v>ok</v>
      </c>
      <c r="P952" t="str">
        <f>PROPER(TRIM(Table1[[#This Row],[ShippingAddress]]))</f>
        <v>276 Main St</v>
      </c>
      <c r="Q952" t="str">
        <f>PROPER(TRIM((Table1[[#This Row],[PaymentMethod]])))</f>
        <v>Debit Card</v>
      </c>
      <c r="R952" t="str">
        <f>PROPER(TRIM(Table1[[#This Row],[ReferralSource]]))</f>
        <v>Instagram</v>
      </c>
      <c r="S952" s="5">
        <f>Table1[[#This Row],[TotalPrice]]/Table1[[#This Row],[ItemsInCart]]</f>
        <v>696.71</v>
      </c>
    </row>
    <row r="953" spans="1:19" x14ac:dyDescent="0.3">
      <c r="A953" t="s">
        <v>167</v>
      </c>
      <c r="B953" s="1">
        <v>45644</v>
      </c>
      <c r="C953" t="s">
        <v>1367</v>
      </c>
      <c r="D953" t="s">
        <v>2406</v>
      </c>
      <c r="E953">
        <v>4</v>
      </c>
      <c r="F953">
        <v>534.48</v>
      </c>
      <c r="G953" t="s">
        <v>2552</v>
      </c>
      <c r="H953" t="s">
        <v>3066</v>
      </c>
      <c r="I953" t="s">
        <v>3072</v>
      </c>
      <c r="J953" t="s">
        <v>3228</v>
      </c>
      <c r="K953">
        <v>9</v>
      </c>
      <c r="L953" t="s">
        <v>4277</v>
      </c>
      <c r="M953" t="s">
        <v>4278</v>
      </c>
      <c r="N953" s="5">
        <v>2137.92</v>
      </c>
      <c r="O953" t="str">
        <f>IF(ABS(Table1[[#This Row],[TotalPrice]]-Table1[[#This Row],[Quantity]]*Table1[[#This Row],[UnitPrice]]) &lt;0.01, "ok",)</f>
        <v>ok</v>
      </c>
      <c r="P953" t="str">
        <f>PROPER(TRIM(Table1[[#This Row],[ShippingAddress]]))</f>
        <v>437 Main St</v>
      </c>
      <c r="Q953" t="str">
        <f>PROPER(TRIM((Table1[[#This Row],[PaymentMethod]])))</f>
        <v>Online</v>
      </c>
      <c r="R953" t="str">
        <f>PROPER(TRIM(Table1[[#This Row],[ReferralSource]]))</f>
        <v>Instagram</v>
      </c>
      <c r="S953" s="5">
        <f>Table1[[#This Row],[TotalPrice]]/Table1[[#This Row],[ItemsInCart]]</f>
        <v>237.54666666666668</v>
      </c>
    </row>
    <row r="954" spans="1:19" x14ac:dyDescent="0.3">
      <c r="A954" t="s">
        <v>441</v>
      </c>
      <c r="B954" s="1">
        <v>45644</v>
      </c>
      <c r="C954" t="s">
        <v>1641</v>
      </c>
      <c r="D954" t="s">
        <v>2409</v>
      </c>
      <c r="E954">
        <v>1</v>
      </c>
      <c r="F954">
        <v>161.24</v>
      </c>
      <c r="G954" t="s">
        <v>2748</v>
      </c>
      <c r="H954" t="s">
        <v>3067</v>
      </c>
      <c r="I954" t="s">
        <v>3074</v>
      </c>
      <c r="J954" t="s">
        <v>3502</v>
      </c>
      <c r="K954">
        <v>3</v>
      </c>
      <c r="L954" t="s">
        <v>4277</v>
      </c>
      <c r="M954" t="s">
        <v>4278</v>
      </c>
      <c r="N954" s="5">
        <v>161.24</v>
      </c>
      <c r="O954" t="str">
        <f>IF(ABS(Table1[[#This Row],[TotalPrice]]-Table1[[#This Row],[Quantity]]*Table1[[#This Row],[UnitPrice]]) &lt;0.01, "ok",)</f>
        <v>ok</v>
      </c>
      <c r="P954" t="str">
        <f>PROPER(TRIM(Table1[[#This Row],[ShippingAddress]]))</f>
        <v>379 Main St</v>
      </c>
      <c r="Q954" t="str">
        <f>PROPER(TRIM((Table1[[#This Row],[PaymentMethod]])))</f>
        <v>Credit Card</v>
      </c>
      <c r="R954" t="str">
        <f>PROPER(TRIM(Table1[[#This Row],[ReferralSource]]))</f>
        <v>Instagram</v>
      </c>
      <c r="S954" s="5">
        <f>Table1[[#This Row],[TotalPrice]]/Table1[[#This Row],[ItemsInCart]]</f>
        <v>53.74666666666667</v>
      </c>
    </row>
    <row r="955" spans="1:19" x14ac:dyDescent="0.3">
      <c r="A955" t="s">
        <v>52</v>
      </c>
      <c r="B955" s="1">
        <v>45645</v>
      </c>
      <c r="C955" t="s">
        <v>1252</v>
      </c>
      <c r="D955" t="s">
        <v>2408</v>
      </c>
      <c r="E955">
        <v>1</v>
      </c>
      <c r="F955">
        <v>245.89</v>
      </c>
      <c r="G955" t="s">
        <v>2448</v>
      </c>
      <c r="H955" t="s">
        <v>3065</v>
      </c>
      <c r="I955" t="s">
        <v>3073</v>
      </c>
      <c r="J955" t="s">
        <v>3113</v>
      </c>
      <c r="K955">
        <v>3</v>
      </c>
      <c r="L955" t="s">
        <v>4275</v>
      </c>
      <c r="M955" t="s">
        <v>4282</v>
      </c>
      <c r="N955" s="5">
        <v>245.89</v>
      </c>
      <c r="O955" t="str">
        <f>IF(ABS(Table1[[#This Row],[TotalPrice]]-Table1[[#This Row],[Quantity]]*Table1[[#This Row],[UnitPrice]]) &lt;0.01, "ok",)</f>
        <v>ok</v>
      </c>
      <c r="P955" t="str">
        <f>PROPER(TRIM(Table1[[#This Row],[ShippingAddress]]))</f>
        <v>549 Main St</v>
      </c>
      <c r="Q955" t="str">
        <f>PROPER(TRIM((Table1[[#This Row],[PaymentMethod]])))</f>
        <v>Debit Card</v>
      </c>
      <c r="R955" t="str">
        <f>PROPER(TRIM(Table1[[#This Row],[ReferralSource]]))</f>
        <v>Google</v>
      </c>
      <c r="S955" s="5">
        <f>Table1[[#This Row],[TotalPrice]]/Table1[[#This Row],[ItemsInCart]]</f>
        <v>81.963333333333324</v>
      </c>
    </row>
    <row r="956" spans="1:19" x14ac:dyDescent="0.3">
      <c r="A956" t="s">
        <v>334</v>
      </c>
      <c r="B956" s="1">
        <v>45645</v>
      </c>
      <c r="C956" t="s">
        <v>1534</v>
      </c>
      <c r="D956" t="s">
        <v>2407</v>
      </c>
      <c r="E956">
        <v>1</v>
      </c>
      <c r="F956">
        <v>625.51</v>
      </c>
      <c r="G956" t="s">
        <v>2680</v>
      </c>
      <c r="H956" t="s">
        <v>3067</v>
      </c>
      <c r="I956" t="s">
        <v>3070</v>
      </c>
      <c r="J956" t="s">
        <v>3395</v>
      </c>
      <c r="K956">
        <v>1</v>
      </c>
      <c r="L956" t="s">
        <v>4276</v>
      </c>
      <c r="M956" t="s">
        <v>4281</v>
      </c>
      <c r="N956" s="5">
        <v>625.51</v>
      </c>
      <c r="O956" t="str">
        <f>IF(ABS(Table1[[#This Row],[TotalPrice]]-Table1[[#This Row],[Quantity]]*Table1[[#This Row],[UnitPrice]]) &lt;0.01, "ok",)</f>
        <v>ok</v>
      </c>
      <c r="P956" t="str">
        <f>PROPER(TRIM(Table1[[#This Row],[ShippingAddress]]))</f>
        <v>772 Main St</v>
      </c>
      <c r="Q956" t="str">
        <f>PROPER(TRIM((Table1[[#This Row],[PaymentMethod]])))</f>
        <v>Credit Card</v>
      </c>
      <c r="R956" t="str">
        <f>PROPER(TRIM(Table1[[#This Row],[ReferralSource]]))</f>
        <v>Facebook</v>
      </c>
      <c r="S956" s="5">
        <f>Table1[[#This Row],[TotalPrice]]/Table1[[#This Row],[ItemsInCart]]</f>
        <v>625.51</v>
      </c>
    </row>
    <row r="957" spans="1:19" x14ac:dyDescent="0.3">
      <c r="A957" t="s">
        <v>443</v>
      </c>
      <c r="B957" s="1">
        <v>45645</v>
      </c>
      <c r="C957" t="s">
        <v>1643</v>
      </c>
      <c r="D957" t="s">
        <v>2407</v>
      </c>
      <c r="E957">
        <v>4</v>
      </c>
      <c r="F95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>
        <v>9</v>
      </c>
      <c r="L957" t="s">
        <v>4275</v>
      </c>
      <c r="M957" t="s">
        <v>4281</v>
      </c>
      <c r="N957" s="5">
        <v>2060.7600000000002</v>
      </c>
      <c r="O957" t="str">
        <f>IF(ABS(Table1[[#This Row],[TotalPrice]]-Table1[[#This Row],[Quantity]]*Table1[[#This Row],[UnitPrice]]) &lt;0.01, "ok",)</f>
        <v>ok</v>
      </c>
      <c r="P957" t="str">
        <f>PROPER(TRIM(Table1[[#This Row],[ShippingAddress]]))</f>
        <v>522 Main St</v>
      </c>
      <c r="Q957" t="str">
        <f>PROPER(TRIM((Table1[[#This Row],[PaymentMethod]])))</f>
        <v>Credit Card</v>
      </c>
      <c r="R957" t="str">
        <f>PROPER(TRIM(Table1[[#This Row],[ReferralSource]]))</f>
        <v>Facebook</v>
      </c>
      <c r="S957" s="5">
        <f>Table1[[#This Row],[TotalPrice]]/Table1[[#This Row],[ItemsInCart]]</f>
        <v>228.97333333333336</v>
      </c>
    </row>
    <row r="958" spans="1:19" x14ac:dyDescent="0.3">
      <c r="A958" t="s">
        <v>627</v>
      </c>
      <c r="B958" s="1">
        <v>45645</v>
      </c>
      <c r="C958" t="s">
        <v>1826</v>
      </c>
      <c r="D958" t="s">
        <v>2408</v>
      </c>
      <c r="E958">
        <v>2</v>
      </c>
      <c r="F958">
        <v>230.36</v>
      </c>
      <c r="G958" t="s">
        <v>2842</v>
      </c>
      <c r="H958" t="s">
        <v>3066</v>
      </c>
      <c r="I958" t="s">
        <v>3072</v>
      </c>
      <c r="J958" t="s">
        <v>3688</v>
      </c>
      <c r="K958">
        <v>4</v>
      </c>
      <c r="L958" t="s">
        <v>4277</v>
      </c>
      <c r="M958" t="s">
        <v>4280</v>
      </c>
      <c r="N958" s="5">
        <v>460.72</v>
      </c>
      <c r="O958" t="str">
        <f>IF(ABS(Table1[[#This Row],[TotalPrice]]-Table1[[#This Row],[Quantity]]*Table1[[#This Row],[UnitPrice]]) &lt;0.01, "ok",)</f>
        <v>ok</v>
      </c>
      <c r="P958" t="str">
        <f>PROPER(TRIM(Table1[[#This Row],[ShippingAddress]]))</f>
        <v>154 Main St</v>
      </c>
      <c r="Q958" t="str">
        <f>PROPER(TRIM((Table1[[#This Row],[PaymentMethod]])))</f>
        <v>Online</v>
      </c>
      <c r="R958" t="str">
        <f>PROPER(TRIM(Table1[[#This Row],[ReferralSource]]))</f>
        <v>Email</v>
      </c>
      <c r="S958" s="5">
        <f>Table1[[#This Row],[TotalPrice]]/Table1[[#This Row],[ItemsInCart]]</f>
        <v>115.18</v>
      </c>
    </row>
    <row r="959" spans="1:19" x14ac:dyDescent="0.3">
      <c r="A959" t="s">
        <v>678</v>
      </c>
      <c r="B959" s="1">
        <v>45645</v>
      </c>
      <c r="C959" t="s">
        <v>1450</v>
      </c>
      <c r="D959" t="s">
        <v>2408</v>
      </c>
      <c r="E959">
        <v>4</v>
      </c>
      <c r="F959">
        <v>194.75</v>
      </c>
      <c r="G959" t="s">
        <v>2865</v>
      </c>
      <c r="H959" t="s">
        <v>3069</v>
      </c>
      <c r="I959" t="s">
        <v>3070</v>
      </c>
      <c r="J959" t="s">
        <v>3739</v>
      </c>
      <c r="K959">
        <v>5</v>
      </c>
      <c r="L959" t="s">
        <v>4283</v>
      </c>
      <c r="M959" t="s">
        <v>4281</v>
      </c>
      <c r="N959" s="5">
        <v>779</v>
      </c>
      <c r="O959" t="str">
        <f>IF(ABS(Table1[[#This Row],[TotalPrice]]-Table1[[#This Row],[Quantity]]*Table1[[#This Row],[UnitPrice]]) &lt;0.01, "ok",)</f>
        <v>ok</v>
      </c>
      <c r="P959" t="str">
        <f>PROPER(TRIM(Table1[[#This Row],[ShippingAddress]]))</f>
        <v>188 Main St</v>
      </c>
      <c r="Q959" t="str">
        <f>PROPER(TRIM((Table1[[#This Row],[PaymentMethod]])))</f>
        <v>Cash</v>
      </c>
      <c r="R959" t="str">
        <f>PROPER(TRIM(Table1[[#This Row],[ReferralSource]]))</f>
        <v>Facebook</v>
      </c>
      <c r="S959" s="5">
        <f>Table1[[#This Row],[TotalPrice]]/Table1[[#This Row],[ItemsInCart]]</f>
        <v>155.80000000000001</v>
      </c>
    </row>
    <row r="960" spans="1:19" x14ac:dyDescent="0.3">
      <c r="A960" t="s">
        <v>901</v>
      </c>
      <c r="B960" s="1">
        <v>45645</v>
      </c>
      <c r="C960" t="s">
        <v>2097</v>
      </c>
      <c r="D960" t="s">
        <v>2406</v>
      </c>
      <c r="E960">
        <v>3</v>
      </c>
      <c r="F960">
        <v>171.66</v>
      </c>
      <c r="G960" t="s">
        <v>2971</v>
      </c>
      <c r="H960" t="s">
        <v>3065</v>
      </c>
      <c r="I960" t="s">
        <v>3073</v>
      </c>
      <c r="J960" t="s">
        <v>3962</v>
      </c>
      <c r="K960">
        <v>7</v>
      </c>
      <c r="L960" t="s">
        <v>4283</v>
      </c>
      <c r="M960" t="s">
        <v>4282</v>
      </c>
      <c r="N960" s="5">
        <v>514.98</v>
      </c>
      <c r="O960" t="str">
        <f>IF(ABS(Table1[[#This Row],[TotalPrice]]-Table1[[#This Row],[Quantity]]*Table1[[#This Row],[UnitPrice]]) &lt;0.01, "ok",)</f>
        <v>ok</v>
      </c>
      <c r="P960" t="str">
        <f>PROPER(TRIM(Table1[[#This Row],[ShippingAddress]]))</f>
        <v>857 Main St</v>
      </c>
      <c r="Q960" t="str">
        <f>PROPER(TRIM((Table1[[#This Row],[PaymentMethod]])))</f>
        <v>Debit Card</v>
      </c>
      <c r="R960" t="str">
        <f>PROPER(TRIM(Table1[[#This Row],[ReferralSource]]))</f>
        <v>Google</v>
      </c>
      <c r="S960" s="5">
        <f>Table1[[#This Row],[TotalPrice]]/Table1[[#This Row],[ItemsInCart]]</f>
        <v>73.568571428571431</v>
      </c>
    </row>
    <row r="961" spans="1:19" x14ac:dyDescent="0.3">
      <c r="A961" t="s">
        <v>939</v>
      </c>
      <c r="B961" s="1">
        <v>45646</v>
      </c>
      <c r="C961" t="s">
        <v>2135</v>
      </c>
      <c r="D961" t="s">
        <v>2403</v>
      </c>
      <c r="E961">
        <v>5</v>
      </c>
      <c r="F961">
        <v>502.47</v>
      </c>
      <c r="G961" t="s">
        <v>2733</v>
      </c>
      <c r="H961" t="s">
        <v>3066</v>
      </c>
      <c r="I961" t="s">
        <v>3070</v>
      </c>
      <c r="J961" t="s">
        <v>4000</v>
      </c>
      <c r="K961">
        <v>10</v>
      </c>
      <c r="L961" t="s">
        <v>4277</v>
      </c>
      <c r="M961" t="s">
        <v>4280</v>
      </c>
      <c r="N961" s="5">
        <v>2512.35</v>
      </c>
      <c r="O961" t="str">
        <f>IF(ABS(Table1[[#This Row],[TotalPrice]]-Table1[[#This Row],[Quantity]]*Table1[[#This Row],[UnitPrice]]) &lt;0.01, "ok",)</f>
        <v>ok</v>
      </c>
      <c r="P961" t="str">
        <f>PROPER(TRIM(Table1[[#This Row],[ShippingAddress]]))</f>
        <v>304 Main St</v>
      </c>
      <c r="Q961" t="str">
        <f>PROPER(TRIM((Table1[[#This Row],[PaymentMethod]])))</f>
        <v>Online</v>
      </c>
      <c r="R961" t="str">
        <f>PROPER(TRIM(Table1[[#This Row],[ReferralSource]]))</f>
        <v>Email</v>
      </c>
      <c r="S961" s="5">
        <f>Table1[[#This Row],[TotalPrice]]/Table1[[#This Row],[ItemsInCart]]</f>
        <v>251.23499999999999</v>
      </c>
    </row>
    <row r="962" spans="1:19" x14ac:dyDescent="0.3">
      <c r="A962" t="s">
        <v>86</v>
      </c>
      <c r="B962" s="1">
        <v>45648</v>
      </c>
      <c r="C962" t="s">
        <v>1286</v>
      </c>
      <c r="D962" t="s">
        <v>2405</v>
      </c>
      <c r="E962">
        <v>4</v>
      </c>
      <c r="F962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>
        <v>5</v>
      </c>
      <c r="L962" t="s">
        <v>4283</v>
      </c>
      <c r="M962" t="s">
        <v>4281</v>
      </c>
      <c r="N962" s="5">
        <v>2357.7600000000002</v>
      </c>
      <c r="O962" t="str">
        <f>IF(ABS(Table1[[#This Row],[TotalPrice]]-Table1[[#This Row],[Quantity]]*Table1[[#This Row],[UnitPrice]]) &lt;0.01, "ok",)</f>
        <v>ok</v>
      </c>
      <c r="P962" t="str">
        <f>PROPER(TRIM(Table1[[#This Row],[ShippingAddress]]))</f>
        <v>942 Main St</v>
      </c>
      <c r="Q962" t="str">
        <f>PROPER(TRIM((Table1[[#This Row],[PaymentMethod]])))</f>
        <v>Gift Card</v>
      </c>
      <c r="R962" t="str">
        <f>PROPER(TRIM(Table1[[#This Row],[ReferralSource]]))</f>
        <v>Facebook</v>
      </c>
      <c r="S962" s="5">
        <f>Table1[[#This Row],[TotalPrice]]/Table1[[#This Row],[ItemsInCart]]</f>
        <v>471.55200000000002</v>
      </c>
    </row>
    <row r="963" spans="1:19" x14ac:dyDescent="0.3">
      <c r="A963" t="s">
        <v>383</v>
      </c>
      <c r="B963" s="1">
        <v>45648</v>
      </c>
      <c r="C963" t="s">
        <v>1583</v>
      </c>
      <c r="D963" t="s">
        <v>2403</v>
      </c>
      <c r="E963">
        <v>5</v>
      </c>
      <c r="F963">
        <v>375.25</v>
      </c>
      <c r="G963" t="s">
        <v>2717</v>
      </c>
      <c r="H963" t="s">
        <v>3068</v>
      </c>
      <c r="I963" t="s">
        <v>3074</v>
      </c>
      <c r="J963" t="s">
        <v>3444</v>
      </c>
      <c r="K963">
        <v>9</v>
      </c>
      <c r="L963" t="s">
        <v>4275</v>
      </c>
      <c r="M963" t="s">
        <v>4280</v>
      </c>
      <c r="N963" s="5">
        <v>1876.25</v>
      </c>
      <c r="O963" t="str">
        <f>IF(ABS(Table1[[#This Row],[TotalPrice]]-Table1[[#This Row],[Quantity]]*Table1[[#This Row],[UnitPrice]]) &lt;0.01, "ok",)</f>
        <v>ok</v>
      </c>
      <c r="P963" t="str">
        <f>PROPER(TRIM(Table1[[#This Row],[ShippingAddress]]))</f>
        <v>216 Main St</v>
      </c>
      <c r="Q963" t="str">
        <f>PROPER(TRIM((Table1[[#This Row],[PaymentMethod]])))</f>
        <v>Gift Card</v>
      </c>
      <c r="R963" t="str">
        <f>PROPER(TRIM(Table1[[#This Row],[ReferralSource]]))</f>
        <v>Email</v>
      </c>
      <c r="S963" s="5">
        <f>Table1[[#This Row],[TotalPrice]]/Table1[[#This Row],[ItemsInCart]]</f>
        <v>208.47222222222223</v>
      </c>
    </row>
    <row r="964" spans="1:19" x14ac:dyDescent="0.3">
      <c r="A964" t="s">
        <v>1183</v>
      </c>
      <c r="B964" s="1">
        <v>45649</v>
      </c>
      <c r="C964" t="s">
        <v>2372</v>
      </c>
      <c r="D964" t="s">
        <v>2406</v>
      </c>
      <c r="E964">
        <v>1</v>
      </c>
      <c r="F964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>
        <v>2</v>
      </c>
      <c r="L964" t="s">
        <v>4275</v>
      </c>
      <c r="M964" t="s">
        <v>4278</v>
      </c>
      <c r="N964" s="5">
        <v>525.42999999999995</v>
      </c>
      <c r="O964" t="str">
        <f>IF(ABS(Table1[[#This Row],[TotalPrice]]-Table1[[#This Row],[Quantity]]*Table1[[#This Row],[UnitPrice]]) &lt;0.01, "ok",)</f>
        <v>ok</v>
      </c>
      <c r="P964" t="str">
        <f>PROPER(TRIM(Table1[[#This Row],[ShippingAddress]]))</f>
        <v>643 Main St</v>
      </c>
      <c r="Q964" t="str">
        <f>PROPER(TRIM((Table1[[#This Row],[PaymentMethod]])))</f>
        <v>Cash</v>
      </c>
      <c r="R964" t="str">
        <f>PROPER(TRIM(Table1[[#This Row],[ReferralSource]]))</f>
        <v>Instagram</v>
      </c>
      <c r="S964" s="5">
        <f>Table1[[#This Row],[TotalPrice]]/Table1[[#This Row],[ItemsInCart]]</f>
        <v>262.71499999999997</v>
      </c>
    </row>
    <row r="965" spans="1:19" x14ac:dyDescent="0.3">
      <c r="A965" t="s">
        <v>1047</v>
      </c>
      <c r="B965" s="1">
        <v>45650</v>
      </c>
      <c r="C965" t="s">
        <v>2239</v>
      </c>
      <c r="D965" t="s">
        <v>2403</v>
      </c>
      <c r="E965">
        <v>1</v>
      </c>
      <c r="F965">
        <v>370.85</v>
      </c>
      <c r="G965" t="s">
        <v>3007</v>
      </c>
      <c r="H965" t="s">
        <v>3068</v>
      </c>
      <c r="I965" t="s">
        <v>3073</v>
      </c>
      <c r="J965" t="s">
        <v>4108</v>
      </c>
      <c r="K965">
        <v>2</v>
      </c>
      <c r="L965" t="s">
        <v>4276</v>
      </c>
      <c r="M965" t="s">
        <v>4279</v>
      </c>
      <c r="N965" s="5">
        <v>370.85</v>
      </c>
      <c r="O965" t="str">
        <f>IF(ABS(Table1[[#This Row],[TotalPrice]]-Table1[[#This Row],[Quantity]]*Table1[[#This Row],[UnitPrice]]) &lt;0.01, "ok",)</f>
        <v>ok</v>
      </c>
      <c r="P965" t="str">
        <f>PROPER(TRIM(Table1[[#This Row],[ShippingAddress]]))</f>
        <v>331 Main St</v>
      </c>
      <c r="Q965" t="str">
        <f>PROPER(TRIM((Table1[[#This Row],[PaymentMethod]])))</f>
        <v>Gift Card</v>
      </c>
      <c r="R965" t="str">
        <f>PROPER(TRIM(Table1[[#This Row],[ReferralSource]]))</f>
        <v>Referral</v>
      </c>
      <c r="S965" s="5">
        <f>Table1[[#This Row],[TotalPrice]]/Table1[[#This Row],[ItemsInCart]]</f>
        <v>185.42500000000001</v>
      </c>
    </row>
    <row r="966" spans="1:19" x14ac:dyDescent="0.3">
      <c r="A966" t="s">
        <v>343</v>
      </c>
      <c r="B966" s="1">
        <v>45651</v>
      </c>
      <c r="C966" t="s">
        <v>1543</v>
      </c>
      <c r="D966" t="s">
        <v>2406</v>
      </c>
      <c r="E966">
        <v>4</v>
      </c>
      <c r="F966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>
        <v>6</v>
      </c>
      <c r="L966" t="s">
        <v>4283</v>
      </c>
      <c r="M966" t="s">
        <v>4282</v>
      </c>
      <c r="N966" s="5">
        <v>1132.6400000000001</v>
      </c>
      <c r="O966" t="str">
        <f>IF(ABS(Table1[[#This Row],[TotalPrice]]-Table1[[#This Row],[Quantity]]*Table1[[#This Row],[UnitPrice]]) &lt;0.01, "ok",)</f>
        <v>ok</v>
      </c>
      <c r="P966" t="str">
        <f>PROPER(TRIM(Table1[[#This Row],[ShippingAddress]]))</f>
        <v>306 Main St</v>
      </c>
      <c r="Q966" t="str">
        <f>PROPER(TRIM((Table1[[#This Row],[PaymentMethod]])))</f>
        <v>Credit Card</v>
      </c>
      <c r="R966" t="str">
        <f>PROPER(TRIM(Table1[[#This Row],[ReferralSource]]))</f>
        <v>Google</v>
      </c>
      <c r="S966" s="5">
        <f>Table1[[#This Row],[TotalPrice]]/Table1[[#This Row],[ItemsInCart]]</f>
        <v>188.77333333333334</v>
      </c>
    </row>
    <row r="967" spans="1:19" x14ac:dyDescent="0.3">
      <c r="A967" t="s">
        <v>1111</v>
      </c>
      <c r="B967" s="1">
        <v>45652</v>
      </c>
      <c r="C967" t="s">
        <v>2303</v>
      </c>
      <c r="D967" t="s">
        <v>2403</v>
      </c>
      <c r="E967">
        <v>5</v>
      </c>
      <c r="F967">
        <v>506.45</v>
      </c>
      <c r="G967" t="s">
        <v>3030</v>
      </c>
      <c r="H967" t="s">
        <v>3068</v>
      </c>
      <c r="I967" t="s">
        <v>3070</v>
      </c>
      <c r="J967" t="s">
        <v>4172</v>
      </c>
      <c r="K967">
        <v>7</v>
      </c>
      <c r="L967" t="s">
        <v>4277</v>
      </c>
      <c r="M967" t="s">
        <v>4282</v>
      </c>
      <c r="N967" s="5">
        <v>2532.25</v>
      </c>
      <c r="O967" t="str">
        <f>IF(ABS(Table1[[#This Row],[TotalPrice]]-Table1[[#This Row],[Quantity]]*Table1[[#This Row],[UnitPrice]]) &lt;0.01, "ok",)</f>
        <v>ok</v>
      </c>
      <c r="P967" t="str">
        <f>PROPER(TRIM(Table1[[#This Row],[ShippingAddress]]))</f>
        <v>344 Main St</v>
      </c>
      <c r="Q967" t="str">
        <f>PROPER(TRIM((Table1[[#This Row],[PaymentMethod]])))</f>
        <v>Gift Card</v>
      </c>
      <c r="R967" t="str">
        <f>PROPER(TRIM(Table1[[#This Row],[ReferralSource]]))</f>
        <v>Google</v>
      </c>
      <c r="S967" s="5">
        <f>Table1[[#This Row],[TotalPrice]]/Table1[[#This Row],[ItemsInCart]]</f>
        <v>361.75</v>
      </c>
    </row>
    <row r="968" spans="1:19" x14ac:dyDescent="0.3">
      <c r="A968" t="s">
        <v>584</v>
      </c>
      <c r="B968" s="1">
        <v>45653</v>
      </c>
      <c r="C968" t="s">
        <v>1784</v>
      </c>
      <c r="D968" t="s">
        <v>2409</v>
      </c>
      <c r="E968">
        <v>2</v>
      </c>
      <c r="F968">
        <v>362.14</v>
      </c>
      <c r="G968" t="s">
        <v>2518</v>
      </c>
      <c r="H968" t="s">
        <v>3065</v>
      </c>
      <c r="I968" t="s">
        <v>3074</v>
      </c>
      <c r="J968" t="s">
        <v>3645</v>
      </c>
      <c r="K968">
        <v>2</v>
      </c>
      <c r="L968" t="s">
        <v>4275</v>
      </c>
      <c r="M968" t="s">
        <v>4278</v>
      </c>
      <c r="N968" s="5">
        <v>724.28</v>
      </c>
      <c r="O968" t="str">
        <f>IF(ABS(Table1[[#This Row],[TotalPrice]]-Table1[[#This Row],[Quantity]]*Table1[[#This Row],[UnitPrice]]) &lt;0.01, "ok",)</f>
        <v>ok</v>
      </c>
      <c r="P968" t="str">
        <f>PROPER(TRIM(Table1[[#This Row],[ShippingAddress]]))</f>
        <v>122 Main St</v>
      </c>
      <c r="Q968" t="str">
        <f>PROPER(TRIM((Table1[[#This Row],[PaymentMethod]])))</f>
        <v>Debit Card</v>
      </c>
      <c r="R968" t="str">
        <f>PROPER(TRIM(Table1[[#This Row],[ReferralSource]]))</f>
        <v>Instagram</v>
      </c>
      <c r="S968" s="5">
        <f>Table1[[#This Row],[TotalPrice]]/Table1[[#This Row],[ItemsInCart]]</f>
        <v>362.14</v>
      </c>
    </row>
    <row r="969" spans="1:19" x14ac:dyDescent="0.3">
      <c r="A969" t="s">
        <v>122</v>
      </c>
      <c r="B969" s="1">
        <v>45654</v>
      </c>
      <c r="C969" t="s">
        <v>1322</v>
      </c>
      <c r="D969" t="s">
        <v>2408</v>
      </c>
      <c r="E969">
        <v>5</v>
      </c>
      <c r="F969">
        <v>48.38</v>
      </c>
      <c r="G969" t="s">
        <v>2511</v>
      </c>
      <c r="H969" t="s">
        <v>3068</v>
      </c>
      <c r="I969" t="s">
        <v>3073</v>
      </c>
      <c r="J969" t="s">
        <v>3183</v>
      </c>
      <c r="K969">
        <v>9</v>
      </c>
      <c r="L969" t="s">
        <v>4277</v>
      </c>
      <c r="M969" t="s">
        <v>4280</v>
      </c>
      <c r="N969" s="5">
        <v>241.9</v>
      </c>
      <c r="O969" t="str">
        <f>IF(ABS(Table1[[#This Row],[TotalPrice]]-Table1[[#This Row],[Quantity]]*Table1[[#This Row],[UnitPrice]]) &lt;0.01, "ok",)</f>
        <v>ok</v>
      </c>
      <c r="P969" t="str">
        <f>PROPER(TRIM(Table1[[#This Row],[ShippingAddress]]))</f>
        <v>522 Main St</v>
      </c>
      <c r="Q969" t="str">
        <f>PROPER(TRIM((Table1[[#This Row],[PaymentMethod]])))</f>
        <v>Gift Card</v>
      </c>
      <c r="R969" t="str">
        <f>PROPER(TRIM(Table1[[#This Row],[ReferralSource]]))</f>
        <v>Email</v>
      </c>
      <c r="S969" s="5">
        <f>Table1[[#This Row],[TotalPrice]]/Table1[[#This Row],[ItemsInCart]]</f>
        <v>26.87777777777778</v>
      </c>
    </row>
    <row r="970" spans="1:19" x14ac:dyDescent="0.3">
      <c r="A970" t="s">
        <v>65</v>
      </c>
      <c r="B970" s="1">
        <v>45656</v>
      </c>
      <c r="C970" t="s">
        <v>1265</v>
      </c>
      <c r="D970" t="s">
        <v>2405</v>
      </c>
      <c r="E970">
        <v>1</v>
      </c>
      <c r="F970">
        <v>388.33</v>
      </c>
      <c r="G970" t="s">
        <v>2458</v>
      </c>
      <c r="H970" t="s">
        <v>3069</v>
      </c>
      <c r="I970" t="s">
        <v>3072</v>
      </c>
      <c r="J970" t="s">
        <v>3126</v>
      </c>
      <c r="K970">
        <v>2</v>
      </c>
      <c r="L970" t="s">
        <v>4275</v>
      </c>
      <c r="M970" t="s">
        <v>4281</v>
      </c>
      <c r="N970" s="5">
        <v>388.33</v>
      </c>
      <c r="O970" t="str">
        <f>IF(ABS(Table1[[#This Row],[TotalPrice]]-Table1[[#This Row],[Quantity]]*Table1[[#This Row],[UnitPrice]]) &lt;0.01, "ok",)</f>
        <v>ok</v>
      </c>
      <c r="P970" t="str">
        <f>PROPER(TRIM(Table1[[#This Row],[ShippingAddress]]))</f>
        <v>434 Main St</v>
      </c>
      <c r="Q970" t="str">
        <f>PROPER(TRIM((Table1[[#This Row],[PaymentMethod]])))</f>
        <v>Cash</v>
      </c>
      <c r="R970" t="str">
        <f>PROPER(TRIM(Table1[[#This Row],[ReferralSource]]))</f>
        <v>Facebook</v>
      </c>
      <c r="S970" s="5">
        <f>Table1[[#This Row],[TotalPrice]]/Table1[[#This Row],[ItemsInCart]]</f>
        <v>194.16499999999999</v>
      </c>
    </row>
    <row r="971" spans="1:19" x14ac:dyDescent="0.3">
      <c r="A971" t="s">
        <v>422</v>
      </c>
      <c r="B971" s="1">
        <v>45658</v>
      </c>
      <c r="C971" t="s">
        <v>1622</v>
      </c>
      <c r="D971" t="s">
        <v>2407</v>
      </c>
      <c r="E971">
        <v>3</v>
      </c>
      <c r="F971">
        <v>412.53</v>
      </c>
      <c r="G971" t="s">
        <v>2735</v>
      </c>
      <c r="H971" t="s">
        <v>3066</v>
      </c>
      <c r="I971" t="s">
        <v>3074</v>
      </c>
      <c r="J971" t="s">
        <v>3483</v>
      </c>
      <c r="K971">
        <v>6</v>
      </c>
      <c r="L971" t="s">
        <v>4277</v>
      </c>
      <c r="M971" t="s">
        <v>4282</v>
      </c>
      <c r="N971" s="5">
        <v>1237.5899999999999</v>
      </c>
      <c r="O971" t="str">
        <f>IF(ABS(Table1[[#This Row],[TotalPrice]]-Table1[[#This Row],[Quantity]]*Table1[[#This Row],[UnitPrice]]) &lt;0.01, "ok",)</f>
        <v>ok</v>
      </c>
      <c r="P971" t="str">
        <f>PROPER(TRIM(Table1[[#This Row],[ShippingAddress]]))</f>
        <v>536 Main St</v>
      </c>
      <c r="Q971" t="str">
        <f>PROPER(TRIM((Table1[[#This Row],[PaymentMethod]])))</f>
        <v>Online</v>
      </c>
      <c r="R971" t="str">
        <f>PROPER(TRIM(Table1[[#This Row],[ReferralSource]]))</f>
        <v>Google</v>
      </c>
      <c r="S971" s="5">
        <f>Table1[[#This Row],[TotalPrice]]/Table1[[#This Row],[ItemsInCart]]</f>
        <v>206.26499999999999</v>
      </c>
    </row>
    <row r="972" spans="1:19" x14ac:dyDescent="0.3">
      <c r="A972" t="s">
        <v>166</v>
      </c>
      <c r="B972" s="1">
        <v>45659</v>
      </c>
      <c r="C972" t="s">
        <v>1366</v>
      </c>
      <c r="D972" t="s">
        <v>2406</v>
      </c>
      <c r="E972">
        <v>2</v>
      </c>
      <c r="F972">
        <v>399.04</v>
      </c>
      <c r="G972" t="s">
        <v>2551</v>
      </c>
      <c r="H972" t="s">
        <v>3069</v>
      </c>
      <c r="I972" t="s">
        <v>3071</v>
      </c>
      <c r="J972" t="s">
        <v>3227</v>
      </c>
      <c r="K972">
        <v>3</v>
      </c>
      <c r="L972" t="s">
        <v>4276</v>
      </c>
      <c r="M972" t="s">
        <v>4279</v>
      </c>
      <c r="N972" s="5">
        <v>798.08</v>
      </c>
      <c r="O972" t="str">
        <f>IF(ABS(Table1[[#This Row],[TotalPrice]]-Table1[[#This Row],[Quantity]]*Table1[[#This Row],[UnitPrice]]) &lt;0.01, "ok",)</f>
        <v>ok</v>
      </c>
      <c r="P972" t="str">
        <f>PROPER(TRIM(Table1[[#This Row],[ShippingAddress]]))</f>
        <v>659 Main St</v>
      </c>
      <c r="Q972" t="str">
        <f>PROPER(TRIM((Table1[[#This Row],[PaymentMethod]])))</f>
        <v>Cash</v>
      </c>
      <c r="R972" t="str">
        <f>PROPER(TRIM(Table1[[#This Row],[ReferralSource]]))</f>
        <v>Referral</v>
      </c>
      <c r="S972" s="5">
        <f>Table1[[#This Row],[TotalPrice]]/Table1[[#This Row],[ItemsInCart]]</f>
        <v>266.0266666666667</v>
      </c>
    </row>
    <row r="973" spans="1:19" x14ac:dyDescent="0.3">
      <c r="A973" t="s">
        <v>1161</v>
      </c>
      <c r="B973" s="1">
        <v>45659</v>
      </c>
      <c r="C973" t="s">
        <v>2350</v>
      </c>
      <c r="D973" t="s">
        <v>2406</v>
      </c>
      <c r="E973">
        <v>2</v>
      </c>
      <c r="F973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>
        <v>2</v>
      </c>
      <c r="L973" t="s">
        <v>4276</v>
      </c>
      <c r="M973" t="s">
        <v>4280</v>
      </c>
      <c r="N973" s="5">
        <v>1176.5999999999999</v>
      </c>
      <c r="O973" t="str">
        <f>IF(ABS(Table1[[#This Row],[TotalPrice]]-Table1[[#This Row],[Quantity]]*Table1[[#This Row],[UnitPrice]]) &lt;0.01, "ok",)</f>
        <v>ok</v>
      </c>
      <c r="P973" t="str">
        <f>PROPER(TRIM(Table1[[#This Row],[ShippingAddress]]))</f>
        <v>234 Main St</v>
      </c>
      <c r="Q973" t="str">
        <f>PROPER(TRIM((Table1[[#This Row],[PaymentMethod]])))</f>
        <v>Online</v>
      </c>
      <c r="R973" t="str">
        <f>PROPER(TRIM(Table1[[#This Row],[ReferralSource]]))</f>
        <v>Email</v>
      </c>
      <c r="S973" s="5">
        <f>Table1[[#This Row],[TotalPrice]]/Table1[[#This Row],[ItemsInCart]]</f>
        <v>588.29999999999995</v>
      </c>
    </row>
    <row r="974" spans="1:19" x14ac:dyDescent="0.3">
      <c r="A974" t="s">
        <v>225</v>
      </c>
      <c r="B974" s="1">
        <v>45660</v>
      </c>
      <c r="C974" t="s">
        <v>1425</v>
      </c>
      <c r="D974" t="s">
        <v>2407</v>
      </c>
      <c r="E974">
        <v>3</v>
      </c>
      <c r="F974">
        <v>193.58</v>
      </c>
      <c r="G974" t="s">
        <v>2594</v>
      </c>
      <c r="H974" t="s">
        <v>3068</v>
      </c>
      <c r="I974" t="s">
        <v>3074</v>
      </c>
      <c r="J974" t="s">
        <v>3286</v>
      </c>
      <c r="K974">
        <v>7</v>
      </c>
      <c r="L974" t="s">
        <v>4276</v>
      </c>
      <c r="M974" t="s">
        <v>4280</v>
      </c>
      <c r="N974" s="5">
        <v>580.74</v>
      </c>
      <c r="O974" t="str">
        <f>IF(ABS(Table1[[#This Row],[TotalPrice]]-Table1[[#This Row],[Quantity]]*Table1[[#This Row],[UnitPrice]]) &lt;0.01, "ok",)</f>
        <v>ok</v>
      </c>
      <c r="P974" t="str">
        <f>PROPER(TRIM(Table1[[#This Row],[ShippingAddress]]))</f>
        <v>185 Main St</v>
      </c>
      <c r="Q974" t="str">
        <f>PROPER(TRIM((Table1[[#This Row],[PaymentMethod]])))</f>
        <v>Gift Card</v>
      </c>
      <c r="R974" t="str">
        <f>PROPER(TRIM(Table1[[#This Row],[ReferralSource]]))</f>
        <v>Email</v>
      </c>
      <c r="S974" s="5">
        <f>Table1[[#This Row],[TotalPrice]]/Table1[[#This Row],[ItemsInCart]]</f>
        <v>82.962857142857146</v>
      </c>
    </row>
    <row r="975" spans="1:19" x14ac:dyDescent="0.3">
      <c r="A975" t="s">
        <v>452</v>
      </c>
      <c r="B975" s="1">
        <v>45660</v>
      </c>
      <c r="C975" t="s">
        <v>1652</v>
      </c>
      <c r="D975" t="s">
        <v>2405</v>
      </c>
      <c r="E975">
        <v>3</v>
      </c>
      <c r="F975">
        <v>459.34</v>
      </c>
      <c r="G975" t="s">
        <v>2752</v>
      </c>
      <c r="H975" t="s">
        <v>3068</v>
      </c>
      <c r="I975" t="s">
        <v>3074</v>
      </c>
      <c r="J975" t="s">
        <v>3513</v>
      </c>
      <c r="K975">
        <v>3</v>
      </c>
      <c r="L975" t="s">
        <v>4275</v>
      </c>
      <c r="M975" t="s">
        <v>4278</v>
      </c>
      <c r="N975" s="5">
        <v>1378.02</v>
      </c>
      <c r="O975" t="str">
        <f>IF(ABS(Table1[[#This Row],[TotalPrice]]-Table1[[#This Row],[Quantity]]*Table1[[#This Row],[UnitPrice]]) &lt;0.01, "ok",)</f>
        <v>ok</v>
      </c>
      <c r="P975" t="str">
        <f>PROPER(TRIM(Table1[[#This Row],[ShippingAddress]]))</f>
        <v>436 Main St</v>
      </c>
      <c r="Q975" t="str">
        <f>PROPER(TRIM((Table1[[#This Row],[PaymentMethod]])))</f>
        <v>Gift Card</v>
      </c>
      <c r="R975" t="str">
        <f>PROPER(TRIM(Table1[[#This Row],[ReferralSource]]))</f>
        <v>Instagram</v>
      </c>
      <c r="S975" s="5">
        <f>Table1[[#This Row],[TotalPrice]]/Table1[[#This Row],[ItemsInCart]]</f>
        <v>459.34</v>
      </c>
    </row>
    <row r="976" spans="1:19" x14ac:dyDescent="0.3">
      <c r="A976" t="s">
        <v>182</v>
      </c>
      <c r="B976" s="1">
        <v>45661</v>
      </c>
      <c r="C976" t="s">
        <v>1382</v>
      </c>
      <c r="D976" t="s">
        <v>2407</v>
      </c>
      <c r="E976">
        <v>1</v>
      </c>
      <c r="F976">
        <v>594.96</v>
      </c>
      <c r="G976" t="s">
        <v>2561</v>
      </c>
      <c r="H976" t="s">
        <v>3069</v>
      </c>
      <c r="I976" t="s">
        <v>3072</v>
      </c>
      <c r="J976" t="s">
        <v>3243</v>
      </c>
      <c r="K976">
        <v>6</v>
      </c>
      <c r="L976" t="s">
        <v>4283</v>
      </c>
      <c r="M976" t="s">
        <v>4281</v>
      </c>
      <c r="N976" s="5">
        <v>594.96</v>
      </c>
      <c r="O976" t="str">
        <f>IF(ABS(Table1[[#This Row],[TotalPrice]]-Table1[[#This Row],[Quantity]]*Table1[[#This Row],[UnitPrice]]) &lt;0.01, "ok",)</f>
        <v>ok</v>
      </c>
      <c r="P976" t="str">
        <f>PROPER(TRIM(Table1[[#This Row],[ShippingAddress]]))</f>
        <v>878 Main St</v>
      </c>
      <c r="Q976" t="str">
        <f>PROPER(TRIM((Table1[[#This Row],[PaymentMethod]])))</f>
        <v>Cash</v>
      </c>
      <c r="R976" t="str">
        <f>PROPER(TRIM(Table1[[#This Row],[ReferralSource]]))</f>
        <v>Facebook</v>
      </c>
      <c r="S976" s="5">
        <f>Table1[[#This Row],[TotalPrice]]/Table1[[#This Row],[ItemsInCart]]</f>
        <v>99.160000000000011</v>
      </c>
    </row>
    <row r="977" spans="1:19" x14ac:dyDescent="0.3">
      <c r="A977" t="s">
        <v>609</v>
      </c>
      <c r="B977" s="1">
        <v>45667</v>
      </c>
      <c r="C977" t="s">
        <v>1809</v>
      </c>
      <c r="D977" t="s">
        <v>2407</v>
      </c>
      <c r="E977">
        <v>2</v>
      </c>
      <c r="F977">
        <v>385.16</v>
      </c>
      <c r="G977" t="s">
        <v>2833</v>
      </c>
      <c r="H977" t="s">
        <v>3066</v>
      </c>
      <c r="I977" t="s">
        <v>3074</v>
      </c>
      <c r="J977" t="s">
        <v>3670</v>
      </c>
      <c r="K977">
        <v>7</v>
      </c>
      <c r="L977" t="s">
        <v>4275</v>
      </c>
      <c r="M977" t="s">
        <v>4280</v>
      </c>
      <c r="N977" s="5">
        <v>770.32</v>
      </c>
      <c r="O977" t="str">
        <f>IF(ABS(Table1[[#This Row],[TotalPrice]]-Table1[[#This Row],[Quantity]]*Table1[[#This Row],[UnitPrice]]) &lt;0.01, "ok",)</f>
        <v>ok</v>
      </c>
      <c r="P977" t="str">
        <f>PROPER(TRIM(Table1[[#This Row],[ShippingAddress]]))</f>
        <v>491 Main St</v>
      </c>
      <c r="Q977" t="str">
        <f>PROPER(TRIM((Table1[[#This Row],[PaymentMethod]])))</f>
        <v>Online</v>
      </c>
      <c r="R977" t="str">
        <f>PROPER(TRIM(Table1[[#This Row],[ReferralSource]]))</f>
        <v>Email</v>
      </c>
      <c r="S977" s="5">
        <f>Table1[[#This Row],[TotalPrice]]/Table1[[#This Row],[ItemsInCart]]</f>
        <v>110.0457142857143</v>
      </c>
    </row>
    <row r="978" spans="1:19" x14ac:dyDescent="0.3">
      <c r="A978" t="s">
        <v>1057</v>
      </c>
      <c r="B978" s="1">
        <v>45668</v>
      </c>
      <c r="C978" t="s">
        <v>2249</v>
      </c>
      <c r="D978" t="s">
        <v>2405</v>
      </c>
      <c r="E978">
        <v>2</v>
      </c>
      <c r="F978">
        <v>179.96</v>
      </c>
      <c r="G978" t="s">
        <v>2991</v>
      </c>
      <c r="H978" t="s">
        <v>3068</v>
      </c>
      <c r="I978" t="s">
        <v>3070</v>
      </c>
      <c r="J978" t="s">
        <v>4118</v>
      </c>
      <c r="K978">
        <v>5</v>
      </c>
      <c r="L978" t="s">
        <v>4283</v>
      </c>
      <c r="M978" t="s">
        <v>4278</v>
      </c>
      <c r="N978" s="5">
        <v>359.92</v>
      </c>
      <c r="O978" t="str">
        <f>IF(ABS(Table1[[#This Row],[TotalPrice]]-Table1[[#This Row],[Quantity]]*Table1[[#This Row],[UnitPrice]]) &lt;0.01, "ok",)</f>
        <v>ok</v>
      </c>
      <c r="P978" t="str">
        <f>PROPER(TRIM(Table1[[#This Row],[ShippingAddress]]))</f>
        <v>675 Main St</v>
      </c>
      <c r="Q978" t="str">
        <f>PROPER(TRIM((Table1[[#This Row],[PaymentMethod]])))</f>
        <v>Gift Card</v>
      </c>
      <c r="R978" t="str">
        <f>PROPER(TRIM(Table1[[#This Row],[ReferralSource]]))</f>
        <v>Instagram</v>
      </c>
      <c r="S978" s="5">
        <f>Table1[[#This Row],[TotalPrice]]/Table1[[#This Row],[ItemsInCart]]</f>
        <v>71.984000000000009</v>
      </c>
    </row>
    <row r="979" spans="1:19" x14ac:dyDescent="0.3">
      <c r="A979" t="s">
        <v>306</v>
      </c>
      <c r="B979" s="1">
        <v>45672</v>
      </c>
      <c r="C979" t="s">
        <v>1506</v>
      </c>
      <c r="D979" t="s">
        <v>2403</v>
      </c>
      <c r="E979">
        <v>1</v>
      </c>
      <c r="F979">
        <v>65.95</v>
      </c>
      <c r="G979" t="s">
        <v>2594</v>
      </c>
      <c r="H979" t="s">
        <v>3067</v>
      </c>
      <c r="I979" t="s">
        <v>3073</v>
      </c>
      <c r="J979" t="s">
        <v>3367</v>
      </c>
      <c r="K979">
        <v>5</v>
      </c>
      <c r="L979" t="s">
        <v>4283</v>
      </c>
      <c r="M979" t="s">
        <v>4281</v>
      </c>
      <c r="N979" s="5">
        <v>65.95</v>
      </c>
      <c r="O979" t="str">
        <f>IF(ABS(Table1[[#This Row],[TotalPrice]]-Table1[[#This Row],[Quantity]]*Table1[[#This Row],[UnitPrice]]) &lt;0.01, "ok",)</f>
        <v>ok</v>
      </c>
      <c r="P979" t="str">
        <f>PROPER(TRIM(Table1[[#This Row],[ShippingAddress]]))</f>
        <v>185 Main St</v>
      </c>
      <c r="Q979" t="str">
        <f>PROPER(TRIM((Table1[[#This Row],[PaymentMethod]])))</f>
        <v>Credit Card</v>
      </c>
      <c r="R979" t="str">
        <f>PROPER(TRIM(Table1[[#This Row],[ReferralSource]]))</f>
        <v>Facebook</v>
      </c>
      <c r="S979" s="5">
        <f>Table1[[#This Row],[TotalPrice]]/Table1[[#This Row],[ItemsInCart]]</f>
        <v>13.190000000000001</v>
      </c>
    </row>
    <row r="980" spans="1:19" x14ac:dyDescent="0.3">
      <c r="A980" t="s">
        <v>389</v>
      </c>
      <c r="B980" s="1">
        <v>45673</v>
      </c>
      <c r="C980" t="s">
        <v>1589</v>
      </c>
      <c r="D980" t="s">
        <v>2403</v>
      </c>
      <c r="E980">
        <v>4</v>
      </c>
      <c r="F980">
        <v>95.03</v>
      </c>
      <c r="G980" t="s">
        <v>2721</v>
      </c>
      <c r="H980" t="s">
        <v>3066</v>
      </c>
      <c r="I980" t="s">
        <v>3070</v>
      </c>
      <c r="J980" t="s">
        <v>3450</v>
      </c>
      <c r="K980">
        <v>8</v>
      </c>
      <c r="L980" t="s">
        <v>4276</v>
      </c>
      <c r="M980" t="s">
        <v>4281</v>
      </c>
      <c r="N980" s="5">
        <v>380.12</v>
      </c>
      <c r="O980" t="str">
        <f>IF(ABS(Table1[[#This Row],[TotalPrice]]-Table1[[#This Row],[Quantity]]*Table1[[#This Row],[UnitPrice]]) &lt;0.01, "ok",)</f>
        <v>ok</v>
      </c>
      <c r="P980" t="str">
        <f>PROPER(TRIM(Table1[[#This Row],[ShippingAddress]]))</f>
        <v>400 Main St</v>
      </c>
      <c r="Q980" t="str">
        <f>PROPER(TRIM((Table1[[#This Row],[PaymentMethod]])))</f>
        <v>Online</v>
      </c>
      <c r="R980" t="str">
        <f>PROPER(TRIM(Table1[[#This Row],[ReferralSource]]))</f>
        <v>Facebook</v>
      </c>
      <c r="S980" s="5">
        <f>Table1[[#This Row],[TotalPrice]]/Table1[[#This Row],[ItemsInCart]]</f>
        <v>47.515000000000001</v>
      </c>
    </row>
    <row r="981" spans="1:19" x14ac:dyDescent="0.3">
      <c r="A981" t="s">
        <v>405</v>
      </c>
      <c r="B981" s="1">
        <v>45673</v>
      </c>
      <c r="C981" t="s">
        <v>1605</v>
      </c>
      <c r="D981" t="s">
        <v>2408</v>
      </c>
      <c r="E981">
        <v>2</v>
      </c>
      <c r="F981">
        <v>527.46</v>
      </c>
      <c r="G981" t="s">
        <v>2654</v>
      </c>
      <c r="H981" t="s">
        <v>3065</v>
      </c>
      <c r="I981" t="s">
        <v>3071</v>
      </c>
      <c r="J981" t="s">
        <v>3466</v>
      </c>
      <c r="K981">
        <v>3</v>
      </c>
      <c r="L981" t="s">
        <v>4276</v>
      </c>
      <c r="M981" t="s">
        <v>4279</v>
      </c>
      <c r="N981" s="5">
        <v>1054.92</v>
      </c>
      <c r="O981" t="str">
        <f>IF(ABS(Table1[[#This Row],[TotalPrice]]-Table1[[#This Row],[Quantity]]*Table1[[#This Row],[UnitPrice]]) &lt;0.01, "ok",)</f>
        <v>ok</v>
      </c>
      <c r="P981" t="str">
        <f>PROPER(TRIM(Table1[[#This Row],[ShippingAddress]]))</f>
        <v>516 Main St</v>
      </c>
      <c r="Q981" t="str">
        <f>PROPER(TRIM((Table1[[#This Row],[PaymentMethod]])))</f>
        <v>Debit Card</v>
      </c>
      <c r="R981" t="str">
        <f>PROPER(TRIM(Table1[[#This Row],[ReferralSource]]))</f>
        <v>Referral</v>
      </c>
      <c r="S981" s="5">
        <f>Table1[[#This Row],[TotalPrice]]/Table1[[#This Row],[ItemsInCart]]</f>
        <v>351.64000000000004</v>
      </c>
    </row>
    <row r="982" spans="1:19" x14ac:dyDescent="0.3">
      <c r="A982" t="s">
        <v>662</v>
      </c>
      <c r="B982" s="1">
        <v>45675</v>
      </c>
      <c r="C982" t="s">
        <v>1861</v>
      </c>
      <c r="D982" t="s">
        <v>2403</v>
      </c>
      <c r="E982">
        <v>2</v>
      </c>
      <c r="F982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>
        <v>3</v>
      </c>
      <c r="L982" t="s">
        <v>4277</v>
      </c>
      <c r="M982" t="s">
        <v>4279</v>
      </c>
      <c r="N982" s="5">
        <v>1151.6600000000001</v>
      </c>
      <c r="O982" t="str">
        <f>IF(ABS(Table1[[#This Row],[TotalPrice]]-Table1[[#This Row],[Quantity]]*Table1[[#This Row],[UnitPrice]]) &lt;0.01, "ok",)</f>
        <v>ok</v>
      </c>
      <c r="P982" t="str">
        <f>PROPER(TRIM(Table1[[#This Row],[ShippingAddress]]))</f>
        <v>182 Main St</v>
      </c>
      <c r="Q982" t="str">
        <f>PROPER(TRIM((Table1[[#This Row],[PaymentMethod]])))</f>
        <v>Online</v>
      </c>
      <c r="R982" t="str">
        <f>PROPER(TRIM(Table1[[#This Row],[ReferralSource]]))</f>
        <v>Referral</v>
      </c>
      <c r="S982" s="5">
        <f>Table1[[#This Row],[TotalPrice]]/Table1[[#This Row],[ItemsInCart]]</f>
        <v>383.88666666666671</v>
      </c>
    </row>
    <row r="983" spans="1:19" x14ac:dyDescent="0.3">
      <c r="A983" t="s">
        <v>931</v>
      </c>
      <c r="B983" s="1">
        <v>45677</v>
      </c>
      <c r="C983" t="s">
        <v>2127</v>
      </c>
      <c r="D983" t="s">
        <v>2408</v>
      </c>
      <c r="E983">
        <v>5</v>
      </c>
      <c r="F983">
        <v>383.82</v>
      </c>
      <c r="G983" t="s">
        <v>2979</v>
      </c>
      <c r="H983" t="s">
        <v>3067</v>
      </c>
      <c r="I983" t="s">
        <v>3072</v>
      </c>
      <c r="J983" t="s">
        <v>3992</v>
      </c>
      <c r="K983">
        <v>7</v>
      </c>
      <c r="L983" t="s">
        <v>4276</v>
      </c>
      <c r="M983" t="s">
        <v>4282</v>
      </c>
      <c r="N983" s="5">
        <v>1919.1</v>
      </c>
      <c r="O983" t="str">
        <f>IF(ABS(Table1[[#This Row],[TotalPrice]]-Table1[[#This Row],[Quantity]]*Table1[[#This Row],[UnitPrice]]) &lt;0.01, "ok",)</f>
        <v>ok</v>
      </c>
      <c r="P983" t="str">
        <f>PROPER(TRIM(Table1[[#This Row],[ShippingAddress]]))</f>
        <v>836 Main St</v>
      </c>
      <c r="Q983" t="str">
        <f>PROPER(TRIM((Table1[[#This Row],[PaymentMethod]])))</f>
        <v>Credit Card</v>
      </c>
      <c r="R983" t="str">
        <f>PROPER(TRIM(Table1[[#This Row],[ReferralSource]]))</f>
        <v>Google</v>
      </c>
      <c r="S983" s="5">
        <f>Table1[[#This Row],[TotalPrice]]/Table1[[#This Row],[ItemsInCart]]</f>
        <v>274.15714285714284</v>
      </c>
    </row>
    <row r="984" spans="1:19" x14ac:dyDescent="0.3">
      <c r="A984" t="s">
        <v>111</v>
      </c>
      <c r="B984" s="1">
        <v>45678</v>
      </c>
      <c r="C984" t="s">
        <v>1311</v>
      </c>
      <c r="D984" t="s">
        <v>2405</v>
      </c>
      <c r="E984">
        <v>5</v>
      </c>
      <c r="F984">
        <v>619.52</v>
      </c>
      <c r="G984" t="s">
        <v>2500</v>
      </c>
      <c r="H984" t="s">
        <v>3065</v>
      </c>
      <c r="I984" t="s">
        <v>3074</v>
      </c>
      <c r="J984" t="s">
        <v>3172</v>
      </c>
      <c r="K984">
        <v>9</v>
      </c>
      <c r="L984" t="s">
        <v>4283</v>
      </c>
      <c r="M984" t="s">
        <v>4280</v>
      </c>
      <c r="N984" s="5">
        <v>3097.6</v>
      </c>
      <c r="O984" t="str">
        <f>IF(ABS(Table1[[#This Row],[TotalPrice]]-Table1[[#This Row],[Quantity]]*Table1[[#This Row],[UnitPrice]]) &lt;0.01, "ok",)</f>
        <v>ok</v>
      </c>
      <c r="P984" t="str">
        <f>PROPER(TRIM(Table1[[#This Row],[ShippingAddress]]))</f>
        <v>922 Main St</v>
      </c>
      <c r="Q984" t="str">
        <f>PROPER(TRIM((Table1[[#This Row],[PaymentMethod]])))</f>
        <v>Debit Card</v>
      </c>
      <c r="R984" t="str">
        <f>PROPER(TRIM(Table1[[#This Row],[ReferralSource]]))</f>
        <v>Email</v>
      </c>
      <c r="S984" s="5">
        <f>Table1[[#This Row],[TotalPrice]]/Table1[[#This Row],[ItemsInCart]]</f>
        <v>344.17777777777775</v>
      </c>
    </row>
    <row r="985" spans="1:19" x14ac:dyDescent="0.3">
      <c r="A985" t="s">
        <v>217</v>
      </c>
      <c r="B985" s="1">
        <v>45678</v>
      </c>
      <c r="C985" t="s">
        <v>1417</v>
      </c>
      <c r="D985" t="s">
        <v>2407</v>
      </c>
      <c r="E985">
        <v>3</v>
      </c>
      <c r="F985">
        <v>356.84</v>
      </c>
      <c r="G985" t="s">
        <v>2590</v>
      </c>
      <c r="H985" t="s">
        <v>3066</v>
      </c>
      <c r="I985" t="s">
        <v>3070</v>
      </c>
      <c r="J985" t="s">
        <v>3278</v>
      </c>
      <c r="K985">
        <v>5</v>
      </c>
      <c r="L985" t="s">
        <v>4275</v>
      </c>
      <c r="M985" t="s">
        <v>4278</v>
      </c>
      <c r="N985" s="5">
        <v>1070.52</v>
      </c>
      <c r="O985" t="str">
        <f>IF(ABS(Table1[[#This Row],[TotalPrice]]-Table1[[#This Row],[Quantity]]*Table1[[#This Row],[UnitPrice]]) &lt;0.01, "ok",)</f>
        <v>ok</v>
      </c>
      <c r="P985" t="str">
        <f>PROPER(TRIM(Table1[[#This Row],[ShippingAddress]]))</f>
        <v>172 Main St</v>
      </c>
      <c r="Q985" t="str">
        <f>PROPER(TRIM((Table1[[#This Row],[PaymentMethod]])))</f>
        <v>Online</v>
      </c>
      <c r="R985" t="str">
        <f>PROPER(TRIM(Table1[[#This Row],[ReferralSource]]))</f>
        <v>Instagram</v>
      </c>
      <c r="S985" s="5">
        <f>Table1[[#This Row],[TotalPrice]]/Table1[[#This Row],[ItemsInCart]]</f>
        <v>214.10399999999998</v>
      </c>
    </row>
    <row r="986" spans="1:19" x14ac:dyDescent="0.3">
      <c r="A986" t="s">
        <v>144</v>
      </c>
      <c r="B986" s="1">
        <v>45679</v>
      </c>
      <c r="C986" t="s">
        <v>1344</v>
      </c>
      <c r="D986" t="s">
        <v>2409</v>
      </c>
      <c r="E986">
        <v>3</v>
      </c>
      <c r="F986">
        <v>501.3</v>
      </c>
      <c r="G986" t="s">
        <v>2532</v>
      </c>
      <c r="H986" t="s">
        <v>3066</v>
      </c>
      <c r="I986" t="s">
        <v>3071</v>
      </c>
      <c r="J986" t="s">
        <v>3205</v>
      </c>
      <c r="K986">
        <v>3</v>
      </c>
      <c r="L986" t="s">
        <v>4277</v>
      </c>
      <c r="M986" t="s">
        <v>4281</v>
      </c>
      <c r="N986" s="5">
        <v>1503.9</v>
      </c>
      <c r="O986" t="str">
        <f>IF(ABS(Table1[[#This Row],[TotalPrice]]-Table1[[#This Row],[Quantity]]*Table1[[#This Row],[UnitPrice]]) &lt;0.01, "ok",)</f>
        <v>ok</v>
      </c>
      <c r="P986" t="str">
        <f>PROPER(TRIM(Table1[[#This Row],[ShippingAddress]]))</f>
        <v>513 Main St</v>
      </c>
      <c r="Q986" t="str">
        <f>PROPER(TRIM((Table1[[#This Row],[PaymentMethod]])))</f>
        <v>Online</v>
      </c>
      <c r="R986" t="str">
        <f>PROPER(TRIM(Table1[[#This Row],[ReferralSource]]))</f>
        <v>Facebook</v>
      </c>
      <c r="S986" s="5">
        <f>Table1[[#This Row],[TotalPrice]]/Table1[[#This Row],[ItemsInCart]]</f>
        <v>501.3</v>
      </c>
    </row>
    <row r="987" spans="1:19" x14ac:dyDescent="0.3">
      <c r="A987" t="s">
        <v>213</v>
      </c>
      <c r="B987" s="1">
        <v>45680</v>
      </c>
      <c r="C987" t="s">
        <v>1413</v>
      </c>
      <c r="D987" t="s">
        <v>2404</v>
      </c>
      <c r="E987">
        <v>1</v>
      </c>
      <c r="F987">
        <v>625</v>
      </c>
      <c r="G987" t="s">
        <v>2589</v>
      </c>
      <c r="H987" t="s">
        <v>3066</v>
      </c>
      <c r="I987" t="s">
        <v>3072</v>
      </c>
      <c r="J987" t="s">
        <v>3274</v>
      </c>
      <c r="K987">
        <v>5</v>
      </c>
      <c r="L987" t="s">
        <v>4277</v>
      </c>
      <c r="M987" t="s">
        <v>4282</v>
      </c>
      <c r="N987" s="5">
        <v>625</v>
      </c>
      <c r="O987" t="str">
        <f>IF(ABS(Table1[[#This Row],[TotalPrice]]-Table1[[#This Row],[Quantity]]*Table1[[#This Row],[UnitPrice]]) &lt;0.01, "ok",)</f>
        <v>ok</v>
      </c>
      <c r="P987" t="str">
        <f>PROPER(TRIM(Table1[[#This Row],[ShippingAddress]]))</f>
        <v>358 Main St</v>
      </c>
      <c r="Q987" t="str">
        <f>PROPER(TRIM((Table1[[#This Row],[PaymentMethod]])))</f>
        <v>Online</v>
      </c>
      <c r="R987" t="str">
        <f>PROPER(TRIM(Table1[[#This Row],[ReferralSource]]))</f>
        <v>Google</v>
      </c>
      <c r="S987" s="5">
        <f>Table1[[#This Row],[TotalPrice]]/Table1[[#This Row],[ItemsInCart]]</f>
        <v>125</v>
      </c>
    </row>
    <row r="988" spans="1:19" x14ac:dyDescent="0.3">
      <c r="A988" t="s">
        <v>755</v>
      </c>
      <c r="B988" s="1">
        <v>45680</v>
      </c>
      <c r="C988" t="s">
        <v>1952</v>
      </c>
      <c r="D988" t="s">
        <v>2403</v>
      </c>
      <c r="E988">
        <v>5</v>
      </c>
      <c r="F988">
        <v>332.64</v>
      </c>
      <c r="G988" t="s">
        <v>2899</v>
      </c>
      <c r="H988" t="s">
        <v>3068</v>
      </c>
      <c r="I988" t="s">
        <v>3073</v>
      </c>
      <c r="J988" t="s">
        <v>3816</v>
      </c>
      <c r="K988">
        <v>10</v>
      </c>
      <c r="L988" t="s">
        <v>4283</v>
      </c>
      <c r="M988" t="s">
        <v>4279</v>
      </c>
      <c r="N988" s="5">
        <v>1663.2</v>
      </c>
      <c r="O988" t="str">
        <f>IF(ABS(Table1[[#This Row],[TotalPrice]]-Table1[[#This Row],[Quantity]]*Table1[[#This Row],[UnitPrice]]) &lt;0.01, "ok",)</f>
        <v>ok</v>
      </c>
      <c r="P988" t="str">
        <f>PROPER(TRIM(Table1[[#This Row],[ShippingAddress]]))</f>
        <v>945 Main St</v>
      </c>
      <c r="Q988" t="str">
        <f>PROPER(TRIM((Table1[[#This Row],[PaymentMethod]])))</f>
        <v>Gift Card</v>
      </c>
      <c r="R988" t="str">
        <f>PROPER(TRIM(Table1[[#This Row],[ReferralSource]]))</f>
        <v>Referral</v>
      </c>
      <c r="S988" s="5">
        <f>Table1[[#This Row],[TotalPrice]]/Table1[[#This Row],[ItemsInCart]]</f>
        <v>166.32</v>
      </c>
    </row>
    <row r="989" spans="1:19" x14ac:dyDescent="0.3">
      <c r="A989" t="s">
        <v>210</v>
      </c>
      <c r="B989" s="1">
        <v>45681</v>
      </c>
      <c r="C989" t="s">
        <v>1410</v>
      </c>
      <c r="D989" t="s">
        <v>2409</v>
      </c>
      <c r="E989">
        <v>4</v>
      </c>
      <c r="F989">
        <v>217.13</v>
      </c>
      <c r="G989" t="s">
        <v>2587</v>
      </c>
      <c r="H989" t="s">
        <v>3069</v>
      </c>
      <c r="I989" t="s">
        <v>3073</v>
      </c>
      <c r="J989" t="s">
        <v>3271</v>
      </c>
      <c r="K989">
        <v>8</v>
      </c>
      <c r="L989" t="s">
        <v>4277</v>
      </c>
      <c r="M989" t="s">
        <v>4280</v>
      </c>
      <c r="N989" s="5">
        <v>868.52</v>
      </c>
      <c r="O989" t="str">
        <f>IF(ABS(Table1[[#This Row],[TotalPrice]]-Table1[[#This Row],[Quantity]]*Table1[[#This Row],[UnitPrice]]) &lt;0.01, "ok",)</f>
        <v>ok</v>
      </c>
      <c r="P989" t="str">
        <f>PROPER(TRIM(Table1[[#This Row],[ShippingAddress]]))</f>
        <v>719 Main St</v>
      </c>
      <c r="Q989" t="str">
        <f>PROPER(TRIM((Table1[[#This Row],[PaymentMethod]])))</f>
        <v>Cash</v>
      </c>
      <c r="R989" t="str">
        <f>PROPER(TRIM(Table1[[#This Row],[ReferralSource]]))</f>
        <v>Email</v>
      </c>
      <c r="S989" s="5">
        <f>Table1[[#This Row],[TotalPrice]]/Table1[[#This Row],[ItemsInCart]]</f>
        <v>108.565</v>
      </c>
    </row>
    <row r="990" spans="1:19" x14ac:dyDescent="0.3">
      <c r="A990" t="s">
        <v>117</v>
      </c>
      <c r="B990" s="1">
        <v>45682</v>
      </c>
      <c r="C990" t="s">
        <v>1317</v>
      </c>
      <c r="D990" t="s">
        <v>2404</v>
      </c>
      <c r="E990">
        <v>4</v>
      </c>
      <c r="F990">
        <v>218.43</v>
      </c>
      <c r="G990" t="s">
        <v>2506</v>
      </c>
      <c r="H990" t="s">
        <v>3067</v>
      </c>
      <c r="I990" t="s">
        <v>3071</v>
      </c>
      <c r="J990" t="s">
        <v>3178</v>
      </c>
      <c r="K990">
        <v>9</v>
      </c>
      <c r="L990" t="s">
        <v>4275</v>
      </c>
      <c r="M990" t="s">
        <v>4280</v>
      </c>
      <c r="N990" s="5">
        <v>873.72</v>
      </c>
      <c r="O990" t="str">
        <f>IF(ABS(Table1[[#This Row],[TotalPrice]]-Table1[[#This Row],[Quantity]]*Table1[[#This Row],[UnitPrice]]) &lt;0.01, "ok",)</f>
        <v>ok</v>
      </c>
      <c r="P990" t="str">
        <f>PROPER(TRIM(Table1[[#This Row],[ShippingAddress]]))</f>
        <v>514 Main St</v>
      </c>
      <c r="Q990" t="str">
        <f>PROPER(TRIM((Table1[[#This Row],[PaymentMethod]])))</f>
        <v>Credit Card</v>
      </c>
      <c r="R990" t="str">
        <f>PROPER(TRIM(Table1[[#This Row],[ReferralSource]]))</f>
        <v>Email</v>
      </c>
      <c r="S990" s="5">
        <f>Table1[[#This Row],[TotalPrice]]/Table1[[#This Row],[ItemsInCart]]</f>
        <v>97.08</v>
      </c>
    </row>
    <row r="991" spans="1:19" x14ac:dyDescent="0.3">
      <c r="A991" t="s">
        <v>337</v>
      </c>
      <c r="B991" s="1">
        <v>45683</v>
      </c>
      <c r="C991" t="s">
        <v>1537</v>
      </c>
      <c r="D991" t="s">
        <v>2408</v>
      </c>
      <c r="E991">
        <v>1</v>
      </c>
      <c r="F991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>
        <v>1</v>
      </c>
      <c r="L991" t="s">
        <v>4275</v>
      </c>
      <c r="M991" t="s">
        <v>4279</v>
      </c>
      <c r="N991" s="5">
        <v>150.16999999999999</v>
      </c>
      <c r="O991" t="str">
        <f>IF(ABS(Table1[[#This Row],[TotalPrice]]-Table1[[#This Row],[Quantity]]*Table1[[#This Row],[UnitPrice]]) &lt;0.01, "ok",)</f>
        <v>ok</v>
      </c>
      <c r="P991" t="str">
        <f>PROPER(TRIM(Table1[[#This Row],[ShippingAddress]]))</f>
        <v>414 Main St</v>
      </c>
      <c r="Q991" t="str">
        <f>PROPER(TRIM((Table1[[#This Row],[PaymentMethod]])))</f>
        <v>Debit Card</v>
      </c>
      <c r="R991" t="str">
        <f>PROPER(TRIM(Table1[[#This Row],[ReferralSource]]))</f>
        <v>Referral</v>
      </c>
      <c r="S991" s="5">
        <f>Table1[[#This Row],[TotalPrice]]/Table1[[#This Row],[ItemsInCart]]</f>
        <v>150.16999999999999</v>
      </c>
    </row>
    <row r="992" spans="1:19" x14ac:dyDescent="0.3">
      <c r="A992" t="s">
        <v>419</v>
      </c>
      <c r="B992" s="1">
        <v>45683</v>
      </c>
      <c r="C992" t="s">
        <v>1619</v>
      </c>
      <c r="D992" t="s">
        <v>2403</v>
      </c>
      <c r="E992">
        <v>4</v>
      </c>
      <c r="F992">
        <v>451.97</v>
      </c>
      <c r="G992" t="s">
        <v>2715</v>
      </c>
      <c r="H992" t="s">
        <v>3066</v>
      </c>
      <c r="I992" t="s">
        <v>3071</v>
      </c>
      <c r="J992" t="s">
        <v>3480</v>
      </c>
      <c r="K992">
        <v>7</v>
      </c>
      <c r="L992" t="s">
        <v>4277</v>
      </c>
      <c r="M992" t="s">
        <v>4280</v>
      </c>
      <c r="N992" s="5">
        <v>1807.88</v>
      </c>
      <c r="O992" t="str">
        <f>IF(ABS(Table1[[#This Row],[TotalPrice]]-Table1[[#This Row],[Quantity]]*Table1[[#This Row],[UnitPrice]]) &lt;0.01, "ok",)</f>
        <v>ok</v>
      </c>
      <c r="P992" t="str">
        <f>PROPER(TRIM(Table1[[#This Row],[ShippingAddress]]))</f>
        <v>603 Main St</v>
      </c>
      <c r="Q992" t="str">
        <f>PROPER(TRIM((Table1[[#This Row],[PaymentMethod]])))</f>
        <v>Online</v>
      </c>
      <c r="R992" t="str">
        <f>PROPER(TRIM(Table1[[#This Row],[ReferralSource]]))</f>
        <v>Email</v>
      </c>
      <c r="S992" s="5">
        <f>Table1[[#This Row],[TotalPrice]]/Table1[[#This Row],[ItemsInCart]]</f>
        <v>258.26857142857142</v>
      </c>
    </row>
    <row r="993" spans="1:19" x14ac:dyDescent="0.3">
      <c r="A993" t="s">
        <v>128</v>
      </c>
      <c r="B993" s="1">
        <v>45684</v>
      </c>
      <c r="C993" t="s">
        <v>1328</v>
      </c>
      <c r="D993" t="s">
        <v>2403</v>
      </c>
      <c r="E993">
        <v>5</v>
      </c>
      <c r="F993">
        <v>498.48</v>
      </c>
      <c r="G993" t="s">
        <v>2517</v>
      </c>
      <c r="H993" t="s">
        <v>3066</v>
      </c>
      <c r="I993" t="s">
        <v>3074</v>
      </c>
      <c r="J993" t="s">
        <v>3189</v>
      </c>
      <c r="K993">
        <v>8</v>
      </c>
      <c r="L993" t="s">
        <v>4275</v>
      </c>
      <c r="M993" t="s">
        <v>4282</v>
      </c>
      <c r="N993" s="5">
        <v>2492.4</v>
      </c>
      <c r="O993" t="str">
        <f>IF(ABS(Table1[[#This Row],[TotalPrice]]-Table1[[#This Row],[Quantity]]*Table1[[#This Row],[UnitPrice]]) &lt;0.01, "ok",)</f>
        <v>ok</v>
      </c>
      <c r="P993" t="str">
        <f>PROPER(TRIM(Table1[[#This Row],[ShippingAddress]]))</f>
        <v>115 Main St</v>
      </c>
      <c r="Q993" t="str">
        <f>PROPER(TRIM((Table1[[#This Row],[PaymentMethod]])))</f>
        <v>Online</v>
      </c>
      <c r="R993" t="str">
        <f>PROPER(TRIM(Table1[[#This Row],[ReferralSource]]))</f>
        <v>Google</v>
      </c>
      <c r="S993" s="5">
        <f>Table1[[#This Row],[TotalPrice]]/Table1[[#This Row],[ItemsInCart]]</f>
        <v>311.55</v>
      </c>
    </row>
    <row r="994" spans="1:19" x14ac:dyDescent="0.3">
      <c r="A994" t="s">
        <v>623</v>
      </c>
      <c r="B994" s="1">
        <v>45684</v>
      </c>
      <c r="C994" t="s">
        <v>1822</v>
      </c>
      <c r="D994" t="s">
        <v>2406</v>
      </c>
      <c r="E994">
        <v>3</v>
      </c>
      <c r="F994">
        <v>449.13</v>
      </c>
      <c r="G994" t="s">
        <v>2841</v>
      </c>
      <c r="H994" t="s">
        <v>3069</v>
      </c>
      <c r="I994" t="s">
        <v>3072</v>
      </c>
      <c r="J994" t="s">
        <v>3684</v>
      </c>
      <c r="K994">
        <v>5</v>
      </c>
      <c r="L994" t="s">
        <v>4277</v>
      </c>
      <c r="M994" t="s">
        <v>4279</v>
      </c>
      <c r="N994" s="5">
        <v>1347.39</v>
      </c>
      <c r="O994" t="str">
        <f>IF(ABS(Table1[[#This Row],[TotalPrice]]-Table1[[#This Row],[Quantity]]*Table1[[#This Row],[UnitPrice]]) &lt;0.01, "ok",)</f>
        <v>ok</v>
      </c>
      <c r="P994" t="str">
        <f>PROPER(TRIM(Table1[[#This Row],[ShippingAddress]]))</f>
        <v>809 Main St</v>
      </c>
      <c r="Q994" t="str">
        <f>PROPER(TRIM((Table1[[#This Row],[PaymentMethod]])))</f>
        <v>Cash</v>
      </c>
      <c r="R994" t="str">
        <f>PROPER(TRIM(Table1[[#This Row],[ReferralSource]]))</f>
        <v>Referral</v>
      </c>
      <c r="S994" s="5">
        <f>Table1[[#This Row],[TotalPrice]]/Table1[[#This Row],[ItemsInCart]]</f>
        <v>269.47800000000001</v>
      </c>
    </row>
    <row r="995" spans="1:19" x14ac:dyDescent="0.3">
      <c r="A995" t="s">
        <v>507</v>
      </c>
      <c r="B995" s="1">
        <v>45685</v>
      </c>
      <c r="C995" t="s">
        <v>1707</v>
      </c>
      <c r="D995" t="s">
        <v>2404</v>
      </c>
      <c r="E995">
        <v>1</v>
      </c>
      <c r="F995">
        <v>420.26</v>
      </c>
      <c r="G995" t="s">
        <v>2787</v>
      </c>
      <c r="H995" t="s">
        <v>3067</v>
      </c>
      <c r="I995" t="s">
        <v>3074</v>
      </c>
      <c r="J995" t="s">
        <v>3568</v>
      </c>
      <c r="K995">
        <v>4</v>
      </c>
      <c r="L995" t="s">
        <v>4276</v>
      </c>
      <c r="M995" t="s">
        <v>4281</v>
      </c>
      <c r="N995" s="5">
        <v>420.26</v>
      </c>
      <c r="O995" t="str">
        <f>IF(ABS(Table1[[#This Row],[TotalPrice]]-Table1[[#This Row],[Quantity]]*Table1[[#This Row],[UnitPrice]]) &lt;0.01, "ok",)</f>
        <v>ok</v>
      </c>
      <c r="P995" t="str">
        <f>PROPER(TRIM(Table1[[#This Row],[ShippingAddress]]))</f>
        <v>372 Main St</v>
      </c>
      <c r="Q995" t="str">
        <f>PROPER(TRIM((Table1[[#This Row],[PaymentMethod]])))</f>
        <v>Credit Card</v>
      </c>
      <c r="R995" t="str">
        <f>PROPER(TRIM(Table1[[#This Row],[ReferralSource]]))</f>
        <v>Facebook</v>
      </c>
      <c r="S995" s="5">
        <f>Table1[[#This Row],[TotalPrice]]/Table1[[#This Row],[ItemsInCart]]</f>
        <v>105.065</v>
      </c>
    </row>
    <row r="996" spans="1:19" x14ac:dyDescent="0.3">
      <c r="A996" t="s">
        <v>1075</v>
      </c>
      <c r="B996" s="1">
        <v>45686</v>
      </c>
      <c r="C996" t="s">
        <v>2267</v>
      </c>
      <c r="D996" t="s">
        <v>2408</v>
      </c>
      <c r="E996">
        <v>5</v>
      </c>
      <c r="F996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>
        <v>8</v>
      </c>
      <c r="L996" t="s">
        <v>4276</v>
      </c>
      <c r="M996" t="s">
        <v>4282</v>
      </c>
      <c r="N996" s="5">
        <v>658.5</v>
      </c>
      <c r="O996" t="str">
        <f>IF(ABS(Table1[[#This Row],[TotalPrice]]-Table1[[#This Row],[Quantity]]*Table1[[#This Row],[UnitPrice]]) &lt;0.01, "ok",)</f>
        <v>ok</v>
      </c>
      <c r="P996" t="str">
        <f>PROPER(TRIM(Table1[[#This Row],[ShippingAddress]]))</f>
        <v>830 Main St</v>
      </c>
      <c r="Q996" t="str">
        <f>PROPER(TRIM((Table1[[#This Row],[PaymentMethod]])))</f>
        <v>Cash</v>
      </c>
      <c r="R996" t="str">
        <f>PROPER(TRIM(Table1[[#This Row],[ReferralSource]]))</f>
        <v>Google</v>
      </c>
      <c r="S996" s="5">
        <f>Table1[[#This Row],[TotalPrice]]/Table1[[#This Row],[ItemsInCart]]</f>
        <v>82.3125</v>
      </c>
    </row>
    <row r="997" spans="1:19" x14ac:dyDescent="0.3">
      <c r="A997" t="s">
        <v>396</v>
      </c>
      <c r="B997" s="1">
        <v>45687</v>
      </c>
      <c r="C997" t="s">
        <v>1596</v>
      </c>
      <c r="D997" t="s">
        <v>2407</v>
      </c>
      <c r="E997">
        <v>4</v>
      </c>
      <c r="F99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>
        <v>8</v>
      </c>
      <c r="L997" t="s">
        <v>4275</v>
      </c>
      <c r="M997" t="s">
        <v>4282</v>
      </c>
      <c r="N997" s="5">
        <v>1052.3599999999999</v>
      </c>
      <c r="O997" t="str">
        <f>IF(ABS(Table1[[#This Row],[TotalPrice]]-Table1[[#This Row],[Quantity]]*Table1[[#This Row],[UnitPrice]]) &lt;0.01, "ok",)</f>
        <v>ok</v>
      </c>
      <c r="P997" t="str">
        <f>PROPER(TRIM(Table1[[#This Row],[ShippingAddress]]))</f>
        <v>272 Main St</v>
      </c>
      <c r="Q997" t="str">
        <f>PROPER(TRIM((Table1[[#This Row],[PaymentMethod]])))</f>
        <v>Debit Card</v>
      </c>
      <c r="R997" t="str">
        <f>PROPER(TRIM(Table1[[#This Row],[ReferralSource]]))</f>
        <v>Google</v>
      </c>
      <c r="S997" s="5">
        <f>Table1[[#This Row],[TotalPrice]]/Table1[[#This Row],[ItemsInCart]]</f>
        <v>131.54499999999999</v>
      </c>
    </row>
    <row r="998" spans="1:19" x14ac:dyDescent="0.3">
      <c r="A998" t="s">
        <v>77</v>
      </c>
      <c r="B998" s="1">
        <v>45690</v>
      </c>
      <c r="C998" t="s">
        <v>1277</v>
      </c>
      <c r="D998" t="s">
        <v>2406</v>
      </c>
      <c r="E998">
        <v>1</v>
      </c>
      <c r="F998">
        <v>564.86</v>
      </c>
      <c r="G998" t="s">
        <v>2469</v>
      </c>
      <c r="H998" t="s">
        <v>3065</v>
      </c>
      <c r="I998" t="s">
        <v>3070</v>
      </c>
      <c r="J998" t="s">
        <v>3138</v>
      </c>
      <c r="K998">
        <v>6</v>
      </c>
      <c r="L998" t="s">
        <v>4277</v>
      </c>
      <c r="M998" t="s">
        <v>4279</v>
      </c>
      <c r="N998" s="5">
        <v>564.86</v>
      </c>
      <c r="O998" t="str">
        <f>IF(ABS(Table1[[#This Row],[TotalPrice]]-Table1[[#This Row],[Quantity]]*Table1[[#This Row],[UnitPrice]]) &lt;0.01, "ok",)</f>
        <v>ok</v>
      </c>
      <c r="P998" t="str">
        <f>PROPER(TRIM(Table1[[#This Row],[ShippingAddress]]))</f>
        <v>813 Main St</v>
      </c>
      <c r="Q998" t="str">
        <f>PROPER(TRIM((Table1[[#This Row],[PaymentMethod]])))</f>
        <v>Debit Card</v>
      </c>
      <c r="R998" t="str">
        <f>PROPER(TRIM(Table1[[#This Row],[ReferralSource]]))</f>
        <v>Referral</v>
      </c>
      <c r="S998" s="5">
        <f>Table1[[#This Row],[TotalPrice]]/Table1[[#This Row],[ItemsInCart]]</f>
        <v>94.143333333333331</v>
      </c>
    </row>
    <row r="999" spans="1:19" x14ac:dyDescent="0.3">
      <c r="A999" t="s">
        <v>199</v>
      </c>
      <c r="B999" s="1">
        <v>45690</v>
      </c>
      <c r="C999" t="s">
        <v>1399</v>
      </c>
      <c r="D999" t="s">
        <v>2408</v>
      </c>
      <c r="E999">
        <v>1</v>
      </c>
      <c r="F999">
        <v>210.7</v>
      </c>
      <c r="G999" t="s">
        <v>2577</v>
      </c>
      <c r="H999" t="s">
        <v>3066</v>
      </c>
      <c r="I999" t="s">
        <v>3070</v>
      </c>
      <c r="J999" t="s">
        <v>3260</v>
      </c>
      <c r="K999">
        <v>2</v>
      </c>
      <c r="L999" t="s">
        <v>4277</v>
      </c>
      <c r="M999" t="s">
        <v>4279</v>
      </c>
      <c r="N999" s="5">
        <v>210.7</v>
      </c>
      <c r="O999" t="str">
        <f>IF(ABS(Table1[[#This Row],[TotalPrice]]-Table1[[#This Row],[Quantity]]*Table1[[#This Row],[UnitPrice]]) &lt;0.01, "ok",)</f>
        <v>ok</v>
      </c>
      <c r="P999" t="str">
        <f>PROPER(TRIM(Table1[[#This Row],[ShippingAddress]]))</f>
        <v>572 Main St</v>
      </c>
      <c r="Q999" t="str">
        <f>PROPER(TRIM((Table1[[#This Row],[PaymentMethod]])))</f>
        <v>Online</v>
      </c>
      <c r="R999" t="str">
        <f>PROPER(TRIM(Table1[[#This Row],[ReferralSource]]))</f>
        <v>Referral</v>
      </c>
      <c r="S999" s="5">
        <f>Table1[[#This Row],[TotalPrice]]/Table1[[#This Row],[ItemsInCart]]</f>
        <v>105.35</v>
      </c>
    </row>
    <row r="1000" spans="1:19" x14ac:dyDescent="0.3">
      <c r="A1000" t="s">
        <v>711</v>
      </c>
      <c r="B1000" s="1">
        <v>45692</v>
      </c>
      <c r="C1000" t="s">
        <v>1909</v>
      </c>
      <c r="D1000" t="s">
        <v>2407</v>
      </c>
      <c r="E1000">
        <v>5</v>
      </c>
      <c r="F1000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>
        <v>6</v>
      </c>
      <c r="L1000" t="s">
        <v>4277</v>
      </c>
      <c r="M1000" t="s">
        <v>4280</v>
      </c>
      <c r="N1000" s="5">
        <v>474.25</v>
      </c>
      <c r="O1000" t="str">
        <f>IF(ABS(Table1[[#This Row],[TotalPrice]]-Table1[[#This Row],[Quantity]]*Table1[[#This Row],[UnitPrice]]) &lt;0.01, "ok",)</f>
        <v>ok</v>
      </c>
      <c r="P1000" t="str">
        <f>PROPER(TRIM(Table1[[#This Row],[ShippingAddress]]))</f>
        <v>788 Main St</v>
      </c>
      <c r="Q1000" t="str">
        <f>PROPER(TRIM((Table1[[#This Row],[PaymentMethod]])))</f>
        <v>Cash</v>
      </c>
      <c r="R1000" t="str">
        <f>PROPER(TRIM(Table1[[#This Row],[ReferralSource]]))</f>
        <v>Email</v>
      </c>
      <c r="S1000" s="5">
        <f>Table1[[#This Row],[TotalPrice]]/Table1[[#This Row],[ItemsInCart]]</f>
        <v>79.041666666666671</v>
      </c>
    </row>
    <row r="1001" spans="1:19" x14ac:dyDescent="0.3">
      <c r="A1001" t="s">
        <v>1002</v>
      </c>
      <c r="B1001" s="1">
        <v>45692</v>
      </c>
      <c r="C1001" t="s">
        <v>2195</v>
      </c>
      <c r="D1001" t="s">
        <v>2409</v>
      </c>
      <c r="E1001">
        <v>2</v>
      </c>
      <c r="F1001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>
        <v>5</v>
      </c>
      <c r="L1001" t="s">
        <v>4277</v>
      </c>
      <c r="M1001" t="s">
        <v>4278</v>
      </c>
      <c r="N1001" s="5">
        <v>1259.1199999999999</v>
      </c>
      <c r="O1001" t="str">
        <f>IF(ABS(Table1[[#This Row],[TotalPrice]]-Table1[[#This Row],[Quantity]]*Table1[[#This Row],[UnitPrice]]) &lt;0.01, "ok",)</f>
        <v>ok</v>
      </c>
      <c r="P1001" t="str">
        <f>PROPER(TRIM(Table1[[#This Row],[ShippingAddress]]))</f>
        <v>818 Main St</v>
      </c>
      <c r="Q1001" t="str">
        <f>PROPER(TRIM((Table1[[#This Row],[PaymentMethod]])))</f>
        <v>Gift Card</v>
      </c>
      <c r="R1001" t="str">
        <f>PROPER(TRIM(Table1[[#This Row],[ReferralSource]]))</f>
        <v>Instagram</v>
      </c>
      <c r="S1001" s="5">
        <f>Table1[[#This Row],[TotalPrice]]/Table1[[#This Row],[ItemsInCart]]</f>
        <v>251.82399999999998</v>
      </c>
    </row>
    <row r="1002" spans="1:19" x14ac:dyDescent="0.3">
      <c r="A1002" t="s">
        <v>1186</v>
      </c>
      <c r="B1002" s="1">
        <v>45692</v>
      </c>
      <c r="C1002" t="s">
        <v>2375</v>
      </c>
      <c r="D1002" t="s">
        <v>2409</v>
      </c>
      <c r="E1002">
        <v>3</v>
      </c>
      <c r="F1002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>
        <v>8</v>
      </c>
      <c r="L1002" t="s">
        <v>4283</v>
      </c>
      <c r="M1002" t="s">
        <v>4278</v>
      </c>
      <c r="N1002" s="5">
        <v>395.88</v>
      </c>
      <c r="O1002" t="str">
        <f>IF(ABS(Table1[[#This Row],[TotalPrice]]-Table1[[#This Row],[Quantity]]*Table1[[#This Row],[UnitPrice]]) &lt;0.01, "ok",)</f>
        <v>ok</v>
      </c>
      <c r="P1002" t="str">
        <f>PROPER(TRIM(Table1[[#This Row],[ShippingAddress]]))</f>
        <v>745 Main St</v>
      </c>
      <c r="Q1002" t="str">
        <f>PROPER(TRIM((Table1[[#This Row],[PaymentMethod]])))</f>
        <v>Credit Card</v>
      </c>
      <c r="R1002" t="str">
        <f>PROPER(TRIM(Table1[[#This Row],[ReferralSource]]))</f>
        <v>Instagram</v>
      </c>
      <c r="S1002" s="5">
        <f>Table1[[#This Row],[TotalPrice]]/Table1[[#This Row],[ItemsInCart]]</f>
        <v>49.484999999999999</v>
      </c>
    </row>
    <row r="1003" spans="1:19" x14ac:dyDescent="0.3">
      <c r="A1003" t="s">
        <v>918</v>
      </c>
      <c r="B1003" s="1">
        <v>45693</v>
      </c>
      <c r="C1003" t="s">
        <v>2114</v>
      </c>
      <c r="D1003" t="s">
        <v>2403</v>
      </c>
      <c r="E1003">
        <v>4</v>
      </c>
      <c r="F1003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>
        <v>8</v>
      </c>
      <c r="L1003" t="s">
        <v>4277</v>
      </c>
      <c r="M1003" t="s">
        <v>4279</v>
      </c>
      <c r="N1003" s="5">
        <v>949.72</v>
      </c>
      <c r="O1003" t="str">
        <f>IF(ABS(Table1[[#This Row],[TotalPrice]]-Table1[[#This Row],[Quantity]]*Table1[[#This Row],[UnitPrice]]) &lt;0.01, "ok",)</f>
        <v>ok</v>
      </c>
      <c r="P1003" t="str">
        <f>PROPER(TRIM(Table1[[#This Row],[ShippingAddress]]))</f>
        <v>262 Main St</v>
      </c>
      <c r="Q1003" t="str">
        <f>PROPER(TRIM((Table1[[#This Row],[PaymentMethod]])))</f>
        <v>Cash</v>
      </c>
      <c r="R1003" t="str">
        <f>PROPER(TRIM(Table1[[#This Row],[ReferralSource]]))</f>
        <v>Referral</v>
      </c>
      <c r="S1003" s="5">
        <f>Table1[[#This Row],[TotalPrice]]/Table1[[#This Row],[ItemsInCart]]</f>
        <v>118.715</v>
      </c>
    </row>
    <row r="1004" spans="1:19" x14ac:dyDescent="0.3">
      <c r="A1004" t="s">
        <v>216</v>
      </c>
      <c r="B1004" s="1">
        <v>45694</v>
      </c>
      <c r="C1004" t="s">
        <v>1416</v>
      </c>
      <c r="D1004" t="s">
        <v>2403</v>
      </c>
      <c r="E1004">
        <v>3</v>
      </c>
      <c r="F1004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>
        <v>3</v>
      </c>
      <c r="L1004" t="s">
        <v>4276</v>
      </c>
      <c r="M1004" t="s">
        <v>4280</v>
      </c>
      <c r="N1004" s="5">
        <v>761.93999999999994</v>
      </c>
      <c r="O1004" t="str">
        <f>IF(ABS(Table1[[#This Row],[TotalPrice]]-Table1[[#This Row],[Quantity]]*Table1[[#This Row],[UnitPrice]]) &lt;0.01, "ok",)</f>
        <v>ok</v>
      </c>
      <c r="P1004" t="str">
        <f>PROPER(TRIM(Table1[[#This Row],[ShippingAddress]]))</f>
        <v>636 Main St</v>
      </c>
      <c r="Q1004" t="str">
        <f>PROPER(TRIM((Table1[[#This Row],[PaymentMethod]])))</f>
        <v>Credit Card</v>
      </c>
      <c r="R1004" t="str">
        <f>PROPER(TRIM(Table1[[#This Row],[ReferralSource]]))</f>
        <v>Email</v>
      </c>
      <c r="S1004" s="5">
        <f>Table1[[#This Row],[TotalPrice]]/Table1[[#This Row],[ItemsInCart]]</f>
        <v>253.98</v>
      </c>
    </row>
    <row r="1005" spans="1:19" x14ac:dyDescent="0.3">
      <c r="A1005" t="s">
        <v>699</v>
      </c>
      <c r="B1005" s="1">
        <v>45695</v>
      </c>
      <c r="C1005" t="s">
        <v>1897</v>
      </c>
      <c r="D1005" t="s">
        <v>2409</v>
      </c>
      <c r="E1005">
        <v>1</v>
      </c>
      <c r="F1005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>
        <v>5</v>
      </c>
      <c r="L1005" t="s">
        <v>4276</v>
      </c>
      <c r="M1005" t="s">
        <v>4280</v>
      </c>
      <c r="N1005" s="5">
        <v>234.37</v>
      </c>
      <c r="O1005" t="str">
        <f>IF(ABS(Table1[[#This Row],[TotalPrice]]-Table1[[#This Row],[Quantity]]*Table1[[#This Row],[UnitPrice]]) &lt;0.01, "ok",)</f>
        <v>ok</v>
      </c>
      <c r="P1005" t="str">
        <f>PROPER(TRIM(Table1[[#This Row],[ShippingAddress]]))</f>
        <v>638 Main St</v>
      </c>
      <c r="Q1005" t="str">
        <f>PROPER(TRIM((Table1[[#This Row],[PaymentMethod]])))</f>
        <v>Debit Card</v>
      </c>
      <c r="R1005" t="str">
        <f>PROPER(TRIM(Table1[[#This Row],[ReferralSource]]))</f>
        <v>Email</v>
      </c>
      <c r="S1005" s="5">
        <f>Table1[[#This Row],[TotalPrice]]/Table1[[#This Row],[ItemsInCart]]</f>
        <v>46.874000000000002</v>
      </c>
    </row>
    <row r="1006" spans="1:19" x14ac:dyDescent="0.3">
      <c r="A1006" t="s">
        <v>914</v>
      </c>
      <c r="B1006" s="1">
        <v>45695</v>
      </c>
      <c r="C1006" t="s">
        <v>2110</v>
      </c>
      <c r="D1006" t="s">
        <v>2408</v>
      </c>
      <c r="E1006">
        <v>5</v>
      </c>
      <c r="F1006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>
        <v>9</v>
      </c>
      <c r="L1006" t="s">
        <v>4283</v>
      </c>
      <c r="M1006" t="s">
        <v>4278</v>
      </c>
      <c r="N1006" s="5">
        <v>369.15</v>
      </c>
      <c r="O1006" t="str">
        <f>IF(ABS(Table1[[#This Row],[TotalPrice]]-Table1[[#This Row],[Quantity]]*Table1[[#This Row],[UnitPrice]]) &lt;0.01, "ok",)</f>
        <v>ok</v>
      </c>
      <c r="P1006" t="str">
        <f>PROPER(TRIM(Table1[[#This Row],[ShippingAddress]]))</f>
        <v>991 Main St</v>
      </c>
      <c r="Q1006" t="str">
        <f>PROPER(TRIM((Table1[[#This Row],[PaymentMethod]])))</f>
        <v>Debit Card</v>
      </c>
      <c r="R1006" t="str">
        <f>PROPER(TRIM(Table1[[#This Row],[ReferralSource]]))</f>
        <v>Instagram</v>
      </c>
      <c r="S1006" s="5">
        <f>Table1[[#This Row],[TotalPrice]]/Table1[[#This Row],[ItemsInCart]]</f>
        <v>41.016666666666666</v>
      </c>
    </row>
    <row r="1007" spans="1:19" x14ac:dyDescent="0.3">
      <c r="A1007" t="s">
        <v>933</v>
      </c>
      <c r="B1007" s="1">
        <v>45695</v>
      </c>
      <c r="C1007" t="s">
        <v>2129</v>
      </c>
      <c r="D1007" t="s">
        <v>2407</v>
      </c>
      <c r="E1007">
        <v>2</v>
      </c>
      <c r="F100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>
        <v>3</v>
      </c>
      <c r="L1007" t="s">
        <v>4276</v>
      </c>
      <c r="M1007" t="s">
        <v>4279</v>
      </c>
      <c r="N1007" s="5">
        <v>749.2</v>
      </c>
      <c r="O1007" t="str">
        <f>IF(ABS(Table1[[#This Row],[TotalPrice]]-Table1[[#This Row],[Quantity]]*Table1[[#This Row],[UnitPrice]]) &lt;0.01, "ok",)</f>
        <v>ok</v>
      </c>
      <c r="P1007" t="str">
        <f>PROPER(TRIM(Table1[[#This Row],[ShippingAddress]]))</f>
        <v>187 Main St</v>
      </c>
      <c r="Q1007" t="str">
        <f>PROPER(TRIM((Table1[[#This Row],[PaymentMethod]])))</f>
        <v>Online</v>
      </c>
      <c r="R1007" t="str">
        <f>PROPER(TRIM(Table1[[#This Row],[ReferralSource]]))</f>
        <v>Referral</v>
      </c>
      <c r="S1007" s="5">
        <f>Table1[[#This Row],[TotalPrice]]/Table1[[#This Row],[ItemsInCart]]</f>
        <v>249.73333333333335</v>
      </c>
    </row>
    <row r="1008" spans="1:19" x14ac:dyDescent="0.3">
      <c r="A1008" t="s">
        <v>189</v>
      </c>
      <c r="B1008" s="1">
        <v>45696</v>
      </c>
      <c r="C1008" t="s">
        <v>1389</v>
      </c>
      <c r="D1008" t="s">
        <v>2406</v>
      </c>
      <c r="E1008">
        <v>5</v>
      </c>
      <c r="F1008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>
        <v>6</v>
      </c>
      <c r="L1008" t="s">
        <v>4277</v>
      </c>
      <c r="M1008" t="s">
        <v>4279</v>
      </c>
      <c r="N1008" s="5">
        <v>341.7</v>
      </c>
      <c r="O1008" t="str">
        <f>IF(ABS(Table1[[#This Row],[TotalPrice]]-Table1[[#This Row],[Quantity]]*Table1[[#This Row],[UnitPrice]]) &lt;0.01, "ok",)</f>
        <v>ok</v>
      </c>
      <c r="P1008" t="str">
        <f>PROPER(TRIM(Table1[[#This Row],[ShippingAddress]]))</f>
        <v>332 Main St</v>
      </c>
      <c r="Q1008" t="str">
        <f>PROPER(TRIM((Table1[[#This Row],[PaymentMethod]])))</f>
        <v>Debit Card</v>
      </c>
      <c r="R1008" t="str">
        <f>PROPER(TRIM(Table1[[#This Row],[ReferralSource]]))</f>
        <v>Referral</v>
      </c>
      <c r="S1008" s="5">
        <f>Table1[[#This Row],[TotalPrice]]/Table1[[#This Row],[ItemsInCart]]</f>
        <v>56.949999999999996</v>
      </c>
    </row>
    <row r="1009" spans="1:19" x14ac:dyDescent="0.3">
      <c r="A1009" t="s">
        <v>527</v>
      </c>
      <c r="B1009" s="1">
        <v>45697</v>
      </c>
      <c r="C1009" t="s">
        <v>1727</v>
      </c>
      <c r="D1009" t="s">
        <v>2405</v>
      </c>
      <c r="E1009">
        <v>3</v>
      </c>
      <c r="F1009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>
        <v>8</v>
      </c>
      <c r="L1009" t="s">
        <v>4283</v>
      </c>
      <c r="M1009" t="s">
        <v>4279</v>
      </c>
      <c r="N1009" s="5">
        <v>284.64</v>
      </c>
      <c r="O1009" t="str">
        <f>IF(ABS(Table1[[#This Row],[TotalPrice]]-Table1[[#This Row],[Quantity]]*Table1[[#This Row],[UnitPrice]]) &lt;0.01, "ok",)</f>
        <v>ok</v>
      </c>
      <c r="P1009" t="str">
        <f>PROPER(TRIM(Table1[[#This Row],[ShippingAddress]]))</f>
        <v>533 Main St</v>
      </c>
      <c r="Q1009" t="str">
        <f>PROPER(TRIM((Table1[[#This Row],[PaymentMethod]])))</f>
        <v>Gift Card</v>
      </c>
      <c r="R1009" t="str">
        <f>PROPER(TRIM(Table1[[#This Row],[ReferralSource]]))</f>
        <v>Referral</v>
      </c>
      <c r="S1009" s="5">
        <f>Table1[[#This Row],[TotalPrice]]/Table1[[#This Row],[ItemsInCart]]</f>
        <v>35.58</v>
      </c>
    </row>
    <row r="1010" spans="1:19" x14ac:dyDescent="0.3">
      <c r="A1010" t="s">
        <v>603</v>
      </c>
      <c r="B1010" s="1">
        <v>45698</v>
      </c>
      <c r="C1010" t="s">
        <v>1803</v>
      </c>
      <c r="D1010" t="s">
        <v>2408</v>
      </c>
      <c r="E1010">
        <v>2</v>
      </c>
      <c r="F1010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>
        <v>3</v>
      </c>
      <c r="L1010" t="s">
        <v>4276</v>
      </c>
      <c r="M1010" t="s">
        <v>4279</v>
      </c>
      <c r="N1010" s="5">
        <v>1001.6</v>
      </c>
      <c r="O1010" t="str">
        <f>IF(ABS(Table1[[#This Row],[TotalPrice]]-Table1[[#This Row],[Quantity]]*Table1[[#This Row],[UnitPrice]]) &lt;0.01, "ok",)</f>
        <v>ok</v>
      </c>
      <c r="P1010" t="str">
        <f>PROPER(TRIM(Table1[[#This Row],[ShippingAddress]]))</f>
        <v>900 Main St</v>
      </c>
      <c r="Q1010" t="str">
        <f>PROPER(TRIM((Table1[[#This Row],[PaymentMethod]])))</f>
        <v>Cash</v>
      </c>
      <c r="R1010" t="str">
        <f>PROPER(TRIM(Table1[[#This Row],[ReferralSource]]))</f>
        <v>Referral</v>
      </c>
      <c r="S1010" s="5">
        <f>Table1[[#This Row],[TotalPrice]]/Table1[[#This Row],[ItemsInCart]]</f>
        <v>333.86666666666667</v>
      </c>
    </row>
    <row r="1011" spans="1:19" x14ac:dyDescent="0.3">
      <c r="A1011" t="s">
        <v>928</v>
      </c>
      <c r="B1011" s="1">
        <v>45698</v>
      </c>
      <c r="C1011" t="s">
        <v>2124</v>
      </c>
      <c r="D1011" t="s">
        <v>2409</v>
      </c>
      <c r="E1011">
        <v>1</v>
      </c>
      <c r="F1011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>
        <v>4</v>
      </c>
      <c r="L1011" t="s">
        <v>4277</v>
      </c>
      <c r="M1011" t="s">
        <v>4281</v>
      </c>
      <c r="N1011" s="5">
        <v>626.6</v>
      </c>
      <c r="O1011" t="str">
        <f>IF(ABS(Table1[[#This Row],[TotalPrice]]-Table1[[#This Row],[Quantity]]*Table1[[#This Row],[UnitPrice]]) &lt;0.01, "ok",)</f>
        <v>ok</v>
      </c>
      <c r="P1011" t="str">
        <f>PROPER(TRIM(Table1[[#This Row],[ShippingAddress]]))</f>
        <v>955 Main St</v>
      </c>
      <c r="Q1011" t="str">
        <f>PROPER(TRIM((Table1[[#This Row],[PaymentMethod]])))</f>
        <v>Gift Card</v>
      </c>
      <c r="R1011" t="str">
        <f>PROPER(TRIM(Table1[[#This Row],[ReferralSource]]))</f>
        <v>Facebook</v>
      </c>
      <c r="S1011" s="5">
        <f>Table1[[#This Row],[TotalPrice]]/Table1[[#This Row],[ItemsInCart]]</f>
        <v>156.65</v>
      </c>
    </row>
    <row r="1012" spans="1:19" x14ac:dyDescent="0.3">
      <c r="A1012" t="s">
        <v>1205</v>
      </c>
      <c r="B1012" s="1">
        <v>45698</v>
      </c>
      <c r="C1012" t="s">
        <v>2394</v>
      </c>
      <c r="D1012" t="s">
        <v>2409</v>
      </c>
      <c r="E1012">
        <v>4</v>
      </c>
      <c r="F1012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>
        <v>5</v>
      </c>
      <c r="L1012" t="s">
        <v>4277</v>
      </c>
      <c r="M1012" t="s">
        <v>4278</v>
      </c>
      <c r="N1012" s="5">
        <v>1505.72</v>
      </c>
      <c r="O1012" t="str">
        <f>IF(ABS(Table1[[#This Row],[TotalPrice]]-Table1[[#This Row],[Quantity]]*Table1[[#This Row],[UnitPrice]]) &lt;0.01, "ok",)</f>
        <v>ok</v>
      </c>
      <c r="P1012" t="str">
        <f>PROPER(TRIM(Table1[[#This Row],[ShippingAddress]]))</f>
        <v>809 Main St</v>
      </c>
      <c r="Q1012" t="str">
        <f>PROPER(TRIM((Table1[[#This Row],[PaymentMethod]])))</f>
        <v>Gift Card</v>
      </c>
      <c r="R1012" t="str">
        <f>PROPER(TRIM(Table1[[#This Row],[ReferralSource]]))</f>
        <v>Instagram</v>
      </c>
      <c r="S1012" s="5">
        <f>Table1[[#This Row],[TotalPrice]]/Table1[[#This Row],[ItemsInCart]]</f>
        <v>301.14400000000001</v>
      </c>
    </row>
    <row r="1013" spans="1:19" x14ac:dyDescent="0.3">
      <c r="A1013" t="s">
        <v>1078</v>
      </c>
      <c r="B1013" s="1">
        <v>45700</v>
      </c>
      <c r="C1013" t="s">
        <v>2270</v>
      </c>
      <c r="D1013" t="s">
        <v>2408</v>
      </c>
      <c r="E1013">
        <v>4</v>
      </c>
      <c r="F1013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>
        <v>9</v>
      </c>
      <c r="L1013" t="s">
        <v>4276</v>
      </c>
      <c r="M1013" t="s">
        <v>4279</v>
      </c>
      <c r="N1013" s="5">
        <v>795.24</v>
      </c>
      <c r="O1013" t="str">
        <f>IF(ABS(Table1[[#This Row],[TotalPrice]]-Table1[[#This Row],[Quantity]]*Table1[[#This Row],[UnitPrice]]) &lt;0.01, "ok",)</f>
        <v>ok</v>
      </c>
      <c r="P1013" t="str">
        <f>PROPER(TRIM(Table1[[#This Row],[ShippingAddress]]))</f>
        <v>654 Main St</v>
      </c>
      <c r="Q1013" t="str">
        <f>PROPER(TRIM((Table1[[#This Row],[PaymentMethod]])))</f>
        <v>Cash</v>
      </c>
      <c r="R1013" t="str">
        <f>PROPER(TRIM(Table1[[#This Row],[ReferralSource]]))</f>
        <v>Referral</v>
      </c>
      <c r="S1013" s="5">
        <f>Table1[[#This Row],[TotalPrice]]/Table1[[#This Row],[ItemsInCart]]</f>
        <v>88.36</v>
      </c>
    </row>
    <row r="1014" spans="1:19" x14ac:dyDescent="0.3">
      <c r="A1014" t="s">
        <v>379</v>
      </c>
      <c r="B1014" s="1">
        <v>45702</v>
      </c>
      <c r="C1014" t="s">
        <v>1579</v>
      </c>
      <c r="D1014" t="s">
        <v>2404</v>
      </c>
      <c r="E1014">
        <v>1</v>
      </c>
      <c r="F1014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>
        <v>4</v>
      </c>
      <c r="L1014" t="s">
        <v>4275</v>
      </c>
      <c r="M1014" t="s">
        <v>4279</v>
      </c>
      <c r="N1014" s="5">
        <v>678.38</v>
      </c>
      <c r="O1014" t="str">
        <f>IF(ABS(Table1[[#This Row],[TotalPrice]]-Table1[[#This Row],[Quantity]]*Table1[[#This Row],[UnitPrice]]) &lt;0.01, "ok",)</f>
        <v>ok</v>
      </c>
      <c r="P1014" t="str">
        <f>PROPER(TRIM(Table1[[#This Row],[ShippingAddress]]))</f>
        <v>607 Main St</v>
      </c>
      <c r="Q1014" t="str">
        <f>PROPER(TRIM((Table1[[#This Row],[PaymentMethod]])))</f>
        <v>Credit Card</v>
      </c>
      <c r="R1014" t="str">
        <f>PROPER(TRIM(Table1[[#This Row],[ReferralSource]]))</f>
        <v>Referral</v>
      </c>
      <c r="S1014" s="5">
        <f>Table1[[#This Row],[TotalPrice]]/Table1[[#This Row],[ItemsInCart]]</f>
        <v>169.595</v>
      </c>
    </row>
    <row r="1015" spans="1:19" x14ac:dyDescent="0.3">
      <c r="A1015" t="s">
        <v>386</v>
      </c>
      <c r="B1015" s="1">
        <v>45702</v>
      </c>
      <c r="C1015" t="s">
        <v>1586</v>
      </c>
      <c r="D1015" t="s">
        <v>2406</v>
      </c>
      <c r="E1015">
        <v>3</v>
      </c>
      <c r="F1015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>
        <v>4</v>
      </c>
      <c r="L1015" t="s">
        <v>4283</v>
      </c>
      <c r="M1015" t="s">
        <v>4279</v>
      </c>
      <c r="N1015" s="5">
        <v>1450.59</v>
      </c>
      <c r="O1015" t="str">
        <f>IF(ABS(Table1[[#This Row],[TotalPrice]]-Table1[[#This Row],[Quantity]]*Table1[[#This Row],[UnitPrice]]) &lt;0.01, "ok",)</f>
        <v>ok</v>
      </c>
      <c r="P1015" t="str">
        <f>PROPER(TRIM(Table1[[#This Row],[ShippingAddress]]))</f>
        <v>166 Main St</v>
      </c>
      <c r="Q1015" t="str">
        <f>PROPER(TRIM((Table1[[#This Row],[PaymentMethod]])))</f>
        <v>Cash</v>
      </c>
      <c r="R1015" t="str">
        <f>PROPER(TRIM(Table1[[#This Row],[ReferralSource]]))</f>
        <v>Referral</v>
      </c>
      <c r="S1015" s="5">
        <f>Table1[[#This Row],[TotalPrice]]/Table1[[#This Row],[ItemsInCart]]</f>
        <v>362.64749999999998</v>
      </c>
    </row>
    <row r="1016" spans="1:19" x14ac:dyDescent="0.3">
      <c r="A1016" t="s">
        <v>365</v>
      </c>
      <c r="B1016" s="1">
        <v>45703</v>
      </c>
      <c r="C1016" t="s">
        <v>1565</v>
      </c>
      <c r="D1016" t="s">
        <v>2408</v>
      </c>
      <c r="E1016">
        <v>1</v>
      </c>
      <c r="F1016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>
        <v>4</v>
      </c>
      <c r="L1016" t="s">
        <v>4283</v>
      </c>
      <c r="M1016" t="s">
        <v>4278</v>
      </c>
      <c r="N1016" s="5">
        <v>64.66</v>
      </c>
      <c r="O1016" t="str">
        <f>IF(ABS(Table1[[#This Row],[TotalPrice]]-Table1[[#This Row],[Quantity]]*Table1[[#This Row],[UnitPrice]]) &lt;0.01, "ok",)</f>
        <v>ok</v>
      </c>
      <c r="P1016" t="str">
        <f>PROPER(TRIM(Table1[[#This Row],[ShippingAddress]]))</f>
        <v>494 Main St</v>
      </c>
      <c r="Q1016" t="str">
        <f>PROPER(TRIM((Table1[[#This Row],[PaymentMethod]])))</f>
        <v>Debit Card</v>
      </c>
      <c r="R1016" t="str">
        <f>PROPER(TRIM(Table1[[#This Row],[ReferralSource]]))</f>
        <v>Instagram</v>
      </c>
      <c r="S1016" s="5">
        <f>Table1[[#This Row],[TotalPrice]]/Table1[[#This Row],[ItemsInCart]]</f>
        <v>16.164999999999999</v>
      </c>
    </row>
    <row r="1017" spans="1:19" x14ac:dyDescent="0.3">
      <c r="A1017" t="s">
        <v>1144</v>
      </c>
      <c r="B1017" s="1">
        <v>45704</v>
      </c>
      <c r="C1017" t="s">
        <v>2334</v>
      </c>
      <c r="D1017" t="s">
        <v>2408</v>
      </c>
      <c r="E1017">
        <v>2</v>
      </c>
      <c r="F101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>
        <v>5</v>
      </c>
      <c r="L1017" t="s">
        <v>4276</v>
      </c>
      <c r="M1017" t="s">
        <v>4278</v>
      </c>
      <c r="N1017" s="5">
        <v>646.9</v>
      </c>
      <c r="O1017" t="str">
        <f>IF(ABS(Table1[[#This Row],[TotalPrice]]-Table1[[#This Row],[Quantity]]*Table1[[#This Row],[UnitPrice]]) &lt;0.01, "ok",)</f>
        <v>ok</v>
      </c>
      <c r="P1017" t="str">
        <f>PROPER(TRIM(Table1[[#This Row],[ShippingAddress]]))</f>
        <v>533 Main St</v>
      </c>
      <c r="Q1017" t="str">
        <f>PROPER(TRIM((Table1[[#This Row],[PaymentMethod]])))</f>
        <v>Credit Card</v>
      </c>
      <c r="R1017" t="str">
        <f>PROPER(TRIM(Table1[[#This Row],[ReferralSource]]))</f>
        <v>Instagram</v>
      </c>
      <c r="S1017" s="5">
        <f>Table1[[#This Row],[TotalPrice]]/Table1[[#This Row],[ItemsInCart]]</f>
        <v>129.38</v>
      </c>
    </row>
    <row r="1018" spans="1:19" x14ac:dyDescent="0.3">
      <c r="A1018" t="s">
        <v>1155</v>
      </c>
      <c r="B1018" s="1">
        <v>45704</v>
      </c>
      <c r="C1018" t="s">
        <v>2344</v>
      </c>
      <c r="D1018" t="s">
        <v>2406</v>
      </c>
      <c r="E1018">
        <v>3</v>
      </c>
      <c r="F1018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>
        <v>6</v>
      </c>
      <c r="L1018" t="s">
        <v>4283</v>
      </c>
      <c r="M1018" t="s">
        <v>4280</v>
      </c>
      <c r="N1018" s="5">
        <v>1495.98</v>
      </c>
      <c r="O1018" t="str">
        <f>IF(ABS(Table1[[#This Row],[TotalPrice]]-Table1[[#This Row],[Quantity]]*Table1[[#This Row],[UnitPrice]]) &lt;0.01, "ok",)</f>
        <v>ok</v>
      </c>
      <c r="P1018" t="str">
        <f>PROPER(TRIM(Table1[[#This Row],[ShippingAddress]]))</f>
        <v>382 Main St</v>
      </c>
      <c r="Q1018" t="str">
        <f>PROPER(TRIM((Table1[[#This Row],[PaymentMethod]])))</f>
        <v>Cash</v>
      </c>
      <c r="R1018" t="str">
        <f>PROPER(TRIM(Table1[[#This Row],[ReferralSource]]))</f>
        <v>Email</v>
      </c>
      <c r="S1018" s="5">
        <f>Table1[[#This Row],[TotalPrice]]/Table1[[#This Row],[ItemsInCart]]</f>
        <v>249.33</v>
      </c>
    </row>
    <row r="1019" spans="1:19" x14ac:dyDescent="0.3">
      <c r="A1019" t="s">
        <v>537</v>
      </c>
      <c r="B1019" s="1">
        <v>45706</v>
      </c>
      <c r="C1019" t="s">
        <v>1737</v>
      </c>
      <c r="D1019" t="s">
        <v>2409</v>
      </c>
      <c r="E1019">
        <v>4</v>
      </c>
      <c r="F1019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>
        <v>6</v>
      </c>
      <c r="L1019" t="s">
        <v>4277</v>
      </c>
      <c r="M1019" t="s">
        <v>4282</v>
      </c>
      <c r="N1019" s="5">
        <v>2631.16</v>
      </c>
      <c r="O1019" t="str">
        <f>IF(ABS(Table1[[#This Row],[TotalPrice]]-Table1[[#This Row],[Quantity]]*Table1[[#This Row],[UnitPrice]]) &lt;0.01, "ok",)</f>
        <v>ok</v>
      </c>
      <c r="P1019" t="str">
        <f>PROPER(TRIM(Table1[[#This Row],[ShippingAddress]]))</f>
        <v>652 Main St</v>
      </c>
      <c r="Q1019" t="str">
        <f>PROPER(TRIM((Table1[[#This Row],[PaymentMethod]])))</f>
        <v>Credit Card</v>
      </c>
      <c r="R1019" t="str">
        <f>PROPER(TRIM(Table1[[#This Row],[ReferralSource]]))</f>
        <v>Google</v>
      </c>
      <c r="S1019" s="5">
        <f>Table1[[#This Row],[TotalPrice]]/Table1[[#This Row],[ItemsInCart]]</f>
        <v>438.52666666666664</v>
      </c>
    </row>
    <row r="1020" spans="1:19" x14ac:dyDescent="0.3">
      <c r="A1020" t="s">
        <v>553</v>
      </c>
      <c r="B1020" s="1">
        <v>45706</v>
      </c>
      <c r="C1020" t="s">
        <v>1753</v>
      </c>
      <c r="D1020" t="s">
        <v>2409</v>
      </c>
      <c r="E1020">
        <v>3</v>
      </c>
      <c r="F1020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>
        <v>7</v>
      </c>
      <c r="L1020" t="s">
        <v>4275</v>
      </c>
      <c r="M1020" t="s">
        <v>4282</v>
      </c>
      <c r="N1020" s="5">
        <v>1595.16</v>
      </c>
      <c r="O1020" t="str">
        <f>IF(ABS(Table1[[#This Row],[TotalPrice]]-Table1[[#This Row],[Quantity]]*Table1[[#This Row],[UnitPrice]]) &lt;0.01, "ok",)</f>
        <v>ok</v>
      </c>
      <c r="P1020" t="str">
        <f>PROPER(TRIM(Table1[[#This Row],[ShippingAddress]]))</f>
        <v>473 Main St</v>
      </c>
      <c r="Q1020" t="str">
        <f>PROPER(TRIM((Table1[[#This Row],[PaymentMethod]])))</f>
        <v>Gift Card</v>
      </c>
      <c r="R1020" t="str">
        <f>PROPER(TRIM(Table1[[#This Row],[ReferralSource]]))</f>
        <v>Google</v>
      </c>
      <c r="S1020" s="5">
        <f>Table1[[#This Row],[TotalPrice]]/Table1[[#This Row],[ItemsInCart]]</f>
        <v>227.88000000000002</v>
      </c>
    </row>
    <row r="1021" spans="1:19" x14ac:dyDescent="0.3">
      <c r="A1021" t="s">
        <v>774</v>
      </c>
      <c r="B1021" s="1">
        <v>45706</v>
      </c>
      <c r="C1021" t="s">
        <v>1971</v>
      </c>
      <c r="D1021" t="s">
        <v>2409</v>
      </c>
      <c r="E1021">
        <v>1</v>
      </c>
      <c r="F1021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>
        <v>5</v>
      </c>
      <c r="L1021" t="s">
        <v>4283</v>
      </c>
      <c r="M1021" t="s">
        <v>4282</v>
      </c>
      <c r="N1021" s="5">
        <v>39.56</v>
      </c>
      <c r="O1021" t="str">
        <f>IF(ABS(Table1[[#This Row],[TotalPrice]]-Table1[[#This Row],[Quantity]]*Table1[[#This Row],[UnitPrice]]) &lt;0.01, "ok",)</f>
        <v>ok</v>
      </c>
      <c r="P1021" t="str">
        <f>PROPER(TRIM(Table1[[#This Row],[ShippingAddress]]))</f>
        <v>283 Main St</v>
      </c>
      <c r="Q1021" t="str">
        <f>PROPER(TRIM((Table1[[#This Row],[PaymentMethod]])))</f>
        <v>Debit Card</v>
      </c>
      <c r="R1021" t="str">
        <f>PROPER(TRIM(Table1[[#This Row],[ReferralSource]]))</f>
        <v>Google</v>
      </c>
      <c r="S1021" s="5">
        <f>Table1[[#This Row],[TotalPrice]]/Table1[[#This Row],[ItemsInCart]]</f>
        <v>7.9120000000000008</v>
      </c>
    </row>
    <row r="1022" spans="1:19" x14ac:dyDescent="0.3">
      <c r="A1022" t="s">
        <v>171</v>
      </c>
      <c r="B1022" s="1">
        <v>45709</v>
      </c>
      <c r="C1022" t="s">
        <v>1371</v>
      </c>
      <c r="D1022" t="s">
        <v>2403</v>
      </c>
      <c r="E1022">
        <v>2</v>
      </c>
      <c r="F1022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>
        <v>4</v>
      </c>
      <c r="L1022" t="s">
        <v>4277</v>
      </c>
      <c r="M1022" t="s">
        <v>4281</v>
      </c>
      <c r="N1022" s="5">
        <v>1129.1600000000001</v>
      </c>
      <c r="O1022" t="str">
        <f>IF(ABS(Table1[[#This Row],[TotalPrice]]-Table1[[#This Row],[Quantity]]*Table1[[#This Row],[UnitPrice]]) &lt;0.01, "ok",)</f>
        <v>ok</v>
      </c>
      <c r="P1022" t="str">
        <f>PROPER(TRIM(Table1[[#This Row],[ShippingAddress]]))</f>
        <v>636 Main St</v>
      </c>
      <c r="Q1022" t="str">
        <f>PROPER(TRIM((Table1[[#This Row],[PaymentMethod]])))</f>
        <v>Online</v>
      </c>
      <c r="R1022" t="str">
        <f>PROPER(TRIM(Table1[[#This Row],[ReferralSource]]))</f>
        <v>Facebook</v>
      </c>
      <c r="S1022" s="5">
        <f>Table1[[#This Row],[TotalPrice]]/Table1[[#This Row],[ItemsInCart]]</f>
        <v>282.29000000000002</v>
      </c>
    </row>
    <row r="1023" spans="1:19" x14ac:dyDescent="0.3">
      <c r="A1023" t="s">
        <v>744</v>
      </c>
      <c r="B1023" s="1">
        <v>45710</v>
      </c>
      <c r="C1023" t="s">
        <v>1941</v>
      </c>
      <c r="D1023" t="s">
        <v>2404</v>
      </c>
      <c r="E1023">
        <v>1</v>
      </c>
      <c r="F1023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>
        <v>4</v>
      </c>
      <c r="L1023" t="s">
        <v>4275</v>
      </c>
      <c r="M1023" t="s">
        <v>4280</v>
      </c>
      <c r="N1023" s="5">
        <v>474.6</v>
      </c>
      <c r="O1023" t="str">
        <f>IF(ABS(Table1[[#This Row],[TotalPrice]]-Table1[[#This Row],[Quantity]]*Table1[[#This Row],[UnitPrice]]) &lt;0.01, "ok",)</f>
        <v>ok</v>
      </c>
      <c r="P1023" t="str">
        <f>PROPER(TRIM(Table1[[#This Row],[ShippingAddress]]))</f>
        <v>407 Main St</v>
      </c>
      <c r="Q1023" t="str">
        <f>PROPER(TRIM((Table1[[#This Row],[PaymentMethod]])))</f>
        <v>Debit Card</v>
      </c>
      <c r="R1023" t="str">
        <f>PROPER(TRIM(Table1[[#This Row],[ReferralSource]]))</f>
        <v>Email</v>
      </c>
      <c r="S1023" s="5">
        <f>Table1[[#This Row],[TotalPrice]]/Table1[[#This Row],[ItemsInCart]]</f>
        <v>118.65</v>
      </c>
    </row>
    <row r="1024" spans="1:19" x14ac:dyDescent="0.3">
      <c r="A1024" t="s">
        <v>760</v>
      </c>
      <c r="B1024" s="1">
        <v>45712</v>
      </c>
      <c r="C1024" t="s">
        <v>1957</v>
      </c>
      <c r="D1024" t="s">
        <v>2409</v>
      </c>
      <c r="E1024">
        <v>3</v>
      </c>
      <c r="F1024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>
        <v>6</v>
      </c>
      <c r="L1024" t="s">
        <v>4277</v>
      </c>
      <c r="M1024" t="s">
        <v>4279</v>
      </c>
      <c r="N1024" s="5">
        <v>1985.67</v>
      </c>
      <c r="O1024" t="str">
        <f>IF(ABS(Table1[[#This Row],[TotalPrice]]-Table1[[#This Row],[Quantity]]*Table1[[#This Row],[UnitPrice]]) &lt;0.01, "ok",)</f>
        <v>ok</v>
      </c>
      <c r="P1024" t="str">
        <f>PROPER(TRIM(Table1[[#This Row],[ShippingAddress]]))</f>
        <v>551 Main St</v>
      </c>
      <c r="Q1024" t="str">
        <f>PROPER(TRIM((Table1[[#This Row],[PaymentMethod]])))</f>
        <v>Online</v>
      </c>
      <c r="R1024" t="str">
        <f>PROPER(TRIM(Table1[[#This Row],[ReferralSource]]))</f>
        <v>Referral</v>
      </c>
      <c r="S1024" s="5">
        <f>Table1[[#This Row],[TotalPrice]]/Table1[[#This Row],[ItemsInCart]]</f>
        <v>330.94499999999999</v>
      </c>
    </row>
    <row r="1025" spans="1:19" x14ac:dyDescent="0.3">
      <c r="A1025" t="s">
        <v>1036</v>
      </c>
      <c r="B1025" s="1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 s="5">
        <v>1352.94</v>
      </c>
      <c r="O1025" t="str">
        <f>IF(ABS(Table1[[#This Row],[TotalPrice]]-Table1[[#This Row],[Quantity]]*Table1[[#This Row],[UnitPrice]]) &lt;0.01, "ok",)</f>
        <v>ok</v>
      </c>
      <c r="P1025" t="str">
        <f>PROPER(TRIM(Table1[[#This Row],[ShippingAddress]]))</f>
        <v>396 Main St</v>
      </c>
      <c r="Q1025" t="str">
        <f>PROPER(TRIM((Table1[[#This Row],[PaymentMethod]])))</f>
        <v>Credit Card</v>
      </c>
      <c r="R1025" t="str">
        <f>PROPER(TRIM(Table1[[#This Row],[ReferralSource]]))</f>
        <v>Referral</v>
      </c>
      <c r="S1025" s="5">
        <f>Table1[[#This Row],[TotalPrice]]/Table1[[#This Row],[ItemsInCart]]</f>
        <v>169.11750000000001</v>
      </c>
    </row>
    <row r="1026" spans="1:19" x14ac:dyDescent="0.3">
      <c r="A1026" t="s">
        <v>103</v>
      </c>
      <c r="B1026" s="1">
        <v>45713</v>
      </c>
      <c r="C1026" t="s">
        <v>1303</v>
      </c>
      <c r="D1026" t="s">
        <v>2407</v>
      </c>
      <c r="E1026">
        <v>5</v>
      </c>
      <c r="F1026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>
        <v>8</v>
      </c>
      <c r="L1026" t="s">
        <v>4276</v>
      </c>
      <c r="M1026" t="s">
        <v>4282</v>
      </c>
      <c r="N1026" s="5">
        <v>2276.65</v>
      </c>
      <c r="O1026" t="str">
        <f>IF(ABS(Table1[[#This Row],[TotalPrice]]-Table1[[#This Row],[Quantity]]*Table1[[#This Row],[UnitPrice]]) &lt;0.01, "ok",)</f>
        <v>ok</v>
      </c>
      <c r="P1026" t="str">
        <f>PROPER(TRIM(Table1[[#This Row],[ShippingAddress]]))</f>
        <v>291 Main St</v>
      </c>
      <c r="Q1026" t="str">
        <f>PROPER(TRIM((Table1[[#This Row],[PaymentMethod]])))</f>
        <v>Credit Card</v>
      </c>
      <c r="R1026" t="str">
        <f>PROPER(TRIM(Table1[[#This Row],[ReferralSource]]))</f>
        <v>Google</v>
      </c>
      <c r="S1026" s="5">
        <f>Table1[[#This Row],[TotalPrice]]/Table1[[#This Row],[ItemsInCart]]</f>
        <v>284.58125000000001</v>
      </c>
    </row>
    <row r="1027" spans="1:19" x14ac:dyDescent="0.3">
      <c r="A1027" t="s">
        <v>487</v>
      </c>
      <c r="B1027" s="1">
        <v>45713</v>
      </c>
      <c r="C1027" t="s">
        <v>1687</v>
      </c>
      <c r="D1027" t="s">
        <v>2406</v>
      </c>
      <c r="E1027">
        <v>2</v>
      </c>
      <c r="F102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>
        <v>4</v>
      </c>
      <c r="L1027" t="s">
        <v>4283</v>
      </c>
      <c r="M1027" t="s">
        <v>4281</v>
      </c>
      <c r="N1027" s="5">
        <v>29.86</v>
      </c>
      <c r="O1027" t="str">
        <f>IF(ABS(Table1[[#This Row],[TotalPrice]]-Table1[[#This Row],[Quantity]]*Table1[[#This Row],[UnitPrice]]) &lt;0.01, "ok",)</f>
        <v>ok</v>
      </c>
      <c r="P1027" t="str">
        <f>PROPER(TRIM(Table1[[#This Row],[ShippingAddress]]))</f>
        <v>449 Main St</v>
      </c>
      <c r="Q1027" t="str">
        <f>PROPER(TRIM((Table1[[#This Row],[PaymentMethod]])))</f>
        <v>Online</v>
      </c>
      <c r="R1027" t="str">
        <f>PROPER(TRIM(Table1[[#This Row],[ReferralSource]]))</f>
        <v>Facebook</v>
      </c>
      <c r="S1027" s="5">
        <f>Table1[[#This Row],[TotalPrice]]/Table1[[#This Row],[ItemsInCart]]</f>
        <v>7.4649999999999999</v>
      </c>
    </row>
    <row r="1028" spans="1:19" x14ac:dyDescent="0.3">
      <c r="A1028" t="s">
        <v>563</v>
      </c>
      <c r="B1028" s="1">
        <v>45713</v>
      </c>
      <c r="C1028" t="s">
        <v>1763</v>
      </c>
      <c r="D1028" t="s">
        <v>2403</v>
      </c>
      <c r="E1028">
        <v>4</v>
      </c>
      <c r="F1028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>
        <v>8</v>
      </c>
      <c r="L1028" t="s">
        <v>4277</v>
      </c>
      <c r="M1028" t="s">
        <v>4278</v>
      </c>
      <c r="N1028" s="5">
        <v>2519.52</v>
      </c>
      <c r="O1028" t="str">
        <f>IF(ABS(Table1[[#This Row],[TotalPrice]]-Table1[[#This Row],[Quantity]]*Table1[[#This Row],[UnitPrice]]) &lt;0.01, "ok",)</f>
        <v>ok</v>
      </c>
      <c r="P1028" t="str">
        <f>PROPER(TRIM(Table1[[#This Row],[ShippingAddress]]))</f>
        <v>550 Main St</v>
      </c>
      <c r="Q1028" t="str">
        <f>PROPER(TRIM((Table1[[#This Row],[PaymentMethod]])))</f>
        <v>Debit Card</v>
      </c>
      <c r="R1028" t="str">
        <f>PROPER(TRIM(Table1[[#This Row],[ReferralSource]]))</f>
        <v>Instagram</v>
      </c>
      <c r="S1028" s="5">
        <f>Table1[[#This Row],[TotalPrice]]/Table1[[#This Row],[ItemsInCart]]</f>
        <v>314.94</v>
      </c>
    </row>
    <row r="1029" spans="1:19" x14ac:dyDescent="0.3">
      <c r="A1029" t="s">
        <v>542</v>
      </c>
      <c r="B1029" s="1">
        <v>45714</v>
      </c>
      <c r="C1029" t="s">
        <v>1742</v>
      </c>
      <c r="D1029" t="s">
        <v>2406</v>
      </c>
      <c r="E1029">
        <v>1</v>
      </c>
      <c r="F1029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>
        <v>2</v>
      </c>
      <c r="L1029" t="s">
        <v>4275</v>
      </c>
      <c r="M1029" t="s">
        <v>4279</v>
      </c>
      <c r="N1029" s="5">
        <v>628.89</v>
      </c>
      <c r="O1029" t="str">
        <f>IF(ABS(Table1[[#This Row],[TotalPrice]]-Table1[[#This Row],[Quantity]]*Table1[[#This Row],[UnitPrice]]) &lt;0.01, "ok",)</f>
        <v>ok</v>
      </c>
      <c r="P1029" t="str">
        <f>PROPER(TRIM(Table1[[#This Row],[ShippingAddress]]))</f>
        <v>686 Main St</v>
      </c>
      <c r="Q1029" t="str">
        <f>PROPER(TRIM((Table1[[#This Row],[PaymentMethod]])))</f>
        <v>Credit Card</v>
      </c>
      <c r="R1029" t="str">
        <f>PROPER(TRIM(Table1[[#This Row],[ReferralSource]]))</f>
        <v>Referral</v>
      </c>
      <c r="S1029" s="5">
        <f>Table1[[#This Row],[TotalPrice]]/Table1[[#This Row],[ItemsInCart]]</f>
        <v>314.44499999999999</v>
      </c>
    </row>
    <row r="1030" spans="1:19" x14ac:dyDescent="0.3">
      <c r="A1030" t="s">
        <v>53</v>
      </c>
      <c r="B1030" s="1">
        <v>45715</v>
      </c>
      <c r="C1030" t="s">
        <v>1253</v>
      </c>
      <c r="D1030" t="s">
        <v>2407</v>
      </c>
      <c r="E1030">
        <v>3</v>
      </c>
      <c r="F1030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>
        <v>4</v>
      </c>
      <c r="L1030" t="s">
        <v>4275</v>
      </c>
      <c r="M1030" t="s">
        <v>4279</v>
      </c>
      <c r="N1030" s="5">
        <v>769.37999999999988</v>
      </c>
      <c r="O1030" t="str">
        <f>IF(ABS(Table1[[#This Row],[TotalPrice]]-Table1[[#This Row],[Quantity]]*Table1[[#This Row],[UnitPrice]]) &lt;0.01, "ok",)</f>
        <v>ok</v>
      </c>
      <c r="P1030" t="str">
        <f>PROPER(TRIM(Table1[[#This Row],[ShippingAddress]]))</f>
        <v>666 Main St</v>
      </c>
      <c r="Q1030" t="str">
        <f>PROPER(TRIM((Table1[[#This Row],[PaymentMethod]])))</f>
        <v>Credit Card</v>
      </c>
      <c r="R1030" t="str">
        <f>PROPER(TRIM(Table1[[#This Row],[ReferralSource]]))</f>
        <v>Referral</v>
      </c>
      <c r="S1030" s="5">
        <f>Table1[[#This Row],[TotalPrice]]/Table1[[#This Row],[ItemsInCart]]</f>
        <v>192.34499999999997</v>
      </c>
    </row>
    <row r="1031" spans="1:19" x14ac:dyDescent="0.3">
      <c r="A1031" t="s">
        <v>966</v>
      </c>
      <c r="B1031" s="1">
        <v>45715</v>
      </c>
      <c r="C1031" t="s">
        <v>2160</v>
      </c>
      <c r="D1031" t="s">
        <v>2403</v>
      </c>
      <c r="E1031">
        <v>3</v>
      </c>
      <c r="F1031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>
        <v>5</v>
      </c>
      <c r="L1031" t="s">
        <v>4283</v>
      </c>
      <c r="M1031" t="s">
        <v>4281</v>
      </c>
      <c r="N1031" s="5">
        <v>1510.17</v>
      </c>
      <c r="O1031" t="str">
        <f>IF(ABS(Table1[[#This Row],[TotalPrice]]-Table1[[#This Row],[Quantity]]*Table1[[#This Row],[UnitPrice]]) &lt;0.01, "ok",)</f>
        <v>ok</v>
      </c>
      <c r="P1031" t="str">
        <f>PROPER(TRIM(Table1[[#This Row],[ShippingAddress]]))</f>
        <v>225 Main St</v>
      </c>
      <c r="Q1031" t="str">
        <f>PROPER(TRIM((Table1[[#This Row],[PaymentMethod]])))</f>
        <v>Online</v>
      </c>
      <c r="R1031" t="str">
        <f>PROPER(TRIM(Table1[[#This Row],[ReferralSource]]))</f>
        <v>Facebook</v>
      </c>
      <c r="S1031" s="5">
        <f>Table1[[#This Row],[TotalPrice]]/Table1[[#This Row],[ItemsInCart]]</f>
        <v>302.03399999999999</v>
      </c>
    </row>
    <row r="1032" spans="1:19" x14ac:dyDescent="0.3">
      <c r="A1032" t="s">
        <v>297</v>
      </c>
      <c r="B1032" s="1">
        <v>45716</v>
      </c>
      <c r="C1032" t="s">
        <v>1497</v>
      </c>
      <c r="D1032" t="s">
        <v>2408</v>
      </c>
      <c r="E1032">
        <v>4</v>
      </c>
      <c r="F1032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>
        <v>6</v>
      </c>
      <c r="L1032" t="s">
        <v>4283</v>
      </c>
      <c r="M1032" t="s">
        <v>4282</v>
      </c>
      <c r="N1032" s="5">
        <v>2161.3200000000002</v>
      </c>
      <c r="O1032" t="str">
        <f>IF(ABS(Table1[[#This Row],[TotalPrice]]-Table1[[#This Row],[Quantity]]*Table1[[#This Row],[UnitPrice]]) &lt;0.01, "ok",)</f>
        <v>ok</v>
      </c>
      <c r="P1032" t="str">
        <f>PROPER(TRIM(Table1[[#This Row],[ShippingAddress]]))</f>
        <v>990 Main St</v>
      </c>
      <c r="Q1032" t="str">
        <f>PROPER(TRIM((Table1[[#This Row],[PaymentMethod]])))</f>
        <v>Cash</v>
      </c>
      <c r="R1032" t="str">
        <f>PROPER(TRIM(Table1[[#This Row],[ReferralSource]]))</f>
        <v>Google</v>
      </c>
      <c r="S1032" s="5">
        <f>Table1[[#This Row],[TotalPrice]]/Table1[[#This Row],[ItemsInCart]]</f>
        <v>360.22</v>
      </c>
    </row>
    <row r="1033" spans="1:19" x14ac:dyDescent="0.3">
      <c r="A1033" t="s">
        <v>675</v>
      </c>
      <c r="B1033" s="1">
        <v>45716</v>
      </c>
      <c r="C1033" t="s">
        <v>1874</v>
      </c>
      <c r="D1033" t="s">
        <v>2405</v>
      </c>
      <c r="E1033">
        <v>3</v>
      </c>
      <c r="F1033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>
        <v>6</v>
      </c>
      <c r="L1033" t="s">
        <v>4276</v>
      </c>
      <c r="M1033" t="s">
        <v>4282</v>
      </c>
      <c r="N1033" s="5">
        <v>1274.67</v>
      </c>
      <c r="O1033" t="str">
        <f>IF(ABS(Table1[[#This Row],[TotalPrice]]-Table1[[#This Row],[Quantity]]*Table1[[#This Row],[UnitPrice]]) &lt;0.01, "ok",)</f>
        <v>ok</v>
      </c>
      <c r="P1033" t="str">
        <f>PROPER(TRIM(Table1[[#This Row],[ShippingAddress]]))</f>
        <v>116 Main St</v>
      </c>
      <c r="Q1033" t="str">
        <f>PROPER(TRIM((Table1[[#This Row],[PaymentMethod]])))</f>
        <v>Debit Card</v>
      </c>
      <c r="R1033" t="str">
        <f>PROPER(TRIM(Table1[[#This Row],[ReferralSource]]))</f>
        <v>Google</v>
      </c>
      <c r="S1033" s="5">
        <f>Table1[[#This Row],[TotalPrice]]/Table1[[#This Row],[ItemsInCart]]</f>
        <v>212.44500000000002</v>
      </c>
    </row>
    <row r="1034" spans="1:19" x14ac:dyDescent="0.3">
      <c r="A1034" t="s">
        <v>998</v>
      </c>
      <c r="B1034" s="1">
        <v>45716</v>
      </c>
      <c r="C1034" t="s">
        <v>2191</v>
      </c>
      <c r="D1034" t="s">
        <v>2409</v>
      </c>
      <c r="E1034">
        <v>1</v>
      </c>
      <c r="F1034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>
        <v>1</v>
      </c>
      <c r="L1034" t="s">
        <v>4276</v>
      </c>
      <c r="M1034" t="s">
        <v>4281</v>
      </c>
      <c r="N1034" s="5">
        <v>77.64</v>
      </c>
      <c r="O1034" t="str">
        <f>IF(ABS(Table1[[#This Row],[TotalPrice]]-Table1[[#This Row],[Quantity]]*Table1[[#This Row],[UnitPrice]]) &lt;0.01, "ok",)</f>
        <v>ok</v>
      </c>
      <c r="P1034" t="str">
        <f>PROPER(TRIM(Table1[[#This Row],[ShippingAddress]]))</f>
        <v>706 Main St</v>
      </c>
      <c r="Q1034" t="str">
        <f>PROPER(TRIM((Table1[[#This Row],[PaymentMethod]])))</f>
        <v>Credit Card</v>
      </c>
      <c r="R1034" t="str">
        <f>PROPER(TRIM(Table1[[#This Row],[ReferralSource]]))</f>
        <v>Facebook</v>
      </c>
      <c r="S1034" s="5">
        <f>Table1[[#This Row],[TotalPrice]]/Table1[[#This Row],[ItemsInCart]]</f>
        <v>77.64</v>
      </c>
    </row>
    <row r="1035" spans="1:19" x14ac:dyDescent="0.3">
      <c r="A1035" t="s">
        <v>1043</v>
      </c>
      <c r="B1035" s="1">
        <v>45717</v>
      </c>
      <c r="C1035" t="s">
        <v>2235</v>
      </c>
      <c r="D1035" t="s">
        <v>2409</v>
      </c>
      <c r="E1035">
        <v>1</v>
      </c>
      <c r="F1035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>
        <v>4</v>
      </c>
      <c r="L1035" t="s">
        <v>4276</v>
      </c>
      <c r="M1035" t="s">
        <v>4280</v>
      </c>
      <c r="N1035" s="5">
        <v>87.06</v>
      </c>
      <c r="O1035" t="str">
        <f>IF(ABS(Table1[[#This Row],[TotalPrice]]-Table1[[#This Row],[Quantity]]*Table1[[#This Row],[UnitPrice]]) &lt;0.01, "ok",)</f>
        <v>ok</v>
      </c>
      <c r="P1035" t="str">
        <f>PROPER(TRIM(Table1[[#This Row],[ShippingAddress]]))</f>
        <v>851 Main St</v>
      </c>
      <c r="Q1035" t="str">
        <f>PROPER(TRIM((Table1[[#This Row],[PaymentMethod]])))</f>
        <v>Credit Card</v>
      </c>
      <c r="R1035" t="str">
        <f>PROPER(TRIM(Table1[[#This Row],[ReferralSource]]))</f>
        <v>Email</v>
      </c>
      <c r="S1035" s="5">
        <f>Table1[[#This Row],[TotalPrice]]/Table1[[#This Row],[ItemsInCart]]</f>
        <v>21.765000000000001</v>
      </c>
    </row>
    <row r="1036" spans="1:19" x14ac:dyDescent="0.3">
      <c r="A1036" t="s">
        <v>1153</v>
      </c>
      <c r="B1036" s="1">
        <v>45717</v>
      </c>
      <c r="C1036" t="s">
        <v>2256</v>
      </c>
      <c r="D1036" t="s">
        <v>2406</v>
      </c>
      <c r="E1036">
        <v>3</v>
      </c>
      <c r="F1036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>
        <v>4</v>
      </c>
      <c r="L1036" t="s">
        <v>4276</v>
      </c>
      <c r="M1036" t="s">
        <v>4280</v>
      </c>
      <c r="N1036" s="5">
        <v>1505.46</v>
      </c>
      <c r="O1036" t="str">
        <f>IF(ABS(Table1[[#This Row],[TotalPrice]]-Table1[[#This Row],[Quantity]]*Table1[[#This Row],[UnitPrice]]) &lt;0.01, "ok",)</f>
        <v>ok</v>
      </c>
      <c r="P1036" t="str">
        <f>PROPER(TRIM(Table1[[#This Row],[ShippingAddress]]))</f>
        <v>568 Main St</v>
      </c>
      <c r="Q1036" t="str">
        <f>PROPER(TRIM((Table1[[#This Row],[PaymentMethod]])))</f>
        <v>Gift Card</v>
      </c>
      <c r="R1036" t="str">
        <f>PROPER(TRIM(Table1[[#This Row],[ReferralSource]]))</f>
        <v>Email</v>
      </c>
      <c r="S1036" s="5">
        <f>Table1[[#This Row],[TotalPrice]]/Table1[[#This Row],[ItemsInCart]]</f>
        <v>376.36500000000001</v>
      </c>
    </row>
    <row r="1037" spans="1:19" x14ac:dyDescent="0.3">
      <c r="A1037" t="s">
        <v>496</v>
      </c>
      <c r="B1037" s="1">
        <v>45718</v>
      </c>
      <c r="C1037" t="s">
        <v>1696</v>
      </c>
      <c r="D1037" t="s">
        <v>2403</v>
      </c>
      <c r="E1037">
        <v>3</v>
      </c>
      <c r="F103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>
        <v>6</v>
      </c>
      <c r="L1037" t="s">
        <v>4283</v>
      </c>
      <c r="M1037" t="s">
        <v>4278</v>
      </c>
      <c r="N1037" s="5">
        <v>1144.23</v>
      </c>
      <c r="O1037" t="str">
        <f>IF(ABS(Table1[[#This Row],[TotalPrice]]-Table1[[#This Row],[Quantity]]*Table1[[#This Row],[UnitPrice]]) &lt;0.01, "ok",)</f>
        <v>ok</v>
      </c>
      <c r="P1037" t="str">
        <f>PROPER(TRIM(Table1[[#This Row],[ShippingAddress]]))</f>
        <v>989 Main St</v>
      </c>
      <c r="Q1037" t="str">
        <f>PROPER(TRIM((Table1[[#This Row],[PaymentMethod]])))</f>
        <v>Online</v>
      </c>
      <c r="R1037" t="str">
        <f>PROPER(TRIM(Table1[[#This Row],[ReferralSource]]))</f>
        <v>Instagram</v>
      </c>
      <c r="S1037" s="5">
        <f>Table1[[#This Row],[TotalPrice]]/Table1[[#This Row],[ItemsInCart]]</f>
        <v>190.70500000000001</v>
      </c>
    </row>
    <row r="1038" spans="1:19" x14ac:dyDescent="0.3">
      <c r="A1038" t="s">
        <v>720</v>
      </c>
      <c r="B1038" s="1">
        <v>45718</v>
      </c>
      <c r="C1038" t="s">
        <v>1918</v>
      </c>
      <c r="D1038" t="s">
        <v>2409</v>
      </c>
      <c r="E1038">
        <v>5</v>
      </c>
      <c r="F1038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>
        <v>9</v>
      </c>
      <c r="L1038" t="s">
        <v>4276</v>
      </c>
      <c r="M1038" t="s">
        <v>4281</v>
      </c>
      <c r="N1038" s="5">
        <v>1140.45</v>
      </c>
      <c r="O1038" t="str">
        <f>IF(ABS(Table1[[#This Row],[TotalPrice]]-Table1[[#This Row],[Quantity]]*Table1[[#This Row],[UnitPrice]]) &lt;0.01, "ok",)</f>
        <v>ok</v>
      </c>
      <c r="P1038" t="str">
        <f>PROPER(TRIM(Table1[[#This Row],[ShippingAddress]]))</f>
        <v>969 Main St</v>
      </c>
      <c r="Q1038" t="str">
        <f>PROPER(TRIM((Table1[[#This Row],[PaymentMethod]])))</f>
        <v>Gift Card</v>
      </c>
      <c r="R1038" t="str">
        <f>PROPER(TRIM(Table1[[#This Row],[ReferralSource]]))</f>
        <v>Facebook</v>
      </c>
      <c r="S1038" s="5">
        <f>Table1[[#This Row],[TotalPrice]]/Table1[[#This Row],[ItemsInCart]]</f>
        <v>126.71666666666667</v>
      </c>
    </row>
    <row r="1039" spans="1:19" x14ac:dyDescent="0.3">
      <c r="A1039" t="s">
        <v>349</v>
      </c>
      <c r="B1039" s="1">
        <v>45719</v>
      </c>
      <c r="C1039" t="s">
        <v>1549</v>
      </c>
      <c r="D1039" t="s">
        <v>2405</v>
      </c>
      <c r="E1039">
        <v>3</v>
      </c>
      <c r="F1039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>
        <v>4</v>
      </c>
      <c r="L1039" t="s">
        <v>4283</v>
      </c>
      <c r="M1039" t="s">
        <v>4280</v>
      </c>
      <c r="N1039" s="5">
        <v>617.58000000000004</v>
      </c>
      <c r="O1039" t="str">
        <f>IF(ABS(Table1[[#This Row],[TotalPrice]]-Table1[[#This Row],[Quantity]]*Table1[[#This Row],[UnitPrice]]) &lt;0.01, "ok",)</f>
        <v>ok</v>
      </c>
      <c r="P1039" t="str">
        <f>PROPER(TRIM(Table1[[#This Row],[ShippingAddress]]))</f>
        <v>978 Main St</v>
      </c>
      <c r="Q1039" t="str">
        <f>PROPER(TRIM((Table1[[#This Row],[PaymentMethod]])))</f>
        <v>Gift Card</v>
      </c>
      <c r="R1039" t="str">
        <f>PROPER(TRIM(Table1[[#This Row],[ReferralSource]]))</f>
        <v>Email</v>
      </c>
      <c r="S1039" s="5">
        <f>Table1[[#This Row],[TotalPrice]]/Table1[[#This Row],[ItemsInCart]]</f>
        <v>154.39500000000001</v>
      </c>
    </row>
    <row r="1040" spans="1:19" x14ac:dyDescent="0.3">
      <c r="A1040" t="s">
        <v>180</v>
      </c>
      <c r="B1040" s="1">
        <v>45720</v>
      </c>
      <c r="C1040" t="s">
        <v>1380</v>
      </c>
      <c r="D1040" t="s">
        <v>2406</v>
      </c>
      <c r="E1040">
        <v>3</v>
      </c>
      <c r="F1040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>
        <v>6</v>
      </c>
      <c r="L1040" t="s">
        <v>4277</v>
      </c>
      <c r="M1040" t="s">
        <v>4278</v>
      </c>
      <c r="N1040" s="5">
        <v>258.87</v>
      </c>
      <c r="O1040" t="str">
        <f>IF(ABS(Table1[[#This Row],[TotalPrice]]-Table1[[#This Row],[Quantity]]*Table1[[#This Row],[UnitPrice]]) &lt;0.01, "ok",)</f>
        <v>ok</v>
      </c>
      <c r="P1040" t="str">
        <f>PROPER(TRIM(Table1[[#This Row],[ShippingAddress]]))</f>
        <v>565 Main St</v>
      </c>
      <c r="Q1040" t="str">
        <f>PROPER(TRIM((Table1[[#This Row],[PaymentMethod]])))</f>
        <v>Cash</v>
      </c>
      <c r="R1040" t="str">
        <f>PROPER(TRIM(Table1[[#This Row],[ReferralSource]]))</f>
        <v>Instagram</v>
      </c>
      <c r="S1040" s="5">
        <f>Table1[[#This Row],[TotalPrice]]/Table1[[#This Row],[ItemsInCart]]</f>
        <v>43.145000000000003</v>
      </c>
    </row>
    <row r="1041" spans="1:19" x14ac:dyDescent="0.3">
      <c r="A1041" t="s">
        <v>722</v>
      </c>
      <c r="B1041" s="1">
        <v>45720</v>
      </c>
      <c r="C1041" t="s">
        <v>1920</v>
      </c>
      <c r="D1041" t="s">
        <v>2407</v>
      </c>
      <c r="E1041">
        <v>1</v>
      </c>
      <c r="F1041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>
        <v>3</v>
      </c>
      <c r="L1041" t="s">
        <v>4276</v>
      </c>
      <c r="M1041" t="s">
        <v>4278</v>
      </c>
      <c r="N1041" s="5">
        <v>665.11</v>
      </c>
      <c r="O1041" t="str">
        <f>IF(ABS(Table1[[#This Row],[TotalPrice]]-Table1[[#This Row],[Quantity]]*Table1[[#This Row],[UnitPrice]]) &lt;0.01, "ok",)</f>
        <v>ok</v>
      </c>
      <c r="P1041" t="str">
        <f>PROPER(TRIM(Table1[[#This Row],[ShippingAddress]]))</f>
        <v>788 Main St</v>
      </c>
      <c r="Q1041" t="str">
        <f>PROPER(TRIM((Table1[[#This Row],[PaymentMethod]])))</f>
        <v>Cash</v>
      </c>
      <c r="R1041" t="str">
        <f>PROPER(TRIM(Table1[[#This Row],[ReferralSource]]))</f>
        <v>Instagram</v>
      </c>
      <c r="S1041" s="5">
        <f>Table1[[#This Row],[TotalPrice]]/Table1[[#This Row],[ItemsInCart]]</f>
        <v>221.70333333333335</v>
      </c>
    </row>
    <row r="1042" spans="1:19" x14ac:dyDescent="0.3">
      <c r="A1042" t="s">
        <v>491</v>
      </c>
      <c r="B1042" s="1">
        <v>45721</v>
      </c>
      <c r="C1042" t="s">
        <v>1691</v>
      </c>
      <c r="D1042" t="s">
        <v>2404</v>
      </c>
      <c r="E1042">
        <v>2</v>
      </c>
      <c r="F1042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>
        <v>5</v>
      </c>
      <c r="L1042" t="s">
        <v>4275</v>
      </c>
      <c r="M1042" t="s">
        <v>4282</v>
      </c>
      <c r="N1042" s="5">
        <v>507.48</v>
      </c>
      <c r="O1042" t="str">
        <f>IF(ABS(Table1[[#This Row],[TotalPrice]]-Table1[[#This Row],[Quantity]]*Table1[[#This Row],[UnitPrice]]) &lt;0.01, "ok",)</f>
        <v>ok</v>
      </c>
      <c r="P1042" t="str">
        <f>PROPER(TRIM(Table1[[#This Row],[ShippingAddress]]))</f>
        <v>481 Main St</v>
      </c>
      <c r="Q1042" t="str">
        <f>PROPER(TRIM((Table1[[#This Row],[PaymentMethod]])))</f>
        <v>Online</v>
      </c>
      <c r="R1042" t="str">
        <f>PROPER(TRIM(Table1[[#This Row],[ReferralSource]]))</f>
        <v>Google</v>
      </c>
      <c r="S1042" s="5">
        <f>Table1[[#This Row],[TotalPrice]]/Table1[[#This Row],[ItemsInCart]]</f>
        <v>101.49600000000001</v>
      </c>
    </row>
    <row r="1043" spans="1:19" x14ac:dyDescent="0.3">
      <c r="A1043" t="s">
        <v>912</v>
      </c>
      <c r="B1043" s="1">
        <v>45721</v>
      </c>
      <c r="C1043" t="s">
        <v>2108</v>
      </c>
      <c r="D1043" t="s">
        <v>2403</v>
      </c>
      <c r="E1043">
        <v>3</v>
      </c>
      <c r="F1043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>
        <v>6</v>
      </c>
      <c r="L1043" t="s">
        <v>4283</v>
      </c>
      <c r="M1043" t="s">
        <v>4279</v>
      </c>
      <c r="N1043" s="5">
        <v>475.11</v>
      </c>
      <c r="O1043" t="str">
        <f>IF(ABS(Table1[[#This Row],[TotalPrice]]-Table1[[#This Row],[Quantity]]*Table1[[#This Row],[UnitPrice]]) &lt;0.01, "ok",)</f>
        <v>ok</v>
      </c>
      <c r="P1043" t="str">
        <f>PROPER(TRIM(Table1[[#This Row],[ShippingAddress]]))</f>
        <v>742 Main St</v>
      </c>
      <c r="Q1043" t="str">
        <f>PROPER(TRIM((Table1[[#This Row],[PaymentMethod]])))</f>
        <v>Cash</v>
      </c>
      <c r="R1043" t="str">
        <f>PROPER(TRIM(Table1[[#This Row],[ReferralSource]]))</f>
        <v>Referral</v>
      </c>
      <c r="S1043" s="5">
        <f>Table1[[#This Row],[TotalPrice]]/Table1[[#This Row],[ItemsInCart]]</f>
        <v>79.185000000000002</v>
      </c>
    </row>
    <row r="1044" spans="1:19" x14ac:dyDescent="0.3">
      <c r="A1044" t="s">
        <v>1065</v>
      </c>
      <c r="B1044" s="1">
        <v>45721</v>
      </c>
      <c r="C1044" t="s">
        <v>2257</v>
      </c>
      <c r="D1044" t="s">
        <v>2403</v>
      </c>
      <c r="E1044">
        <v>5</v>
      </c>
      <c r="F1044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>
        <v>5</v>
      </c>
      <c r="L1044" t="s">
        <v>4276</v>
      </c>
      <c r="M1044" t="s">
        <v>4281</v>
      </c>
      <c r="N1044" s="5">
        <v>132.15</v>
      </c>
      <c r="O1044" t="str">
        <f>IF(ABS(Table1[[#This Row],[TotalPrice]]-Table1[[#This Row],[Quantity]]*Table1[[#This Row],[UnitPrice]]) &lt;0.01, "ok",)</f>
        <v>ok</v>
      </c>
      <c r="P1044" t="str">
        <f>PROPER(TRIM(Table1[[#This Row],[ShippingAddress]]))</f>
        <v>820 Main St</v>
      </c>
      <c r="Q1044" t="str">
        <f>PROPER(TRIM((Table1[[#This Row],[PaymentMethod]])))</f>
        <v>Gift Card</v>
      </c>
      <c r="R1044" t="str">
        <f>PROPER(TRIM(Table1[[#This Row],[ReferralSource]]))</f>
        <v>Facebook</v>
      </c>
      <c r="S1044" s="5">
        <f>Table1[[#This Row],[TotalPrice]]/Table1[[#This Row],[ItemsInCart]]</f>
        <v>26.43</v>
      </c>
    </row>
    <row r="1045" spans="1:19" x14ac:dyDescent="0.3">
      <c r="A1045" t="s">
        <v>358</v>
      </c>
      <c r="B1045" s="1">
        <v>45722</v>
      </c>
      <c r="C1045" t="s">
        <v>1558</v>
      </c>
      <c r="D1045" t="s">
        <v>2405</v>
      </c>
      <c r="E1045">
        <v>3</v>
      </c>
      <c r="F1045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>
        <v>3</v>
      </c>
      <c r="L1045" t="s">
        <v>4275</v>
      </c>
      <c r="M1045" t="s">
        <v>4278</v>
      </c>
      <c r="N1045" s="5">
        <v>1870.02</v>
      </c>
      <c r="O1045" t="str">
        <f>IF(ABS(Table1[[#This Row],[TotalPrice]]-Table1[[#This Row],[Quantity]]*Table1[[#This Row],[UnitPrice]]) &lt;0.01, "ok",)</f>
        <v>ok</v>
      </c>
      <c r="P1045" t="str">
        <f>PROPER(TRIM(Table1[[#This Row],[ShippingAddress]]))</f>
        <v>248 Main St</v>
      </c>
      <c r="Q1045" t="str">
        <f>PROPER(TRIM((Table1[[#This Row],[PaymentMethod]])))</f>
        <v>Online</v>
      </c>
      <c r="R1045" t="str">
        <f>PROPER(TRIM(Table1[[#This Row],[ReferralSource]]))</f>
        <v>Instagram</v>
      </c>
      <c r="S1045" s="5">
        <f>Table1[[#This Row],[TotalPrice]]/Table1[[#This Row],[ItemsInCart]]</f>
        <v>623.34</v>
      </c>
    </row>
    <row r="1046" spans="1:19" x14ac:dyDescent="0.3">
      <c r="A1046" t="s">
        <v>629</v>
      </c>
      <c r="B1046" s="1">
        <v>45723</v>
      </c>
      <c r="C1046" t="s">
        <v>1828</v>
      </c>
      <c r="D1046" t="s">
        <v>2403</v>
      </c>
      <c r="E1046">
        <v>5</v>
      </c>
      <c r="F1046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>
        <v>10</v>
      </c>
      <c r="L1046" t="s">
        <v>4277</v>
      </c>
      <c r="M1046" t="s">
        <v>4281</v>
      </c>
      <c r="N1046" s="5">
        <v>2300.6999999999998</v>
      </c>
      <c r="O1046" t="str">
        <f>IF(ABS(Table1[[#This Row],[TotalPrice]]-Table1[[#This Row],[Quantity]]*Table1[[#This Row],[UnitPrice]]) &lt;0.01, "ok",)</f>
        <v>ok</v>
      </c>
      <c r="P1046" t="str">
        <f>PROPER(TRIM(Table1[[#This Row],[ShippingAddress]]))</f>
        <v>252 Main St</v>
      </c>
      <c r="Q1046" t="str">
        <f>PROPER(TRIM((Table1[[#This Row],[PaymentMethod]])))</f>
        <v>Credit Card</v>
      </c>
      <c r="R1046" t="str">
        <f>PROPER(TRIM(Table1[[#This Row],[ReferralSource]]))</f>
        <v>Facebook</v>
      </c>
      <c r="S1046" s="5">
        <f>Table1[[#This Row],[TotalPrice]]/Table1[[#This Row],[ItemsInCart]]</f>
        <v>230.07</v>
      </c>
    </row>
    <row r="1047" spans="1:19" x14ac:dyDescent="0.3">
      <c r="A1047" t="s">
        <v>746</v>
      </c>
      <c r="B1047" s="1">
        <v>45723</v>
      </c>
      <c r="C1047" t="s">
        <v>1943</v>
      </c>
      <c r="D1047" t="s">
        <v>2408</v>
      </c>
      <c r="E1047">
        <v>1</v>
      </c>
      <c r="F104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>
        <v>2</v>
      </c>
      <c r="L1047" t="s">
        <v>4283</v>
      </c>
      <c r="M1047" t="s">
        <v>4282</v>
      </c>
      <c r="N1047" s="5">
        <v>132.05000000000001</v>
      </c>
      <c r="O1047" t="str">
        <f>IF(ABS(Table1[[#This Row],[TotalPrice]]-Table1[[#This Row],[Quantity]]*Table1[[#This Row],[UnitPrice]]) &lt;0.01, "ok",)</f>
        <v>ok</v>
      </c>
      <c r="P1047" t="str">
        <f>PROPER(TRIM(Table1[[#This Row],[ShippingAddress]]))</f>
        <v>787 Main St</v>
      </c>
      <c r="Q1047" t="str">
        <f>PROPER(TRIM((Table1[[#This Row],[PaymentMethod]])))</f>
        <v>Online</v>
      </c>
      <c r="R1047" t="str">
        <f>PROPER(TRIM(Table1[[#This Row],[ReferralSource]]))</f>
        <v>Google</v>
      </c>
      <c r="S1047" s="5">
        <f>Table1[[#This Row],[TotalPrice]]/Table1[[#This Row],[ItemsInCart]]</f>
        <v>66.025000000000006</v>
      </c>
    </row>
    <row r="1048" spans="1:19" x14ac:dyDescent="0.3">
      <c r="A1048" t="s">
        <v>1091</v>
      </c>
      <c r="B1048" s="1">
        <v>45723</v>
      </c>
      <c r="C1048" t="s">
        <v>2283</v>
      </c>
      <c r="D1048" t="s">
        <v>2407</v>
      </c>
      <c r="E1048">
        <v>3</v>
      </c>
      <c r="F1048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>
        <v>8</v>
      </c>
      <c r="L1048" t="s">
        <v>4275</v>
      </c>
      <c r="M1048" t="s">
        <v>4279</v>
      </c>
      <c r="N1048" s="5">
        <v>915.48</v>
      </c>
      <c r="O1048" t="str">
        <f>IF(ABS(Table1[[#This Row],[TotalPrice]]-Table1[[#This Row],[Quantity]]*Table1[[#This Row],[UnitPrice]]) &lt;0.01, "ok",)</f>
        <v>ok</v>
      </c>
      <c r="P1048" t="str">
        <f>PROPER(TRIM(Table1[[#This Row],[ShippingAddress]]))</f>
        <v>115 Main St</v>
      </c>
      <c r="Q1048" t="str">
        <f>PROPER(TRIM((Table1[[#This Row],[PaymentMethod]])))</f>
        <v>Credit Card</v>
      </c>
      <c r="R1048" t="str">
        <f>PROPER(TRIM(Table1[[#This Row],[ReferralSource]]))</f>
        <v>Referral</v>
      </c>
      <c r="S1048" s="5">
        <f>Table1[[#This Row],[TotalPrice]]/Table1[[#This Row],[ItemsInCart]]</f>
        <v>114.435</v>
      </c>
    </row>
    <row r="1049" spans="1:19" x14ac:dyDescent="0.3">
      <c r="A1049" t="s">
        <v>205</v>
      </c>
      <c r="B1049" s="1">
        <v>45724</v>
      </c>
      <c r="C1049" t="s">
        <v>1405</v>
      </c>
      <c r="D1049" t="s">
        <v>2408</v>
      </c>
      <c r="E1049">
        <v>2</v>
      </c>
      <c r="F1049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>
        <v>4</v>
      </c>
      <c r="L1049" t="s">
        <v>4276</v>
      </c>
      <c r="M1049" t="s">
        <v>4282</v>
      </c>
      <c r="N1049" s="5">
        <v>977.74</v>
      </c>
      <c r="O1049" t="str">
        <f>IF(ABS(Table1[[#This Row],[TotalPrice]]-Table1[[#This Row],[Quantity]]*Table1[[#This Row],[UnitPrice]]) &lt;0.01, "ok",)</f>
        <v>ok</v>
      </c>
      <c r="P1049" t="str">
        <f>PROPER(TRIM(Table1[[#This Row],[ShippingAddress]]))</f>
        <v>505 Main St</v>
      </c>
      <c r="Q1049" t="str">
        <f>PROPER(TRIM((Table1[[#This Row],[PaymentMethod]])))</f>
        <v>Online</v>
      </c>
      <c r="R1049" t="str">
        <f>PROPER(TRIM(Table1[[#This Row],[ReferralSource]]))</f>
        <v>Google</v>
      </c>
      <c r="S1049" s="5">
        <f>Table1[[#This Row],[TotalPrice]]/Table1[[#This Row],[ItemsInCart]]</f>
        <v>244.435</v>
      </c>
    </row>
    <row r="1050" spans="1:19" x14ac:dyDescent="0.3">
      <c r="A1050" t="s">
        <v>840</v>
      </c>
      <c r="B1050" s="1">
        <v>45724</v>
      </c>
      <c r="C1050" t="s">
        <v>2036</v>
      </c>
      <c r="D1050" t="s">
        <v>2407</v>
      </c>
      <c r="E1050">
        <v>3</v>
      </c>
      <c r="F1050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>
        <v>8</v>
      </c>
      <c r="L1050" t="s">
        <v>4277</v>
      </c>
      <c r="M1050" t="s">
        <v>4280</v>
      </c>
      <c r="N1050" s="5">
        <v>1391.43</v>
      </c>
      <c r="O1050" t="str">
        <f>IF(ABS(Table1[[#This Row],[TotalPrice]]-Table1[[#This Row],[Quantity]]*Table1[[#This Row],[UnitPrice]]) &lt;0.01, "ok",)</f>
        <v>ok</v>
      </c>
      <c r="P1050" t="str">
        <f>PROPER(TRIM(Table1[[#This Row],[ShippingAddress]]))</f>
        <v>283 Main St</v>
      </c>
      <c r="Q1050" t="str">
        <f>PROPER(TRIM((Table1[[#This Row],[PaymentMethod]])))</f>
        <v>Online</v>
      </c>
      <c r="R1050" t="str">
        <f>PROPER(TRIM(Table1[[#This Row],[ReferralSource]]))</f>
        <v>Email</v>
      </c>
      <c r="S1050" s="5">
        <f>Table1[[#This Row],[TotalPrice]]/Table1[[#This Row],[ItemsInCart]]</f>
        <v>173.92875000000001</v>
      </c>
    </row>
    <row r="1051" spans="1:19" x14ac:dyDescent="0.3">
      <c r="A1051" t="s">
        <v>93</v>
      </c>
      <c r="B1051" s="1">
        <v>45726</v>
      </c>
      <c r="C1051" t="s">
        <v>1293</v>
      </c>
      <c r="D1051" t="s">
        <v>2405</v>
      </c>
      <c r="E1051">
        <v>2</v>
      </c>
      <c r="F1051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>
        <v>2</v>
      </c>
      <c r="L1051" t="s">
        <v>4283</v>
      </c>
      <c r="M1051" t="s">
        <v>4281</v>
      </c>
      <c r="N1051" s="5">
        <v>623.82000000000005</v>
      </c>
      <c r="O1051" t="str">
        <f>IF(ABS(Table1[[#This Row],[TotalPrice]]-Table1[[#This Row],[Quantity]]*Table1[[#This Row],[UnitPrice]]) &lt;0.01, "ok",)</f>
        <v>ok</v>
      </c>
      <c r="P1051" t="str">
        <f>PROPER(TRIM(Table1[[#This Row],[ShippingAddress]]))</f>
        <v>103 Main St</v>
      </c>
      <c r="Q1051" t="str">
        <f>PROPER(TRIM((Table1[[#This Row],[PaymentMethod]])))</f>
        <v>Online</v>
      </c>
      <c r="R1051" t="str">
        <f>PROPER(TRIM(Table1[[#This Row],[ReferralSource]]))</f>
        <v>Facebook</v>
      </c>
      <c r="S1051" s="5">
        <f>Table1[[#This Row],[TotalPrice]]/Table1[[#This Row],[ItemsInCart]]</f>
        <v>311.91000000000003</v>
      </c>
    </row>
    <row r="1052" spans="1:19" x14ac:dyDescent="0.3">
      <c r="A1052" t="s">
        <v>1176</v>
      </c>
      <c r="B1052" s="1">
        <v>45727</v>
      </c>
      <c r="C1052" t="s">
        <v>2365</v>
      </c>
      <c r="D1052" t="s">
        <v>2404</v>
      </c>
      <c r="E1052">
        <v>2</v>
      </c>
      <c r="F1052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>
        <v>3</v>
      </c>
      <c r="L1052" t="s">
        <v>4277</v>
      </c>
      <c r="M1052" t="s">
        <v>4279</v>
      </c>
      <c r="N1052" s="5">
        <v>448.74</v>
      </c>
      <c r="O1052" t="str">
        <f>IF(ABS(Table1[[#This Row],[TotalPrice]]-Table1[[#This Row],[Quantity]]*Table1[[#This Row],[UnitPrice]]) &lt;0.01, "ok",)</f>
        <v>ok</v>
      </c>
      <c r="P1052" t="str">
        <f>PROPER(TRIM(Table1[[#This Row],[ShippingAddress]]))</f>
        <v>251 Main St</v>
      </c>
      <c r="Q1052" t="str">
        <f>PROPER(TRIM((Table1[[#This Row],[PaymentMethod]])))</f>
        <v>Debit Card</v>
      </c>
      <c r="R1052" t="str">
        <f>PROPER(TRIM(Table1[[#This Row],[ReferralSource]]))</f>
        <v>Referral</v>
      </c>
      <c r="S1052" s="5">
        <f>Table1[[#This Row],[TotalPrice]]/Table1[[#This Row],[ItemsInCart]]</f>
        <v>149.58000000000001</v>
      </c>
    </row>
    <row r="1053" spans="1:19" x14ac:dyDescent="0.3">
      <c r="A1053" t="s">
        <v>707</v>
      </c>
      <c r="B1053" s="1">
        <v>45728</v>
      </c>
      <c r="C1053" t="s">
        <v>1905</v>
      </c>
      <c r="D1053" t="s">
        <v>2403</v>
      </c>
      <c r="E1053">
        <v>1</v>
      </c>
      <c r="F1053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>
        <v>4</v>
      </c>
      <c r="L1053" t="s">
        <v>4283</v>
      </c>
      <c r="M1053" t="s">
        <v>4279</v>
      </c>
      <c r="N1053" s="5">
        <v>176.58</v>
      </c>
      <c r="O1053" t="str">
        <f>IF(ABS(Table1[[#This Row],[TotalPrice]]-Table1[[#This Row],[Quantity]]*Table1[[#This Row],[UnitPrice]]) &lt;0.01, "ok",)</f>
        <v>ok</v>
      </c>
      <c r="P1053" t="str">
        <f>PROPER(TRIM(Table1[[#This Row],[ShippingAddress]]))</f>
        <v>674 Main St</v>
      </c>
      <c r="Q1053" t="str">
        <f>PROPER(TRIM((Table1[[#This Row],[PaymentMethod]])))</f>
        <v>Debit Card</v>
      </c>
      <c r="R1053" t="str">
        <f>PROPER(TRIM(Table1[[#This Row],[ReferralSource]]))</f>
        <v>Referral</v>
      </c>
      <c r="S1053" s="5">
        <f>Table1[[#This Row],[TotalPrice]]/Table1[[#This Row],[ItemsInCart]]</f>
        <v>44.145000000000003</v>
      </c>
    </row>
    <row r="1054" spans="1:19" x14ac:dyDescent="0.3">
      <c r="A1054" t="s">
        <v>761</v>
      </c>
      <c r="B1054" s="1">
        <v>45728</v>
      </c>
      <c r="C1054" t="s">
        <v>1958</v>
      </c>
      <c r="D1054" t="s">
        <v>2405</v>
      </c>
      <c r="E1054">
        <v>2</v>
      </c>
      <c r="F1054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>
        <v>7</v>
      </c>
      <c r="L1054" t="s">
        <v>4276</v>
      </c>
      <c r="M1054" t="s">
        <v>4278</v>
      </c>
      <c r="N1054" s="5">
        <v>519.16</v>
      </c>
      <c r="O1054" t="str">
        <f>IF(ABS(Table1[[#This Row],[TotalPrice]]-Table1[[#This Row],[Quantity]]*Table1[[#This Row],[UnitPrice]]) &lt;0.01, "ok",)</f>
        <v>ok</v>
      </c>
      <c r="P1054" t="str">
        <f>PROPER(TRIM(Table1[[#This Row],[ShippingAddress]]))</f>
        <v>940 Main St</v>
      </c>
      <c r="Q1054" t="str">
        <f>PROPER(TRIM((Table1[[#This Row],[PaymentMethod]])))</f>
        <v>Debit Card</v>
      </c>
      <c r="R1054" t="str">
        <f>PROPER(TRIM(Table1[[#This Row],[ReferralSource]]))</f>
        <v>Instagram</v>
      </c>
      <c r="S1054" s="5">
        <f>Table1[[#This Row],[TotalPrice]]/Table1[[#This Row],[ItemsInCart]]</f>
        <v>74.165714285714287</v>
      </c>
    </row>
    <row r="1055" spans="1:19" x14ac:dyDescent="0.3">
      <c r="A1055" t="s">
        <v>894</v>
      </c>
      <c r="B1055" s="1">
        <v>45728</v>
      </c>
      <c r="C1055" t="s">
        <v>2090</v>
      </c>
      <c r="D1055" t="s">
        <v>2408</v>
      </c>
      <c r="E1055">
        <v>4</v>
      </c>
      <c r="F1055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>
        <v>8</v>
      </c>
      <c r="L1055" t="s">
        <v>4275</v>
      </c>
      <c r="M1055" t="s">
        <v>4281</v>
      </c>
      <c r="N1055" s="5">
        <v>934.8</v>
      </c>
      <c r="O1055" t="str">
        <f>IF(ABS(Table1[[#This Row],[TotalPrice]]-Table1[[#This Row],[Quantity]]*Table1[[#This Row],[UnitPrice]]) &lt;0.01, "ok",)</f>
        <v>ok</v>
      </c>
      <c r="P1055" t="str">
        <f>PROPER(TRIM(Table1[[#This Row],[ShippingAddress]]))</f>
        <v>506 Main St</v>
      </c>
      <c r="Q1055" t="str">
        <f>PROPER(TRIM((Table1[[#This Row],[PaymentMethod]])))</f>
        <v>Online</v>
      </c>
      <c r="R1055" t="str">
        <f>PROPER(TRIM(Table1[[#This Row],[ReferralSource]]))</f>
        <v>Facebook</v>
      </c>
      <c r="S1055" s="5">
        <f>Table1[[#This Row],[TotalPrice]]/Table1[[#This Row],[ItemsInCart]]</f>
        <v>116.85</v>
      </c>
    </row>
    <row r="1056" spans="1:19" x14ac:dyDescent="0.3">
      <c r="A1056" t="s">
        <v>934</v>
      </c>
      <c r="B1056" s="1">
        <v>45728</v>
      </c>
      <c r="C1056" t="s">
        <v>2130</v>
      </c>
      <c r="D1056" t="s">
        <v>2405</v>
      </c>
      <c r="E1056">
        <v>2</v>
      </c>
      <c r="F1056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>
        <v>6</v>
      </c>
      <c r="L1056" t="s">
        <v>4283</v>
      </c>
      <c r="M1056" t="s">
        <v>4278</v>
      </c>
      <c r="N1056" s="5">
        <v>856.18</v>
      </c>
      <c r="O1056" t="str">
        <f>IF(ABS(Table1[[#This Row],[TotalPrice]]-Table1[[#This Row],[Quantity]]*Table1[[#This Row],[UnitPrice]]) &lt;0.01, "ok",)</f>
        <v>ok</v>
      </c>
      <c r="P1056" t="str">
        <f>PROPER(TRIM(Table1[[#This Row],[ShippingAddress]]))</f>
        <v>978 Main St</v>
      </c>
      <c r="Q1056" t="str">
        <f>PROPER(TRIM((Table1[[#This Row],[PaymentMethod]])))</f>
        <v>Credit Card</v>
      </c>
      <c r="R1056" t="str">
        <f>PROPER(TRIM(Table1[[#This Row],[ReferralSource]]))</f>
        <v>Instagram</v>
      </c>
      <c r="S1056" s="5">
        <f>Table1[[#This Row],[TotalPrice]]/Table1[[#This Row],[ItemsInCart]]</f>
        <v>142.69666666666666</v>
      </c>
    </row>
    <row r="1057" spans="1:19" x14ac:dyDescent="0.3">
      <c r="A1057" t="s">
        <v>510</v>
      </c>
      <c r="B1057" s="1">
        <v>45730</v>
      </c>
      <c r="C1057" t="s">
        <v>1710</v>
      </c>
      <c r="D1057" t="s">
        <v>2407</v>
      </c>
      <c r="E1057">
        <v>3</v>
      </c>
      <c r="F105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>
        <v>3</v>
      </c>
      <c r="L1057" t="s">
        <v>4275</v>
      </c>
      <c r="M1057" t="s">
        <v>4282</v>
      </c>
      <c r="N1057" s="5">
        <v>603.63</v>
      </c>
      <c r="O1057" t="str">
        <f>IF(ABS(Table1[[#This Row],[TotalPrice]]-Table1[[#This Row],[Quantity]]*Table1[[#This Row],[UnitPrice]]) &lt;0.01, "ok",)</f>
        <v>ok</v>
      </c>
      <c r="P1057" t="str">
        <f>PROPER(TRIM(Table1[[#This Row],[ShippingAddress]]))</f>
        <v>249 Main St</v>
      </c>
      <c r="Q1057" t="str">
        <f>PROPER(TRIM((Table1[[#This Row],[PaymentMethod]])))</f>
        <v>Online</v>
      </c>
      <c r="R1057" t="str">
        <f>PROPER(TRIM(Table1[[#This Row],[ReferralSource]]))</f>
        <v>Google</v>
      </c>
      <c r="S1057" s="5">
        <f>Table1[[#This Row],[TotalPrice]]/Table1[[#This Row],[ItemsInCart]]</f>
        <v>201.21</v>
      </c>
    </row>
    <row r="1058" spans="1:19" x14ac:dyDescent="0.3">
      <c r="A1058" t="s">
        <v>847</v>
      </c>
      <c r="B1058" s="1">
        <v>45730</v>
      </c>
      <c r="C1058" t="s">
        <v>2043</v>
      </c>
      <c r="D1058" t="s">
        <v>2404</v>
      </c>
      <c r="E1058">
        <v>5</v>
      </c>
      <c r="F1058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>
        <v>5</v>
      </c>
      <c r="L1058" t="s">
        <v>4277</v>
      </c>
      <c r="M1058" t="s">
        <v>4279</v>
      </c>
      <c r="N1058" s="5">
        <v>391.45</v>
      </c>
      <c r="O1058" t="str">
        <f>IF(ABS(Table1[[#This Row],[TotalPrice]]-Table1[[#This Row],[Quantity]]*Table1[[#This Row],[UnitPrice]]) &lt;0.01, "ok",)</f>
        <v>ok</v>
      </c>
      <c r="P1058" t="str">
        <f>PROPER(TRIM(Table1[[#This Row],[ShippingAddress]]))</f>
        <v>508 Main St</v>
      </c>
      <c r="Q1058" t="str">
        <f>PROPER(TRIM((Table1[[#This Row],[PaymentMethod]])))</f>
        <v>Credit Card</v>
      </c>
      <c r="R1058" t="str">
        <f>PROPER(TRIM(Table1[[#This Row],[ReferralSource]]))</f>
        <v>Referral</v>
      </c>
      <c r="S1058" s="5">
        <f>Table1[[#This Row],[TotalPrice]]/Table1[[#This Row],[ItemsInCart]]</f>
        <v>78.289999999999992</v>
      </c>
    </row>
    <row r="1059" spans="1:19" x14ac:dyDescent="0.3">
      <c r="A1059" t="s">
        <v>202</v>
      </c>
      <c r="B1059" s="1">
        <v>45731</v>
      </c>
      <c r="C1059" t="s">
        <v>1402</v>
      </c>
      <c r="D1059" t="s">
        <v>2406</v>
      </c>
      <c r="E1059">
        <v>2</v>
      </c>
      <c r="F1059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>
        <v>2</v>
      </c>
      <c r="L1059" t="s">
        <v>4276</v>
      </c>
      <c r="M1059" t="s">
        <v>4279</v>
      </c>
      <c r="N1059" s="5">
        <v>727.82</v>
      </c>
      <c r="O1059" t="str">
        <f>IF(ABS(Table1[[#This Row],[TotalPrice]]-Table1[[#This Row],[Quantity]]*Table1[[#This Row],[UnitPrice]]) &lt;0.01, "ok",)</f>
        <v>ok</v>
      </c>
      <c r="P1059" t="str">
        <f>PROPER(TRIM(Table1[[#This Row],[ShippingAddress]]))</f>
        <v>927 Main St</v>
      </c>
      <c r="Q1059" t="str">
        <f>PROPER(TRIM((Table1[[#This Row],[PaymentMethod]])))</f>
        <v>Gift Card</v>
      </c>
      <c r="R1059" t="str">
        <f>PROPER(TRIM(Table1[[#This Row],[ReferralSource]]))</f>
        <v>Referral</v>
      </c>
      <c r="S1059" s="5">
        <f>Table1[[#This Row],[TotalPrice]]/Table1[[#This Row],[ItemsInCart]]</f>
        <v>363.91</v>
      </c>
    </row>
    <row r="1060" spans="1:19" x14ac:dyDescent="0.3">
      <c r="A1060" t="s">
        <v>827</v>
      </c>
      <c r="B1060" s="1">
        <v>45731</v>
      </c>
      <c r="C1060" t="s">
        <v>2023</v>
      </c>
      <c r="D1060" t="s">
        <v>2408</v>
      </c>
      <c r="E1060">
        <v>5</v>
      </c>
      <c r="F1060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>
        <v>8</v>
      </c>
      <c r="L1060" t="s">
        <v>4276</v>
      </c>
      <c r="M1060" t="s">
        <v>4280</v>
      </c>
      <c r="N1060" s="5">
        <v>1462.7</v>
      </c>
      <c r="O1060" t="str">
        <f>IF(ABS(Table1[[#This Row],[TotalPrice]]-Table1[[#This Row],[Quantity]]*Table1[[#This Row],[UnitPrice]]) &lt;0.01, "ok",)</f>
        <v>ok</v>
      </c>
      <c r="P1060" t="str">
        <f>PROPER(TRIM(Table1[[#This Row],[ShippingAddress]]))</f>
        <v>263 Main St</v>
      </c>
      <c r="Q1060" t="str">
        <f>PROPER(TRIM((Table1[[#This Row],[PaymentMethod]])))</f>
        <v>Debit Card</v>
      </c>
      <c r="R1060" t="str">
        <f>PROPER(TRIM(Table1[[#This Row],[ReferralSource]]))</f>
        <v>Email</v>
      </c>
      <c r="S1060" s="5">
        <f>Table1[[#This Row],[TotalPrice]]/Table1[[#This Row],[ItemsInCart]]</f>
        <v>182.83750000000001</v>
      </c>
    </row>
    <row r="1061" spans="1:19" x14ac:dyDescent="0.3">
      <c r="A1061" t="s">
        <v>836</v>
      </c>
      <c r="B1061" s="1">
        <v>45731</v>
      </c>
      <c r="C1061" t="s">
        <v>2032</v>
      </c>
      <c r="D1061" t="s">
        <v>2404</v>
      </c>
      <c r="E1061">
        <v>1</v>
      </c>
      <c r="F1061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>
        <v>1</v>
      </c>
      <c r="L1061" t="s">
        <v>4275</v>
      </c>
      <c r="M1061" t="s">
        <v>4282</v>
      </c>
      <c r="N1061" s="5">
        <v>479.56</v>
      </c>
      <c r="O1061" t="str">
        <f>IF(ABS(Table1[[#This Row],[TotalPrice]]-Table1[[#This Row],[Quantity]]*Table1[[#This Row],[UnitPrice]]) &lt;0.01, "ok",)</f>
        <v>ok</v>
      </c>
      <c r="P1061" t="str">
        <f>PROPER(TRIM(Table1[[#This Row],[ShippingAddress]]))</f>
        <v>923 Main St</v>
      </c>
      <c r="Q1061" t="str">
        <f>PROPER(TRIM((Table1[[#This Row],[PaymentMethod]])))</f>
        <v>Gift Card</v>
      </c>
      <c r="R1061" t="str">
        <f>PROPER(TRIM(Table1[[#This Row],[ReferralSource]]))</f>
        <v>Google</v>
      </c>
      <c r="S1061" s="5">
        <f>Table1[[#This Row],[TotalPrice]]/Table1[[#This Row],[ItemsInCart]]</f>
        <v>479.56</v>
      </c>
    </row>
    <row r="1062" spans="1:19" x14ac:dyDescent="0.3">
      <c r="A1062" t="s">
        <v>1052</v>
      </c>
      <c r="B1062" s="1">
        <v>45731</v>
      </c>
      <c r="C1062" t="s">
        <v>2244</v>
      </c>
      <c r="D1062" t="s">
        <v>2405</v>
      </c>
      <c r="E1062">
        <v>3</v>
      </c>
      <c r="F1062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>
        <v>5</v>
      </c>
      <c r="L1062" t="s">
        <v>4283</v>
      </c>
      <c r="M1062" t="s">
        <v>4281</v>
      </c>
      <c r="N1062" s="5">
        <v>1087.5899999999999</v>
      </c>
      <c r="O1062" t="str">
        <f>IF(ABS(Table1[[#This Row],[TotalPrice]]-Table1[[#This Row],[Quantity]]*Table1[[#This Row],[UnitPrice]]) &lt;0.01, "ok",)</f>
        <v>ok</v>
      </c>
      <c r="P1062" t="str">
        <f>PROPER(TRIM(Table1[[#This Row],[ShippingAddress]]))</f>
        <v>422 Main St</v>
      </c>
      <c r="Q1062" t="str">
        <f>PROPER(TRIM((Table1[[#This Row],[PaymentMethod]])))</f>
        <v>Debit Card</v>
      </c>
      <c r="R1062" t="str">
        <f>PROPER(TRIM(Table1[[#This Row],[ReferralSource]]))</f>
        <v>Facebook</v>
      </c>
      <c r="S1062" s="5">
        <f>Table1[[#This Row],[TotalPrice]]/Table1[[#This Row],[ItemsInCart]]</f>
        <v>217.51799999999997</v>
      </c>
    </row>
    <row r="1063" spans="1:19" x14ac:dyDescent="0.3">
      <c r="A1063" t="s">
        <v>1103</v>
      </c>
      <c r="B1063" s="1">
        <v>45731</v>
      </c>
      <c r="C1063" t="s">
        <v>2295</v>
      </c>
      <c r="D1063" t="s">
        <v>2405</v>
      </c>
      <c r="E1063">
        <v>2</v>
      </c>
      <c r="F1063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>
        <v>2</v>
      </c>
      <c r="L1063" t="s">
        <v>4283</v>
      </c>
      <c r="M1063" t="s">
        <v>4278</v>
      </c>
      <c r="N1063" s="5">
        <v>1199.48</v>
      </c>
      <c r="O1063" t="str">
        <f>IF(ABS(Table1[[#This Row],[TotalPrice]]-Table1[[#This Row],[Quantity]]*Table1[[#This Row],[UnitPrice]]) &lt;0.01, "ok",)</f>
        <v>ok</v>
      </c>
      <c r="P1063" t="str">
        <f>PROPER(TRIM(Table1[[#This Row],[ShippingAddress]]))</f>
        <v>440 Main St</v>
      </c>
      <c r="Q1063" t="str">
        <f>PROPER(TRIM((Table1[[#This Row],[PaymentMethod]])))</f>
        <v>Gift Card</v>
      </c>
      <c r="R1063" t="str">
        <f>PROPER(TRIM(Table1[[#This Row],[ReferralSource]]))</f>
        <v>Instagram</v>
      </c>
      <c r="S1063" s="5">
        <f>Table1[[#This Row],[TotalPrice]]/Table1[[#This Row],[ItemsInCart]]</f>
        <v>599.74</v>
      </c>
    </row>
    <row r="1064" spans="1:19" x14ac:dyDescent="0.3">
      <c r="A1064" t="s">
        <v>1141</v>
      </c>
      <c r="B1064" s="1">
        <v>45731</v>
      </c>
      <c r="C1064" t="s">
        <v>2331</v>
      </c>
      <c r="D1064" t="s">
        <v>2407</v>
      </c>
      <c r="E1064">
        <v>3</v>
      </c>
      <c r="F1064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>
        <v>6</v>
      </c>
      <c r="L1064" t="s">
        <v>4275</v>
      </c>
      <c r="M1064" t="s">
        <v>4280</v>
      </c>
      <c r="N1064" s="5">
        <v>1808.25</v>
      </c>
      <c r="O1064" t="str">
        <f>IF(ABS(Table1[[#This Row],[TotalPrice]]-Table1[[#This Row],[Quantity]]*Table1[[#This Row],[UnitPrice]]) &lt;0.01, "ok",)</f>
        <v>ok</v>
      </c>
      <c r="P1064" t="str">
        <f>PROPER(TRIM(Table1[[#This Row],[ShippingAddress]]))</f>
        <v>920 Main St</v>
      </c>
      <c r="Q1064" t="str">
        <f>PROPER(TRIM((Table1[[#This Row],[PaymentMethod]])))</f>
        <v>Credit Card</v>
      </c>
      <c r="R1064" t="str">
        <f>PROPER(TRIM(Table1[[#This Row],[ReferralSource]]))</f>
        <v>Email</v>
      </c>
      <c r="S1064" s="5">
        <f>Table1[[#This Row],[TotalPrice]]/Table1[[#This Row],[ItemsInCart]]</f>
        <v>301.375</v>
      </c>
    </row>
    <row r="1065" spans="1:19" x14ac:dyDescent="0.3">
      <c r="A1065" t="s">
        <v>440</v>
      </c>
      <c r="B1065" s="1">
        <v>45732</v>
      </c>
      <c r="C1065" t="s">
        <v>1640</v>
      </c>
      <c r="D1065" t="s">
        <v>2403</v>
      </c>
      <c r="E1065">
        <v>5</v>
      </c>
      <c r="F1065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>
        <v>10</v>
      </c>
      <c r="L1065" t="s">
        <v>4283</v>
      </c>
      <c r="M1065" t="s">
        <v>4281</v>
      </c>
      <c r="N1065" s="5">
        <v>287.25</v>
      </c>
      <c r="O1065" t="str">
        <f>IF(ABS(Table1[[#This Row],[TotalPrice]]-Table1[[#This Row],[Quantity]]*Table1[[#This Row],[UnitPrice]]) &lt;0.01, "ok",)</f>
        <v>ok</v>
      </c>
      <c r="P1065" t="str">
        <f>PROPER(TRIM(Table1[[#This Row],[ShippingAddress]]))</f>
        <v>315 Main St</v>
      </c>
      <c r="Q1065" t="str">
        <f>PROPER(TRIM((Table1[[#This Row],[PaymentMethod]])))</f>
        <v>Cash</v>
      </c>
      <c r="R1065" t="str">
        <f>PROPER(TRIM(Table1[[#This Row],[ReferralSource]]))</f>
        <v>Facebook</v>
      </c>
      <c r="S1065" s="5">
        <f>Table1[[#This Row],[TotalPrice]]/Table1[[#This Row],[ItemsInCart]]</f>
        <v>28.725000000000001</v>
      </c>
    </row>
    <row r="1066" spans="1:19" x14ac:dyDescent="0.3">
      <c r="A1066" t="s">
        <v>221</v>
      </c>
      <c r="B1066" s="1">
        <v>45734</v>
      </c>
      <c r="C1066" t="s">
        <v>1421</v>
      </c>
      <c r="D1066" t="s">
        <v>2404</v>
      </c>
      <c r="E1066">
        <v>1</v>
      </c>
      <c r="F1066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>
        <v>3</v>
      </c>
      <c r="L1066" t="s">
        <v>4283</v>
      </c>
      <c r="M1066" t="s">
        <v>4282</v>
      </c>
      <c r="N1066" s="5">
        <v>121.96</v>
      </c>
      <c r="O1066" t="str">
        <f>IF(ABS(Table1[[#This Row],[TotalPrice]]-Table1[[#This Row],[Quantity]]*Table1[[#This Row],[UnitPrice]]) &lt;0.01, "ok",)</f>
        <v>ok</v>
      </c>
      <c r="P1066" t="str">
        <f>PROPER(TRIM(Table1[[#This Row],[ShippingAddress]]))</f>
        <v>999 Main St</v>
      </c>
      <c r="Q1066" t="str">
        <f>PROPER(TRIM((Table1[[#This Row],[PaymentMethod]])))</f>
        <v>Debit Card</v>
      </c>
      <c r="R1066" t="str">
        <f>PROPER(TRIM(Table1[[#This Row],[ReferralSource]]))</f>
        <v>Google</v>
      </c>
      <c r="S1066" s="5">
        <f>Table1[[#This Row],[TotalPrice]]/Table1[[#This Row],[ItemsInCart]]</f>
        <v>40.653333333333329</v>
      </c>
    </row>
    <row r="1067" spans="1:19" x14ac:dyDescent="0.3">
      <c r="A1067" t="s">
        <v>196</v>
      </c>
      <c r="B1067" s="1">
        <v>45735</v>
      </c>
      <c r="C1067" t="s">
        <v>1396</v>
      </c>
      <c r="D1067" t="s">
        <v>2409</v>
      </c>
      <c r="E1067">
        <v>1</v>
      </c>
      <c r="F106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>
        <v>4</v>
      </c>
      <c r="L1067" t="s">
        <v>4277</v>
      </c>
      <c r="M1067" t="s">
        <v>4282</v>
      </c>
      <c r="N1067" s="5">
        <v>600.54</v>
      </c>
      <c r="O1067" t="str">
        <f>IF(ABS(Table1[[#This Row],[TotalPrice]]-Table1[[#This Row],[Quantity]]*Table1[[#This Row],[UnitPrice]]) &lt;0.01, "ok",)</f>
        <v>ok</v>
      </c>
      <c r="P1067" t="str">
        <f>PROPER(TRIM(Table1[[#This Row],[ShippingAddress]]))</f>
        <v>596 Main St</v>
      </c>
      <c r="Q1067" t="str">
        <f>PROPER(TRIM((Table1[[#This Row],[PaymentMethod]])))</f>
        <v>Debit Card</v>
      </c>
      <c r="R1067" t="str">
        <f>PROPER(TRIM(Table1[[#This Row],[ReferralSource]]))</f>
        <v>Google</v>
      </c>
      <c r="S1067" s="5">
        <f>Table1[[#This Row],[TotalPrice]]/Table1[[#This Row],[ItemsInCart]]</f>
        <v>150.13499999999999</v>
      </c>
    </row>
    <row r="1068" spans="1:19" x14ac:dyDescent="0.3">
      <c r="A1068" t="s">
        <v>598</v>
      </c>
      <c r="B1068" s="1">
        <v>45737</v>
      </c>
      <c r="C1068" t="s">
        <v>1798</v>
      </c>
      <c r="D1068" t="s">
        <v>2406</v>
      </c>
      <c r="E1068">
        <v>4</v>
      </c>
      <c r="F1068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>
        <v>6</v>
      </c>
      <c r="L1068" t="s">
        <v>4275</v>
      </c>
      <c r="M1068" t="s">
        <v>4282</v>
      </c>
      <c r="N1068" s="5">
        <v>580.20000000000005</v>
      </c>
      <c r="O1068" t="str">
        <f>IF(ABS(Table1[[#This Row],[TotalPrice]]-Table1[[#This Row],[Quantity]]*Table1[[#This Row],[UnitPrice]]) &lt;0.01, "ok",)</f>
        <v>ok</v>
      </c>
      <c r="P1068" t="str">
        <f>PROPER(TRIM(Table1[[#This Row],[ShippingAddress]]))</f>
        <v>626 Main St</v>
      </c>
      <c r="Q1068" t="str">
        <f>PROPER(TRIM((Table1[[#This Row],[PaymentMethod]])))</f>
        <v>Online</v>
      </c>
      <c r="R1068" t="str">
        <f>PROPER(TRIM(Table1[[#This Row],[ReferralSource]]))</f>
        <v>Google</v>
      </c>
      <c r="S1068" s="5">
        <f>Table1[[#This Row],[TotalPrice]]/Table1[[#This Row],[ItemsInCart]]</f>
        <v>96.7</v>
      </c>
    </row>
    <row r="1069" spans="1:19" x14ac:dyDescent="0.3">
      <c r="A1069" t="s">
        <v>791</v>
      </c>
      <c r="B1069" s="1">
        <v>45737</v>
      </c>
      <c r="C1069" t="s">
        <v>1988</v>
      </c>
      <c r="D1069" t="s">
        <v>2406</v>
      </c>
      <c r="E1069">
        <v>5</v>
      </c>
      <c r="F1069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>
        <v>7</v>
      </c>
      <c r="L1069" t="s">
        <v>4283</v>
      </c>
      <c r="M1069" t="s">
        <v>4281</v>
      </c>
      <c r="N1069" s="5">
        <v>322.45</v>
      </c>
      <c r="O1069" t="str">
        <f>IF(ABS(Table1[[#This Row],[TotalPrice]]-Table1[[#This Row],[Quantity]]*Table1[[#This Row],[UnitPrice]]) &lt;0.01, "ok",)</f>
        <v>ok</v>
      </c>
      <c r="P1069" t="str">
        <f>PROPER(TRIM(Table1[[#This Row],[ShippingAddress]]))</f>
        <v>633 Main St</v>
      </c>
      <c r="Q1069" t="str">
        <f>PROPER(TRIM((Table1[[#This Row],[PaymentMethod]])))</f>
        <v>Online</v>
      </c>
      <c r="R1069" t="str">
        <f>PROPER(TRIM(Table1[[#This Row],[ReferralSource]]))</f>
        <v>Facebook</v>
      </c>
      <c r="S1069" s="5">
        <f>Table1[[#This Row],[TotalPrice]]/Table1[[#This Row],[ItemsInCart]]</f>
        <v>46.06428571428571</v>
      </c>
    </row>
    <row r="1070" spans="1:19" x14ac:dyDescent="0.3">
      <c r="A1070" t="s">
        <v>44</v>
      </c>
      <c r="B1070" s="1">
        <v>45738</v>
      </c>
      <c r="C1070" t="s">
        <v>1244</v>
      </c>
      <c r="D1070" t="s">
        <v>2403</v>
      </c>
      <c r="E1070">
        <v>2</v>
      </c>
      <c r="F1070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>
        <v>5</v>
      </c>
      <c r="L1070" t="s">
        <v>4275</v>
      </c>
      <c r="M1070" t="s">
        <v>4279</v>
      </c>
      <c r="N1070" s="5">
        <v>853.4</v>
      </c>
      <c r="O1070" t="str">
        <f>IF(ABS(Table1[[#This Row],[TotalPrice]]-Table1[[#This Row],[Quantity]]*Table1[[#This Row],[UnitPrice]]) &lt;0.01, "ok",)</f>
        <v>ok</v>
      </c>
      <c r="P1070" t="str">
        <f>PROPER(TRIM(Table1[[#This Row],[ShippingAddress]]))</f>
        <v>895 Main St</v>
      </c>
      <c r="Q1070" t="str">
        <f>PROPER(TRIM((Table1[[#This Row],[PaymentMethod]])))</f>
        <v>Online</v>
      </c>
      <c r="R1070" t="str">
        <f>PROPER(TRIM(Table1[[#This Row],[ReferralSource]]))</f>
        <v>Referral</v>
      </c>
      <c r="S1070" s="5">
        <f>Table1[[#This Row],[TotalPrice]]/Table1[[#This Row],[ItemsInCart]]</f>
        <v>170.68</v>
      </c>
    </row>
    <row r="1071" spans="1:19" x14ac:dyDescent="0.3">
      <c r="A1071" t="s">
        <v>583</v>
      </c>
      <c r="B1071" s="1">
        <v>45738</v>
      </c>
      <c r="C1071" t="s">
        <v>1783</v>
      </c>
      <c r="D1071" t="s">
        <v>2409</v>
      </c>
      <c r="E1071">
        <v>5</v>
      </c>
      <c r="F1071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>
        <v>8</v>
      </c>
      <c r="L1071" t="s">
        <v>4275</v>
      </c>
      <c r="M1071" t="s">
        <v>4278</v>
      </c>
      <c r="N1071" s="5">
        <v>1253.4000000000001</v>
      </c>
      <c r="O1071" t="str">
        <f>IF(ABS(Table1[[#This Row],[TotalPrice]]-Table1[[#This Row],[Quantity]]*Table1[[#This Row],[UnitPrice]]) &lt;0.01, "ok",)</f>
        <v>ok</v>
      </c>
      <c r="P1071" t="str">
        <f>PROPER(TRIM(Table1[[#This Row],[ShippingAddress]]))</f>
        <v>672 Main St</v>
      </c>
      <c r="Q1071" t="str">
        <f>PROPER(TRIM((Table1[[#This Row],[PaymentMethod]])))</f>
        <v>Cash</v>
      </c>
      <c r="R1071" t="str">
        <f>PROPER(TRIM(Table1[[#This Row],[ReferralSource]]))</f>
        <v>Instagram</v>
      </c>
      <c r="S1071" s="5">
        <f>Table1[[#This Row],[TotalPrice]]/Table1[[#This Row],[ItemsInCart]]</f>
        <v>156.67500000000001</v>
      </c>
    </row>
    <row r="1072" spans="1:19" x14ac:dyDescent="0.3">
      <c r="A1072" t="s">
        <v>938</v>
      </c>
      <c r="B1072" s="1">
        <v>45738</v>
      </c>
      <c r="C1072" t="s">
        <v>2134</v>
      </c>
      <c r="D1072" t="s">
        <v>2407</v>
      </c>
      <c r="E1072">
        <v>5</v>
      </c>
      <c r="F1072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>
        <v>5</v>
      </c>
      <c r="L1072" t="s">
        <v>4275</v>
      </c>
      <c r="M1072" t="s">
        <v>4280</v>
      </c>
      <c r="N1072" s="5">
        <v>1342.15</v>
      </c>
      <c r="O1072" t="str">
        <f>IF(ABS(Table1[[#This Row],[TotalPrice]]-Table1[[#This Row],[Quantity]]*Table1[[#This Row],[UnitPrice]]) &lt;0.01, "ok",)</f>
        <v>ok</v>
      </c>
      <c r="P1072" t="str">
        <f>PROPER(TRIM(Table1[[#This Row],[ShippingAddress]]))</f>
        <v>991 Main St</v>
      </c>
      <c r="Q1072" t="str">
        <f>PROPER(TRIM((Table1[[#This Row],[PaymentMethod]])))</f>
        <v>Cash</v>
      </c>
      <c r="R1072" t="str">
        <f>PROPER(TRIM(Table1[[#This Row],[ReferralSource]]))</f>
        <v>Email</v>
      </c>
      <c r="S1072" s="5">
        <f>Table1[[#This Row],[TotalPrice]]/Table1[[#This Row],[ItemsInCart]]</f>
        <v>268.43</v>
      </c>
    </row>
    <row r="1073" spans="1:19" x14ac:dyDescent="0.3">
      <c r="A1073" t="s">
        <v>551</v>
      </c>
      <c r="B1073" s="1">
        <v>45739</v>
      </c>
      <c r="C1073" t="s">
        <v>1751</v>
      </c>
      <c r="D1073" t="s">
        <v>2405</v>
      </c>
      <c r="E1073">
        <v>3</v>
      </c>
      <c r="F1073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>
        <v>4</v>
      </c>
      <c r="L1073" t="s">
        <v>4275</v>
      </c>
      <c r="M1073" t="s">
        <v>4281</v>
      </c>
      <c r="N1073" s="5">
        <v>742.41</v>
      </c>
      <c r="O1073" t="str">
        <f>IF(ABS(Table1[[#This Row],[TotalPrice]]-Table1[[#This Row],[Quantity]]*Table1[[#This Row],[UnitPrice]]) &lt;0.01, "ok",)</f>
        <v>ok</v>
      </c>
      <c r="P1073" t="str">
        <f>PROPER(TRIM(Table1[[#This Row],[ShippingAddress]]))</f>
        <v>385 Main St</v>
      </c>
      <c r="Q1073" t="str">
        <f>PROPER(TRIM((Table1[[#This Row],[PaymentMethod]])))</f>
        <v>Online</v>
      </c>
      <c r="R1073" t="str">
        <f>PROPER(TRIM(Table1[[#This Row],[ReferralSource]]))</f>
        <v>Facebook</v>
      </c>
      <c r="S1073" s="5">
        <f>Table1[[#This Row],[TotalPrice]]/Table1[[#This Row],[ItemsInCart]]</f>
        <v>185.60249999999999</v>
      </c>
    </row>
    <row r="1074" spans="1:19" x14ac:dyDescent="0.3">
      <c r="A1074" t="s">
        <v>1101</v>
      </c>
      <c r="B1074" s="1">
        <v>45739</v>
      </c>
      <c r="C1074" t="s">
        <v>2293</v>
      </c>
      <c r="D1074" t="s">
        <v>2408</v>
      </c>
      <c r="E1074">
        <v>4</v>
      </c>
      <c r="F1074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>
        <v>8</v>
      </c>
      <c r="L1074" t="s">
        <v>4275</v>
      </c>
      <c r="M1074" t="s">
        <v>4278</v>
      </c>
      <c r="N1074" s="5">
        <v>2772.28</v>
      </c>
      <c r="O1074" t="str">
        <f>IF(ABS(Table1[[#This Row],[TotalPrice]]-Table1[[#This Row],[Quantity]]*Table1[[#This Row],[UnitPrice]]) &lt;0.01, "ok",)</f>
        <v>ok</v>
      </c>
      <c r="P1074" t="str">
        <f>PROPER(TRIM(Table1[[#This Row],[ShippingAddress]]))</f>
        <v>530 Main St</v>
      </c>
      <c r="Q1074" t="str">
        <f>PROPER(TRIM((Table1[[#This Row],[PaymentMethod]])))</f>
        <v>Online</v>
      </c>
      <c r="R1074" t="str">
        <f>PROPER(TRIM(Table1[[#This Row],[ReferralSource]]))</f>
        <v>Instagram</v>
      </c>
      <c r="S1074" s="5">
        <f>Table1[[#This Row],[TotalPrice]]/Table1[[#This Row],[ItemsInCart]]</f>
        <v>346.53500000000003</v>
      </c>
    </row>
    <row r="1075" spans="1:19" x14ac:dyDescent="0.3">
      <c r="A1075" t="s">
        <v>32</v>
      </c>
      <c r="B1075" s="1">
        <v>45742</v>
      </c>
      <c r="C1075" t="s">
        <v>1232</v>
      </c>
      <c r="D1075" t="s">
        <v>2409</v>
      </c>
      <c r="E1075">
        <v>1</v>
      </c>
      <c r="F1075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>
        <v>3</v>
      </c>
      <c r="L1075" t="s">
        <v>4275</v>
      </c>
      <c r="M1075" t="s">
        <v>4281</v>
      </c>
      <c r="N1075" s="5">
        <v>431.44</v>
      </c>
      <c r="O1075" t="str">
        <f>IF(ABS(Table1[[#This Row],[TotalPrice]]-Table1[[#This Row],[Quantity]]*Table1[[#This Row],[UnitPrice]]) &lt;0.01, "ok",)</f>
        <v>ok</v>
      </c>
      <c r="P1075" t="str">
        <f>PROPER(TRIM(Table1[[#This Row],[ShippingAddress]]))</f>
        <v>891 Main St</v>
      </c>
      <c r="Q1075" t="str">
        <f>PROPER(TRIM((Table1[[#This Row],[PaymentMethod]])))</f>
        <v>Gift Card</v>
      </c>
      <c r="R1075" t="str">
        <f>PROPER(TRIM(Table1[[#This Row],[ReferralSource]]))</f>
        <v>Facebook</v>
      </c>
      <c r="S1075" s="5">
        <f>Table1[[#This Row],[TotalPrice]]/Table1[[#This Row],[ItemsInCart]]</f>
        <v>143.81333333333333</v>
      </c>
    </row>
    <row r="1076" spans="1:19" x14ac:dyDescent="0.3">
      <c r="A1076" t="s">
        <v>839</v>
      </c>
      <c r="B1076" s="1">
        <v>45742</v>
      </c>
      <c r="C1076" t="s">
        <v>2035</v>
      </c>
      <c r="D1076" t="s">
        <v>2409</v>
      </c>
      <c r="E1076">
        <v>5</v>
      </c>
      <c r="F1076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>
        <v>7</v>
      </c>
      <c r="L1076" t="s">
        <v>4276</v>
      </c>
      <c r="M1076" t="s">
        <v>4278</v>
      </c>
      <c r="N1076" s="5">
        <v>1358.45</v>
      </c>
      <c r="O1076" t="str">
        <f>IF(ABS(Table1[[#This Row],[TotalPrice]]-Table1[[#This Row],[Quantity]]*Table1[[#This Row],[UnitPrice]]) &lt;0.01, "ok",)</f>
        <v>ok</v>
      </c>
      <c r="P1076" t="str">
        <f>PROPER(TRIM(Table1[[#This Row],[ShippingAddress]]))</f>
        <v>543 Main St</v>
      </c>
      <c r="Q1076" t="str">
        <f>PROPER(TRIM((Table1[[#This Row],[PaymentMethod]])))</f>
        <v>Online</v>
      </c>
      <c r="R1076" t="str">
        <f>PROPER(TRIM(Table1[[#This Row],[ReferralSource]]))</f>
        <v>Instagram</v>
      </c>
      <c r="S1076" s="5">
        <f>Table1[[#This Row],[TotalPrice]]/Table1[[#This Row],[ItemsInCart]]</f>
        <v>194.06428571428572</v>
      </c>
    </row>
    <row r="1077" spans="1:19" x14ac:dyDescent="0.3">
      <c r="A1077" t="s">
        <v>68</v>
      </c>
      <c r="B1077" s="1">
        <v>45743</v>
      </c>
      <c r="C1077" t="s">
        <v>1268</v>
      </c>
      <c r="D1077" t="s">
        <v>2406</v>
      </c>
      <c r="E1077">
        <v>1</v>
      </c>
      <c r="F107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>
        <v>5</v>
      </c>
      <c r="L1077" t="s">
        <v>4277</v>
      </c>
      <c r="M1077" t="s">
        <v>4280</v>
      </c>
      <c r="N1077" s="5">
        <v>280.25</v>
      </c>
      <c r="O1077" t="str">
        <f>IF(ABS(Table1[[#This Row],[TotalPrice]]-Table1[[#This Row],[Quantity]]*Table1[[#This Row],[UnitPrice]]) &lt;0.01, "ok",)</f>
        <v>ok</v>
      </c>
      <c r="P1077" t="str">
        <f>PROPER(TRIM(Table1[[#This Row],[ShippingAddress]]))</f>
        <v>623 Main St</v>
      </c>
      <c r="Q1077" t="str">
        <f>PROPER(TRIM((Table1[[#This Row],[PaymentMethod]])))</f>
        <v>Online</v>
      </c>
      <c r="R1077" t="str">
        <f>PROPER(TRIM(Table1[[#This Row],[ReferralSource]]))</f>
        <v>Email</v>
      </c>
      <c r="S1077" s="5">
        <f>Table1[[#This Row],[TotalPrice]]/Table1[[#This Row],[ItemsInCart]]</f>
        <v>56.05</v>
      </c>
    </row>
    <row r="1078" spans="1:19" x14ac:dyDescent="0.3">
      <c r="A1078" t="s">
        <v>243</v>
      </c>
      <c r="B1078" s="1">
        <v>45744</v>
      </c>
      <c r="C1078" t="s">
        <v>1443</v>
      </c>
      <c r="D1078" t="s">
        <v>2405</v>
      </c>
      <c r="E1078">
        <v>1</v>
      </c>
      <c r="F1078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>
        <v>3</v>
      </c>
      <c r="L1078" t="s">
        <v>4277</v>
      </c>
      <c r="M1078" t="s">
        <v>4281</v>
      </c>
      <c r="N1078" s="5">
        <v>562.61</v>
      </c>
      <c r="O1078" t="str">
        <f>IF(ABS(Table1[[#This Row],[TotalPrice]]-Table1[[#This Row],[Quantity]]*Table1[[#This Row],[UnitPrice]]) &lt;0.01, "ok",)</f>
        <v>ok</v>
      </c>
      <c r="P1078" t="str">
        <f>PROPER(TRIM(Table1[[#This Row],[ShippingAddress]]))</f>
        <v>762 Main St</v>
      </c>
      <c r="Q1078" t="str">
        <f>PROPER(TRIM((Table1[[#This Row],[PaymentMethod]])))</f>
        <v>Credit Card</v>
      </c>
      <c r="R1078" t="str">
        <f>PROPER(TRIM(Table1[[#This Row],[ReferralSource]]))</f>
        <v>Facebook</v>
      </c>
      <c r="S1078" s="5">
        <f>Table1[[#This Row],[TotalPrice]]/Table1[[#This Row],[ItemsInCart]]</f>
        <v>187.53666666666666</v>
      </c>
    </row>
    <row r="1079" spans="1:19" x14ac:dyDescent="0.3">
      <c r="A1079" t="s">
        <v>367</v>
      </c>
      <c r="B1079" s="1">
        <v>45744</v>
      </c>
      <c r="C1079" t="s">
        <v>1567</v>
      </c>
      <c r="D1079" t="s">
        <v>2405</v>
      </c>
      <c r="E1079">
        <v>1</v>
      </c>
      <c r="F1079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>
        <v>5</v>
      </c>
      <c r="L1079" t="s">
        <v>4276</v>
      </c>
      <c r="M1079" t="s">
        <v>4282</v>
      </c>
      <c r="N1079" s="5">
        <v>630.82000000000005</v>
      </c>
      <c r="O1079" t="str">
        <f>IF(ABS(Table1[[#This Row],[TotalPrice]]-Table1[[#This Row],[Quantity]]*Table1[[#This Row],[UnitPrice]]) &lt;0.01, "ok",)</f>
        <v>ok</v>
      </c>
      <c r="P1079" t="str">
        <f>PROPER(TRIM(Table1[[#This Row],[ShippingAddress]]))</f>
        <v>171 Main St</v>
      </c>
      <c r="Q1079" t="str">
        <f>PROPER(TRIM((Table1[[#This Row],[PaymentMethod]])))</f>
        <v>Online</v>
      </c>
      <c r="R1079" t="str">
        <f>PROPER(TRIM(Table1[[#This Row],[ReferralSource]]))</f>
        <v>Google</v>
      </c>
      <c r="S1079" s="5">
        <f>Table1[[#This Row],[TotalPrice]]/Table1[[#This Row],[ItemsInCart]]</f>
        <v>126.16400000000002</v>
      </c>
    </row>
    <row r="1080" spans="1:19" x14ac:dyDescent="0.3">
      <c r="A1080" t="s">
        <v>814</v>
      </c>
      <c r="B1080" s="1">
        <v>45744</v>
      </c>
      <c r="C1080" t="s">
        <v>2011</v>
      </c>
      <c r="D1080" t="s">
        <v>2405</v>
      </c>
      <c r="E1080">
        <v>1</v>
      </c>
      <c r="F1080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>
        <v>3</v>
      </c>
      <c r="L1080" t="s">
        <v>4277</v>
      </c>
      <c r="M1080" t="s">
        <v>4281</v>
      </c>
      <c r="N1080" s="5">
        <v>68.39</v>
      </c>
      <c r="O1080" t="str">
        <f>IF(ABS(Table1[[#This Row],[TotalPrice]]-Table1[[#This Row],[Quantity]]*Table1[[#This Row],[UnitPrice]]) &lt;0.01, "ok",)</f>
        <v>ok</v>
      </c>
      <c r="P1080" t="str">
        <f>PROPER(TRIM(Table1[[#This Row],[ShippingAddress]]))</f>
        <v>412 Main St</v>
      </c>
      <c r="Q1080" t="str">
        <f>PROPER(TRIM((Table1[[#This Row],[PaymentMethod]])))</f>
        <v>Online</v>
      </c>
      <c r="R1080" t="str">
        <f>PROPER(TRIM(Table1[[#This Row],[ReferralSource]]))</f>
        <v>Facebook</v>
      </c>
      <c r="S1080" s="5">
        <f>Table1[[#This Row],[TotalPrice]]/Table1[[#This Row],[ItemsInCart]]</f>
        <v>22.796666666666667</v>
      </c>
    </row>
    <row r="1081" spans="1:19" x14ac:dyDescent="0.3">
      <c r="A1081" t="s">
        <v>290</v>
      </c>
      <c r="B1081" s="1">
        <v>45745</v>
      </c>
      <c r="C1081" t="s">
        <v>1490</v>
      </c>
      <c r="D1081" t="s">
        <v>2407</v>
      </c>
      <c r="E1081">
        <v>2</v>
      </c>
      <c r="F1081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>
        <v>3</v>
      </c>
      <c r="L1081" t="s">
        <v>4277</v>
      </c>
      <c r="M1081" t="s">
        <v>4278</v>
      </c>
      <c r="N1081" s="5">
        <v>1201.1400000000001</v>
      </c>
      <c r="O1081" t="str">
        <f>IF(ABS(Table1[[#This Row],[TotalPrice]]-Table1[[#This Row],[Quantity]]*Table1[[#This Row],[UnitPrice]]) &lt;0.01, "ok",)</f>
        <v>ok</v>
      </c>
      <c r="P1081" t="str">
        <f>PROPER(TRIM(Table1[[#This Row],[ShippingAddress]]))</f>
        <v>654 Main St</v>
      </c>
      <c r="Q1081" t="str">
        <f>PROPER(TRIM((Table1[[#This Row],[PaymentMethod]])))</f>
        <v>Debit Card</v>
      </c>
      <c r="R1081" t="str">
        <f>PROPER(TRIM(Table1[[#This Row],[ReferralSource]]))</f>
        <v>Instagram</v>
      </c>
      <c r="S1081" s="5">
        <f>Table1[[#This Row],[TotalPrice]]/Table1[[#This Row],[ItemsInCart]]</f>
        <v>400.38000000000005</v>
      </c>
    </row>
    <row r="1082" spans="1:19" x14ac:dyDescent="0.3">
      <c r="A1082" t="s">
        <v>719</v>
      </c>
      <c r="B1082" s="1">
        <v>45746</v>
      </c>
      <c r="C1082" t="s">
        <v>1917</v>
      </c>
      <c r="D1082" t="s">
        <v>2403</v>
      </c>
      <c r="E1082">
        <v>2</v>
      </c>
      <c r="F1082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>
        <v>7</v>
      </c>
      <c r="L1082" t="s">
        <v>4276</v>
      </c>
      <c r="M1082" t="s">
        <v>4278</v>
      </c>
      <c r="N1082" s="5">
        <v>98.16</v>
      </c>
      <c r="O1082" t="str">
        <f>IF(ABS(Table1[[#This Row],[TotalPrice]]-Table1[[#This Row],[Quantity]]*Table1[[#This Row],[UnitPrice]]) &lt;0.01, "ok",)</f>
        <v>ok</v>
      </c>
      <c r="P1082" t="str">
        <f>PROPER(TRIM(Table1[[#This Row],[ShippingAddress]]))</f>
        <v>420 Main St</v>
      </c>
      <c r="Q1082" t="str">
        <f>PROPER(TRIM((Table1[[#This Row],[PaymentMethod]])))</f>
        <v>Debit Card</v>
      </c>
      <c r="R1082" t="str">
        <f>PROPER(TRIM(Table1[[#This Row],[ReferralSource]]))</f>
        <v>Instagram</v>
      </c>
      <c r="S1082" s="5">
        <f>Table1[[#This Row],[TotalPrice]]/Table1[[#This Row],[ItemsInCart]]</f>
        <v>14.022857142857143</v>
      </c>
    </row>
    <row r="1083" spans="1:19" x14ac:dyDescent="0.3">
      <c r="A1083" t="s">
        <v>476</v>
      </c>
      <c r="B1083" s="1">
        <v>45747</v>
      </c>
      <c r="C1083" t="s">
        <v>1676</v>
      </c>
      <c r="D1083" t="s">
        <v>2404</v>
      </c>
      <c r="E1083">
        <v>1</v>
      </c>
      <c r="F1083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>
        <v>1</v>
      </c>
      <c r="L1083" t="s">
        <v>4283</v>
      </c>
      <c r="M1083" t="s">
        <v>4279</v>
      </c>
      <c r="N1083" s="5">
        <v>252.68</v>
      </c>
      <c r="O1083" t="str">
        <f>IF(ABS(Table1[[#This Row],[TotalPrice]]-Table1[[#This Row],[Quantity]]*Table1[[#This Row],[UnitPrice]]) &lt;0.01, "ok",)</f>
        <v>ok</v>
      </c>
      <c r="P1083" t="str">
        <f>PROPER(TRIM(Table1[[#This Row],[ShippingAddress]]))</f>
        <v>731 Main St</v>
      </c>
      <c r="Q1083" t="str">
        <f>PROPER(TRIM((Table1[[#This Row],[PaymentMethod]])))</f>
        <v>Online</v>
      </c>
      <c r="R1083" t="str">
        <f>PROPER(TRIM(Table1[[#This Row],[ReferralSource]]))</f>
        <v>Referral</v>
      </c>
      <c r="S1083" s="5">
        <f>Table1[[#This Row],[TotalPrice]]/Table1[[#This Row],[ItemsInCart]]</f>
        <v>252.68</v>
      </c>
    </row>
    <row r="1084" spans="1:19" x14ac:dyDescent="0.3">
      <c r="A1084" t="s">
        <v>308</v>
      </c>
      <c r="B1084" s="1">
        <v>45748</v>
      </c>
      <c r="C1084" t="s">
        <v>1508</v>
      </c>
      <c r="D1084" t="s">
        <v>2404</v>
      </c>
      <c r="E1084">
        <v>2</v>
      </c>
      <c r="F1084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>
        <v>7</v>
      </c>
      <c r="L1084" t="s">
        <v>4275</v>
      </c>
      <c r="M1084" t="s">
        <v>4279</v>
      </c>
      <c r="N1084" s="5">
        <v>595.41999999999996</v>
      </c>
      <c r="O1084" t="str">
        <f>IF(ABS(Table1[[#This Row],[TotalPrice]]-Table1[[#This Row],[Quantity]]*Table1[[#This Row],[UnitPrice]]) &lt;0.01, "ok",)</f>
        <v>ok</v>
      </c>
      <c r="P1084" t="str">
        <f>PROPER(TRIM(Table1[[#This Row],[ShippingAddress]]))</f>
        <v>208 Main St</v>
      </c>
      <c r="Q1084" t="str">
        <f>PROPER(TRIM((Table1[[#This Row],[PaymentMethod]])))</f>
        <v>Online</v>
      </c>
      <c r="R1084" t="str">
        <f>PROPER(TRIM(Table1[[#This Row],[ReferralSource]]))</f>
        <v>Referral</v>
      </c>
      <c r="S1084" s="5">
        <f>Table1[[#This Row],[TotalPrice]]/Table1[[#This Row],[ItemsInCart]]</f>
        <v>85.059999999999988</v>
      </c>
    </row>
    <row r="1085" spans="1:19" x14ac:dyDescent="0.3">
      <c r="A1085" t="s">
        <v>22</v>
      </c>
      <c r="B1085" s="1">
        <v>45749</v>
      </c>
      <c r="C1085" t="s">
        <v>1222</v>
      </c>
      <c r="D1085" t="s">
        <v>2404</v>
      </c>
      <c r="E1085">
        <v>2</v>
      </c>
      <c r="F1085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>
        <v>2</v>
      </c>
      <c r="L1085" t="s">
        <v>4283</v>
      </c>
      <c r="M1085" t="s">
        <v>4280</v>
      </c>
      <c r="N1085" s="5">
        <v>268.56</v>
      </c>
      <c r="O1085" t="str">
        <f>IF(ABS(Table1[[#This Row],[TotalPrice]]-Table1[[#This Row],[Quantity]]*Table1[[#This Row],[UnitPrice]]) &lt;0.01, "ok",)</f>
        <v>ok</v>
      </c>
      <c r="P1085" t="str">
        <f>PROPER(TRIM(Table1[[#This Row],[ShippingAddress]]))</f>
        <v>904 Main St</v>
      </c>
      <c r="Q1085" t="str">
        <f>PROPER(TRIM((Table1[[#This Row],[PaymentMethod]])))</f>
        <v>Gift Card</v>
      </c>
      <c r="R1085" t="str">
        <f>PROPER(TRIM(Table1[[#This Row],[ReferralSource]]))</f>
        <v>Email</v>
      </c>
      <c r="S1085" s="5">
        <f>Table1[[#This Row],[TotalPrice]]/Table1[[#This Row],[ItemsInCart]]</f>
        <v>134.28</v>
      </c>
    </row>
    <row r="1086" spans="1:19" x14ac:dyDescent="0.3">
      <c r="A1086" t="s">
        <v>691</v>
      </c>
      <c r="B1086" s="1">
        <v>45750</v>
      </c>
      <c r="C1086" t="s">
        <v>1889</v>
      </c>
      <c r="D1086" t="s">
        <v>2405</v>
      </c>
      <c r="E1086">
        <v>5</v>
      </c>
      <c r="F1086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>
        <v>7</v>
      </c>
      <c r="L1086" t="s">
        <v>4276</v>
      </c>
      <c r="M1086" t="s">
        <v>4278</v>
      </c>
      <c r="N1086" s="5">
        <v>110.35</v>
      </c>
      <c r="O1086" t="str">
        <f>IF(ABS(Table1[[#This Row],[TotalPrice]]-Table1[[#This Row],[Quantity]]*Table1[[#This Row],[UnitPrice]]) &lt;0.01, "ok",)</f>
        <v>ok</v>
      </c>
      <c r="P1086" t="str">
        <f>PROPER(TRIM(Table1[[#This Row],[ShippingAddress]]))</f>
        <v>179 Main St</v>
      </c>
      <c r="Q1086" t="str">
        <f>PROPER(TRIM((Table1[[#This Row],[PaymentMethod]])))</f>
        <v>Online</v>
      </c>
      <c r="R1086" t="str">
        <f>PROPER(TRIM(Table1[[#This Row],[ReferralSource]]))</f>
        <v>Instagram</v>
      </c>
      <c r="S1086" s="5">
        <f>Table1[[#This Row],[TotalPrice]]/Table1[[#This Row],[ItemsInCart]]</f>
        <v>15.764285714285714</v>
      </c>
    </row>
    <row r="1087" spans="1:19" x14ac:dyDescent="0.3">
      <c r="A1087" t="s">
        <v>184</v>
      </c>
      <c r="B1087" s="1">
        <v>45751</v>
      </c>
      <c r="C1087" t="s">
        <v>1384</v>
      </c>
      <c r="D1087" t="s">
        <v>2409</v>
      </c>
      <c r="E1087">
        <v>4</v>
      </c>
      <c r="F108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>
        <v>8</v>
      </c>
      <c r="L1087" t="s">
        <v>4275</v>
      </c>
      <c r="M1087" t="s">
        <v>4278</v>
      </c>
      <c r="N1087" s="5">
        <v>2651.76</v>
      </c>
      <c r="O1087" t="str">
        <f>IF(ABS(Table1[[#This Row],[TotalPrice]]-Table1[[#This Row],[Quantity]]*Table1[[#This Row],[UnitPrice]]) &lt;0.01, "ok",)</f>
        <v>ok</v>
      </c>
      <c r="P1087" t="str">
        <f>PROPER(TRIM(Table1[[#This Row],[ShippingAddress]]))</f>
        <v>535 Main St</v>
      </c>
      <c r="Q1087" t="str">
        <f>PROPER(TRIM((Table1[[#This Row],[PaymentMethod]])))</f>
        <v>Cash</v>
      </c>
      <c r="R1087" t="str">
        <f>PROPER(TRIM(Table1[[#This Row],[ReferralSource]]))</f>
        <v>Instagram</v>
      </c>
      <c r="S1087" s="5">
        <f>Table1[[#This Row],[TotalPrice]]/Table1[[#This Row],[ItemsInCart]]</f>
        <v>331.47</v>
      </c>
    </row>
    <row r="1088" spans="1:19" x14ac:dyDescent="0.3">
      <c r="A1088" t="s">
        <v>186</v>
      </c>
      <c r="B1088" s="1">
        <v>45753</v>
      </c>
      <c r="C1088" t="s">
        <v>1386</v>
      </c>
      <c r="D1088" t="s">
        <v>2407</v>
      </c>
      <c r="E1088">
        <v>1</v>
      </c>
      <c r="F1088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>
        <v>1</v>
      </c>
      <c r="L1088" t="s">
        <v>4277</v>
      </c>
      <c r="M1088" t="s">
        <v>4280</v>
      </c>
      <c r="N1088" s="5">
        <v>254.12</v>
      </c>
      <c r="O1088" t="str">
        <f>IF(ABS(Table1[[#This Row],[TotalPrice]]-Table1[[#This Row],[Quantity]]*Table1[[#This Row],[UnitPrice]]) &lt;0.01, "ok",)</f>
        <v>ok</v>
      </c>
      <c r="P1088" t="str">
        <f>PROPER(TRIM(Table1[[#This Row],[ShippingAddress]]))</f>
        <v>365 Main St</v>
      </c>
      <c r="Q1088" t="str">
        <f>PROPER(TRIM((Table1[[#This Row],[PaymentMethod]])))</f>
        <v>Online</v>
      </c>
      <c r="R1088" t="str">
        <f>PROPER(TRIM(Table1[[#This Row],[ReferralSource]]))</f>
        <v>Email</v>
      </c>
      <c r="S1088" s="5">
        <f>Table1[[#This Row],[TotalPrice]]/Table1[[#This Row],[ItemsInCart]]</f>
        <v>254.12</v>
      </c>
    </row>
    <row r="1089" spans="1:19" x14ac:dyDescent="0.3">
      <c r="A1089" t="s">
        <v>429</v>
      </c>
      <c r="B1089" s="1">
        <v>45753</v>
      </c>
      <c r="C1089" t="s">
        <v>1629</v>
      </c>
      <c r="D1089" t="s">
        <v>2406</v>
      </c>
      <c r="E1089">
        <v>1</v>
      </c>
      <c r="F1089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>
        <v>5</v>
      </c>
      <c r="L1089" t="s">
        <v>4276</v>
      </c>
      <c r="M1089" t="s">
        <v>4281</v>
      </c>
      <c r="N1089" s="5">
        <v>184.15</v>
      </c>
      <c r="O1089" t="str">
        <f>IF(ABS(Table1[[#This Row],[TotalPrice]]-Table1[[#This Row],[Quantity]]*Table1[[#This Row],[UnitPrice]]) &lt;0.01, "ok",)</f>
        <v>ok</v>
      </c>
      <c r="P1089" t="str">
        <f>PROPER(TRIM(Table1[[#This Row],[ShippingAddress]]))</f>
        <v>655 Main St</v>
      </c>
      <c r="Q1089" t="str">
        <f>PROPER(TRIM((Table1[[#This Row],[PaymentMethod]])))</f>
        <v>Gift Card</v>
      </c>
      <c r="R1089" t="str">
        <f>PROPER(TRIM(Table1[[#This Row],[ReferralSource]]))</f>
        <v>Facebook</v>
      </c>
      <c r="S1089" s="5">
        <f>Table1[[#This Row],[TotalPrice]]/Table1[[#This Row],[ItemsInCart]]</f>
        <v>36.83</v>
      </c>
    </row>
    <row r="1090" spans="1:19" x14ac:dyDescent="0.3">
      <c r="A1090" t="s">
        <v>300</v>
      </c>
      <c r="B1090" s="1">
        <v>45754</v>
      </c>
      <c r="C1090" t="s">
        <v>1500</v>
      </c>
      <c r="D1090" t="s">
        <v>2403</v>
      </c>
      <c r="E1090">
        <v>3</v>
      </c>
      <c r="F1090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>
        <v>8</v>
      </c>
      <c r="L1090" t="s">
        <v>4277</v>
      </c>
      <c r="M1090" t="s">
        <v>4282</v>
      </c>
      <c r="N1090" s="5">
        <v>418.35</v>
      </c>
      <c r="O1090" t="str">
        <f>IF(ABS(Table1[[#This Row],[TotalPrice]]-Table1[[#This Row],[Quantity]]*Table1[[#This Row],[UnitPrice]]) &lt;0.01, "ok",)</f>
        <v>ok</v>
      </c>
      <c r="P1090" t="str">
        <f>PROPER(TRIM(Table1[[#This Row],[ShippingAddress]]))</f>
        <v>187 Main St</v>
      </c>
      <c r="Q1090" t="str">
        <f>PROPER(TRIM((Table1[[#This Row],[PaymentMethod]])))</f>
        <v>Gift Card</v>
      </c>
      <c r="R1090" t="str">
        <f>PROPER(TRIM(Table1[[#This Row],[ReferralSource]]))</f>
        <v>Google</v>
      </c>
      <c r="S1090" s="5">
        <f>Table1[[#This Row],[TotalPrice]]/Table1[[#This Row],[ItemsInCart]]</f>
        <v>52.293750000000003</v>
      </c>
    </row>
    <row r="1091" spans="1:19" x14ac:dyDescent="0.3">
      <c r="A1091" t="s">
        <v>578</v>
      </c>
      <c r="B1091" s="1">
        <v>45755</v>
      </c>
      <c r="C1091" t="s">
        <v>1778</v>
      </c>
      <c r="D1091" t="s">
        <v>2409</v>
      </c>
      <c r="E1091">
        <v>5</v>
      </c>
      <c r="F1091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>
        <v>5</v>
      </c>
      <c r="L1091" t="s">
        <v>4277</v>
      </c>
      <c r="M1091" t="s">
        <v>4282</v>
      </c>
      <c r="N1091" s="5">
        <v>1821.4</v>
      </c>
      <c r="O1091" t="str">
        <f>IF(ABS(Table1[[#This Row],[TotalPrice]]-Table1[[#This Row],[Quantity]]*Table1[[#This Row],[UnitPrice]]) &lt;0.01, "ok",)</f>
        <v>ok</v>
      </c>
      <c r="P1091" t="str">
        <f>PROPER(TRIM(Table1[[#This Row],[ShippingAddress]]))</f>
        <v>734 Main St</v>
      </c>
      <c r="Q1091" t="str">
        <f>PROPER(TRIM((Table1[[#This Row],[PaymentMethod]])))</f>
        <v>Credit Card</v>
      </c>
      <c r="R1091" t="str">
        <f>PROPER(TRIM(Table1[[#This Row],[ReferralSource]]))</f>
        <v>Google</v>
      </c>
      <c r="S1091" s="5">
        <f>Table1[[#This Row],[TotalPrice]]/Table1[[#This Row],[ItemsInCart]]</f>
        <v>364.28000000000003</v>
      </c>
    </row>
    <row r="1092" spans="1:19" x14ac:dyDescent="0.3">
      <c r="A1092" t="s">
        <v>893</v>
      </c>
      <c r="B1092" s="1">
        <v>45755</v>
      </c>
      <c r="C1092" t="s">
        <v>2089</v>
      </c>
      <c r="D1092" t="s">
        <v>2404</v>
      </c>
      <c r="E1092">
        <v>2</v>
      </c>
      <c r="F1092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>
        <v>3</v>
      </c>
      <c r="L1092" t="s">
        <v>4283</v>
      </c>
      <c r="M1092" t="s">
        <v>4278</v>
      </c>
      <c r="N1092" s="5">
        <v>1095.3399999999999</v>
      </c>
      <c r="O1092" t="str">
        <f>IF(ABS(Table1[[#This Row],[TotalPrice]]-Table1[[#This Row],[Quantity]]*Table1[[#This Row],[UnitPrice]]) &lt;0.01, "ok",)</f>
        <v>ok</v>
      </c>
      <c r="P1092" t="str">
        <f>PROPER(TRIM(Table1[[#This Row],[ShippingAddress]]))</f>
        <v>932 Main St</v>
      </c>
      <c r="Q1092" t="str">
        <f>PROPER(TRIM((Table1[[#This Row],[PaymentMethod]])))</f>
        <v>Gift Card</v>
      </c>
      <c r="R1092" t="str">
        <f>PROPER(TRIM(Table1[[#This Row],[ReferralSource]]))</f>
        <v>Instagram</v>
      </c>
      <c r="S1092" s="5">
        <f>Table1[[#This Row],[TotalPrice]]/Table1[[#This Row],[ItemsInCart]]</f>
        <v>365.11333333333329</v>
      </c>
    </row>
    <row r="1093" spans="1:19" x14ac:dyDescent="0.3">
      <c r="A1093" t="s">
        <v>37</v>
      </c>
      <c r="B1093" s="1">
        <v>45756</v>
      </c>
      <c r="C1093" t="s">
        <v>1237</v>
      </c>
      <c r="D1093" t="s">
        <v>2404</v>
      </c>
      <c r="E1093">
        <v>4</v>
      </c>
      <c r="F1093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>
        <v>5</v>
      </c>
      <c r="L1093" t="s">
        <v>4276</v>
      </c>
      <c r="M1093" t="s">
        <v>4279</v>
      </c>
      <c r="N1093" s="5">
        <v>1093</v>
      </c>
      <c r="O1093" t="str">
        <f>IF(ABS(Table1[[#This Row],[TotalPrice]]-Table1[[#This Row],[Quantity]]*Table1[[#This Row],[UnitPrice]]) &lt;0.01, "ok",)</f>
        <v>ok</v>
      </c>
      <c r="P1093" t="str">
        <f>PROPER(TRIM(Table1[[#This Row],[ShippingAddress]]))</f>
        <v>755 Main St</v>
      </c>
      <c r="Q1093" t="str">
        <f>PROPER(TRIM((Table1[[#This Row],[PaymentMethod]])))</f>
        <v>Debit Card</v>
      </c>
      <c r="R1093" t="str">
        <f>PROPER(TRIM(Table1[[#This Row],[ReferralSource]]))</f>
        <v>Referral</v>
      </c>
      <c r="S1093" s="5">
        <f>Table1[[#This Row],[TotalPrice]]/Table1[[#This Row],[ItemsInCart]]</f>
        <v>218.6</v>
      </c>
    </row>
    <row r="1094" spans="1:19" x14ac:dyDescent="0.3">
      <c r="A1094" t="s">
        <v>415</v>
      </c>
      <c r="B1094" s="1">
        <v>45756</v>
      </c>
      <c r="C1094" t="s">
        <v>1615</v>
      </c>
      <c r="D1094" t="s">
        <v>2407</v>
      </c>
      <c r="E1094">
        <v>1</v>
      </c>
      <c r="F1094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>
        <v>6</v>
      </c>
      <c r="L1094" t="s">
        <v>4283</v>
      </c>
      <c r="M1094" t="s">
        <v>4279</v>
      </c>
      <c r="N1094" s="5">
        <v>538.67999999999995</v>
      </c>
      <c r="O1094" t="str">
        <f>IF(ABS(Table1[[#This Row],[TotalPrice]]-Table1[[#This Row],[Quantity]]*Table1[[#This Row],[UnitPrice]]) &lt;0.01, "ok",)</f>
        <v>ok</v>
      </c>
      <c r="P1094" t="str">
        <f>PROPER(TRIM(Table1[[#This Row],[ShippingAddress]]))</f>
        <v>197 Main St</v>
      </c>
      <c r="Q1094" t="str">
        <f>PROPER(TRIM((Table1[[#This Row],[PaymentMethod]])))</f>
        <v>Debit Card</v>
      </c>
      <c r="R1094" t="str">
        <f>PROPER(TRIM(Table1[[#This Row],[ReferralSource]]))</f>
        <v>Referral</v>
      </c>
      <c r="S1094" s="5">
        <f>Table1[[#This Row],[TotalPrice]]/Table1[[#This Row],[ItemsInCart]]</f>
        <v>89.779999999999987</v>
      </c>
    </row>
    <row r="1095" spans="1:19" x14ac:dyDescent="0.3">
      <c r="A1095" t="s">
        <v>426</v>
      </c>
      <c r="B1095" s="1">
        <v>45758</v>
      </c>
      <c r="C1095" t="s">
        <v>1626</v>
      </c>
      <c r="D1095" t="s">
        <v>2405</v>
      </c>
      <c r="E1095">
        <v>5</v>
      </c>
      <c r="F1095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>
        <v>10</v>
      </c>
      <c r="L1095" t="s">
        <v>4283</v>
      </c>
      <c r="M1095" t="s">
        <v>4281</v>
      </c>
      <c r="N1095" s="5">
        <v>665.05</v>
      </c>
      <c r="O1095" t="str">
        <f>IF(ABS(Table1[[#This Row],[TotalPrice]]-Table1[[#This Row],[Quantity]]*Table1[[#This Row],[UnitPrice]]) &lt;0.01, "ok",)</f>
        <v>ok</v>
      </c>
      <c r="P1095" t="str">
        <f>PROPER(TRIM(Table1[[#This Row],[ShippingAddress]]))</f>
        <v>246 Main St</v>
      </c>
      <c r="Q1095" t="str">
        <f>PROPER(TRIM((Table1[[#This Row],[PaymentMethod]])))</f>
        <v>Credit Card</v>
      </c>
      <c r="R1095" t="str">
        <f>PROPER(TRIM(Table1[[#This Row],[ReferralSource]]))</f>
        <v>Facebook</v>
      </c>
      <c r="S1095" s="5">
        <f>Table1[[#This Row],[TotalPrice]]/Table1[[#This Row],[ItemsInCart]]</f>
        <v>66.504999999999995</v>
      </c>
    </row>
    <row r="1096" spans="1:19" x14ac:dyDescent="0.3">
      <c r="A1096" t="s">
        <v>113</v>
      </c>
      <c r="B1096" s="1">
        <v>45759</v>
      </c>
      <c r="C1096" t="s">
        <v>1313</v>
      </c>
      <c r="D1096" t="s">
        <v>2407</v>
      </c>
      <c r="E1096">
        <v>1</v>
      </c>
      <c r="F1096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>
        <v>2</v>
      </c>
      <c r="L1096" t="s">
        <v>4277</v>
      </c>
      <c r="M1096" t="s">
        <v>4280</v>
      </c>
      <c r="N1096" s="5">
        <v>201.58</v>
      </c>
      <c r="O1096" t="str">
        <f>IF(ABS(Table1[[#This Row],[TotalPrice]]-Table1[[#This Row],[Quantity]]*Table1[[#This Row],[UnitPrice]]) &lt;0.01, "ok",)</f>
        <v>ok</v>
      </c>
      <c r="P1096" t="str">
        <f>PROPER(TRIM(Table1[[#This Row],[ShippingAddress]]))</f>
        <v>717 Main St</v>
      </c>
      <c r="Q1096" t="str">
        <f>PROPER(TRIM((Table1[[#This Row],[PaymentMethod]])))</f>
        <v>Debit Card</v>
      </c>
      <c r="R1096" t="str">
        <f>PROPER(TRIM(Table1[[#This Row],[ReferralSource]]))</f>
        <v>Email</v>
      </c>
      <c r="S1096" s="5">
        <f>Table1[[#This Row],[TotalPrice]]/Table1[[#This Row],[ItemsInCart]]</f>
        <v>100.79</v>
      </c>
    </row>
    <row r="1097" spans="1:19" x14ac:dyDescent="0.3">
      <c r="A1097" t="s">
        <v>763</v>
      </c>
      <c r="B1097" s="1">
        <v>45760</v>
      </c>
      <c r="C1097" t="s">
        <v>1960</v>
      </c>
      <c r="D1097" t="s">
        <v>2408</v>
      </c>
      <c r="E1097">
        <v>1</v>
      </c>
      <c r="F109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>
        <v>4</v>
      </c>
      <c r="L1097" t="s">
        <v>4276</v>
      </c>
      <c r="M1097" t="s">
        <v>4278</v>
      </c>
      <c r="N1097" s="5">
        <v>518.39</v>
      </c>
      <c r="O1097" t="str">
        <f>IF(ABS(Table1[[#This Row],[TotalPrice]]-Table1[[#This Row],[Quantity]]*Table1[[#This Row],[UnitPrice]]) &lt;0.01, "ok",)</f>
        <v>ok</v>
      </c>
      <c r="P1097" t="str">
        <f>PROPER(TRIM(Table1[[#This Row],[ShippingAddress]]))</f>
        <v>997 Main St</v>
      </c>
      <c r="Q1097" t="str">
        <f>PROPER(TRIM((Table1[[#This Row],[PaymentMethod]])))</f>
        <v>Debit Card</v>
      </c>
      <c r="R1097" t="str">
        <f>PROPER(TRIM(Table1[[#This Row],[ReferralSource]]))</f>
        <v>Instagram</v>
      </c>
      <c r="S1097" s="5">
        <f>Table1[[#This Row],[TotalPrice]]/Table1[[#This Row],[ItemsInCart]]</f>
        <v>129.5975</v>
      </c>
    </row>
    <row r="1098" spans="1:19" x14ac:dyDescent="0.3">
      <c r="A1098" t="s">
        <v>230</v>
      </c>
      <c r="B1098" s="1">
        <v>45762</v>
      </c>
      <c r="C1098" t="s">
        <v>1430</v>
      </c>
      <c r="D1098" t="s">
        <v>2403</v>
      </c>
      <c r="E1098">
        <v>4</v>
      </c>
      <c r="F1098">
        <v>496</v>
      </c>
      <c r="G1098" t="s">
        <v>2465</v>
      </c>
      <c r="H1098" t="s">
        <v>3066</v>
      </c>
      <c r="I1098" t="s">
        <v>3071</v>
      </c>
      <c r="J1098" t="s">
        <v>3291</v>
      </c>
      <c r="K1098">
        <v>8</v>
      </c>
      <c r="L1098" t="s">
        <v>4277</v>
      </c>
      <c r="M1098" t="s">
        <v>4282</v>
      </c>
      <c r="N1098" s="5">
        <v>1984</v>
      </c>
      <c r="O1098" t="str">
        <f>IF(ABS(Table1[[#This Row],[TotalPrice]]-Table1[[#This Row],[Quantity]]*Table1[[#This Row],[UnitPrice]]) &lt;0.01, "ok",)</f>
        <v>ok</v>
      </c>
      <c r="P1098" t="str">
        <f>PROPER(TRIM(Table1[[#This Row],[ShippingAddress]]))</f>
        <v>811 Main St</v>
      </c>
      <c r="Q1098" t="str">
        <f>PROPER(TRIM((Table1[[#This Row],[PaymentMethod]])))</f>
        <v>Online</v>
      </c>
      <c r="R1098" t="str">
        <f>PROPER(TRIM(Table1[[#This Row],[ReferralSource]]))</f>
        <v>Google</v>
      </c>
      <c r="S1098" s="5">
        <f>Table1[[#This Row],[TotalPrice]]/Table1[[#This Row],[ItemsInCart]]</f>
        <v>248</v>
      </c>
    </row>
    <row r="1099" spans="1:19" x14ac:dyDescent="0.3">
      <c r="A1099" t="s">
        <v>788</v>
      </c>
      <c r="B1099" s="1">
        <v>45762</v>
      </c>
      <c r="C1099" t="s">
        <v>1985</v>
      </c>
      <c r="D1099" t="s">
        <v>2406</v>
      </c>
      <c r="E1099">
        <v>3</v>
      </c>
      <c r="F1099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>
        <v>3</v>
      </c>
      <c r="L1099" t="s">
        <v>4276</v>
      </c>
      <c r="M1099" t="s">
        <v>4278</v>
      </c>
      <c r="N1099" s="5">
        <v>61.62</v>
      </c>
      <c r="O1099" t="str">
        <f>IF(ABS(Table1[[#This Row],[TotalPrice]]-Table1[[#This Row],[Quantity]]*Table1[[#This Row],[UnitPrice]]) &lt;0.01, "ok",)</f>
        <v>ok</v>
      </c>
      <c r="P1099" t="str">
        <f>PROPER(TRIM(Table1[[#This Row],[ShippingAddress]]))</f>
        <v>257 Main St</v>
      </c>
      <c r="Q1099" t="str">
        <f>PROPER(TRIM((Table1[[#This Row],[PaymentMethod]])))</f>
        <v>Credit Card</v>
      </c>
      <c r="R1099" t="str">
        <f>PROPER(TRIM(Table1[[#This Row],[ReferralSource]]))</f>
        <v>Instagram</v>
      </c>
      <c r="S1099" s="5">
        <f>Table1[[#This Row],[TotalPrice]]/Table1[[#This Row],[ItemsInCart]]</f>
        <v>20.54</v>
      </c>
    </row>
    <row r="1100" spans="1:19" x14ac:dyDescent="0.3">
      <c r="A1100" t="s">
        <v>953</v>
      </c>
      <c r="B1100" s="1">
        <v>45763</v>
      </c>
      <c r="C1100" t="s">
        <v>2149</v>
      </c>
      <c r="D1100" t="s">
        <v>2408</v>
      </c>
      <c r="E1100">
        <v>2</v>
      </c>
      <c r="F1100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>
        <v>7</v>
      </c>
      <c r="L1100" t="s">
        <v>4275</v>
      </c>
      <c r="M1100" t="s">
        <v>4278</v>
      </c>
      <c r="N1100" s="5">
        <v>1042.8</v>
      </c>
      <c r="O1100" t="str">
        <f>IF(ABS(Table1[[#This Row],[TotalPrice]]-Table1[[#This Row],[Quantity]]*Table1[[#This Row],[UnitPrice]]) &lt;0.01, "ok",)</f>
        <v>ok</v>
      </c>
      <c r="P1100" t="str">
        <f>PROPER(TRIM(Table1[[#This Row],[ShippingAddress]]))</f>
        <v>212 Main St</v>
      </c>
      <c r="Q1100" t="str">
        <f>PROPER(TRIM((Table1[[#This Row],[PaymentMethod]])))</f>
        <v>Cash</v>
      </c>
      <c r="R1100" t="str">
        <f>PROPER(TRIM(Table1[[#This Row],[ReferralSource]]))</f>
        <v>Instagram</v>
      </c>
      <c r="S1100" s="5">
        <f>Table1[[#This Row],[TotalPrice]]/Table1[[#This Row],[ItemsInCart]]</f>
        <v>148.97142857142856</v>
      </c>
    </row>
    <row r="1101" spans="1:19" x14ac:dyDescent="0.3">
      <c r="A1101" t="s">
        <v>281</v>
      </c>
      <c r="B1101" s="1">
        <v>45764</v>
      </c>
      <c r="C1101" t="s">
        <v>1481</v>
      </c>
      <c r="D1101" t="s">
        <v>2406</v>
      </c>
      <c r="E1101">
        <v>5</v>
      </c>
      <c r="F1101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>
        <v>9</v>
      </c>
      <c r="L1101" t="s">
        <v>4283</v>
      </c>
      <c r="M1101" t="s">
        <v>4281</v>
      </c>
      <c r="N1101" s="5">
        <v>2342.5500000000002</v>
      </c>
      <c r="O1101" t="str">
        <f>IF(ABS(Table1[[#This Row],[TotalPrice]]-Table1[[#This Row],[Quantity]]*Table1[[#This Row],[UnitPrice]]) &lt;0.01, "ok",)</f>
        <v>ok</v>
      </c>
      <c r="P1101" t="str">
        <f>PROPER(TRIM(Table1[[#This Row],[ShippingAddress]]))</f>
        <v>803 Main St</v>
      </c>
      <c r="Q1101" t="str">
        <f>PROPER(TRIM((Table1[[#This Row],[PaymentMethod]])))</f>
        <v>Debit Card</v>
      </c>
      <c r="R1101" t="str">
        <f>PROPER(TRIM(Table1[[#This Row],[ReferralSource]]))</f>
        <v>Facebook</v>
      </c>
      <c r="S1101" s="5">
        <f>Table1[[#This Row],[TotalPrice]]/Table1[[#This Row],[ItemsInCart]]</f>
        <v>260.28333333333336</v>
      </c>
    </row>
    <row r="1102" spans="1:19" x14ac:dyDescent="0.3">
      <c r="A1102" t="s">
        <v>672</v>
      </c>
      <c r="B1102" s="1">
        <v>45765</v>
      </c>
      <c r="C1102" t="s">
        <v>1871</v>
      </c>
      <c r="D1102" t="s">
        <v>2407</v>
      </c>
      <c r="E1102">
        <v>2</v>
      </c>
      <c r="F1102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>
        <v>4</v>
      </c>
      <c r="L1102" t="s">
        <v>4275</v>
      </c>
      <c r="M1102" t="s">
        <v>4282</v>
      </c>
      <c r="N1102" s="5">
        <v>92.72</v>
      </c>
      <c r="O1102" t="str">
        <f>IF(ABS(Table1[[#This Row],[TotalPrice]]-Table1[[#This Row],[Quantity]]*Table1[[#This Row],[UnitPrice]]) &lt;0.01, "ok",)</f>
        <v>ok</v>
      </c>
      <c r="P1102" t="str">
        <f>PROPER(TRIM(Table1[[#This Row],[ShippingAddress]]))</f>
        <v>670 Main St</v>
      </c>
      <c r="Q1102" t="str">
        <f>PROPER(TRIM((Table1[[#This Row],[PaymentMethod]])))</f>
        <v>Gift Card</v>
      </c>
      <c r="R1102" t="str">
        <f>PROPER(TRIM(Table1[[#This Row],[ReferralSource]]))</f>
        <v>Google</v>
      </c>
      <c r="S1102" s="5">
        <f>Table1[[#This Row],[TotalPrice]]/Table1[[#This Row],[ItemsInCart]]</f>
        <v>23.18</v>
      </c>
    </row>
    <row r="1103" spans="1:19" x14ac:dyDescent="0.3">
      <c r="A1103" t="s">
        <v>781</v>
      </c>
      <c r="B1103" s="1">
        <v>45765</v>
      </c>
      <c r="C1103" t="s">
        <v>1978</v>
      </c>
      <c r="D1103" t="s">
        <v>2405</v>
      </c>
      <c r="E1103">
        <v>2</v>
      </c>
      <c r="F1103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>
        <v>7</v>
      </c>
      <c r="L1103" t="s">
        <v>4283</v>
      </c>
      <c r="M1103" t="s">
        <v>4278</v>
      </c>
      <c r="N1103" s="5">
        <v>646.44000000000005</v>
      </c>
      <c r="O1103" t="str">
        <f>IF(ABS(Table1[[#This Row],[TotalPrice]]-Table1[[#This Row],[Quantity]]*Table1[[#This Row],[UnitPrice]]) &lt;0.01, "ok",)</f>
        <v>ok</v>
      </c>
      <c r="P1103" t="str">
        <f>PROPER(TRIM(Table1[[#This Row],[ShippingAddress]]))</f>
        <v>517 Main St</v>
      </c>
      <c r="Q1103" t="str">
        <f>PROPER(TRIM((Table1[[#This Row],[PaymentMethod]])))</f>
        <v>Credit Card</v>
      </c>
      <c r="R1103" t="str">
        <f>PROPER(TRIM(Table1[[#This Row],[ReferralSource]]))</f>
        <v>Instagram</v>
      </c>
      <c r="S1103" s="5">
        <f>Table1[[#This Row],[TotalPrice]]/Table1[[#This Row],[ItemsInCart]]</f>
        <v>92.348571428571432</v>
      </c>
    </row>
    <row r="1104" spans="1:19" x14ac:dyDescent="0.3">
      <c r="A1104" t="s">
        <v>485</v>
      </c>
      <c r="B1104" s="1">
        <v>45766</v>
      </c>
      <c r="C1104" t="s">
        <v>1685</v>
      </c>
      <c r="D1104" t="s">
        <v>2409</v>
      </c>
      <c r="E1104">
        <v>5</v>
      </c>
      <c r="F1104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>
        <v>7</v>
      </c>
      <c r="L1104" t="s">
        <v>4276</v>
      </c>
      <c r="M1104" t="s">
        <v>4279</v>
      </c>
      <c r="N1104" s="5">
        <v>2756.35</v>
      </c>
      <c r="O1104" t="str">
        <f>IF(ABS(Table1[[#This Row],[TotalPrice]]-Table1[[#This Row],[Quantity]]*Table1[[#This Row],[UnitPrice]]) &lt;0.01, "ok",)</f>
        <v>ok</v>
      </c>
      <c r="P1104" t="str">
        <f>PROPER(TRIM(Table1[[#This Row],[ShippingAddress]]))</f>
        <v>395 Main St</v>
      </c>
      <c r="Q1104" t="str">
        <f>PROPER(TRIM((Table1[[#This Row],[PaymentMethod]])))</f>
        <v>Online</v>
      </c>
      <c r="R1104" t="str">
        <f>PROPER(TRIM(Table1[[#This Row],[ReferralSource]]))</f>
        <v>Referral</v>
      </c>
      <c r="S1104" s="5">
        <f>Table1[[#This Row],[TotalPrice]]/Table1[[#This Row],[ItemsInCart]]</f>
        <v>393.76428571428568</v>
      </c>
    </row>
    <row r="1105" spans="1:19" x14ac:dyDescent="0.3">
      <c r="A1105" t="s">
        <v>489</v>
      </c>
      <c r="B1105" s="1">
        <v>45766</v>
      </c>
      <c r="C1105" t="s">
        <v>1689</v>
      </c>
      <c r="D1105" t="s">
        <v>2405</v>
      </c>
      <c r="E1105">
        <v>2</v>
      </c>
      <c r="F1105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>
        <v>3</v>
      </c>
      <c r="L1105" t="s">
        <v>4275</v>
      </c>
      <c r="M1105" t="s">
        <v>4281</v>
      </c>
      <c r="N1105" s="5">
        <v>877.24</v>
      </c>
      <c r="O1105" t="str">
        <f>IF(ABS(Table1[[#This Row],[TotalPrice]]-Table1[[#This Row],[Quantity]]*Table1[[#This Row],[UnitPrice]]) &lt;0.01, "ok",)</f>
        <v>ok</v>
      </c>
      <c r="P1105" t="str">
        <f>PROPER(TRIM(Table1[[#This Row],[ShippingAddress]]))</f>
        <v>363 Main St</v>
      </c>
      <c r="Q1105" t="str">
        <f>PROPER(TRIM((Table1[[#This Row],[PaymentMethod]])))</f>
        <v>Cash</v>
      </c>
      <c r="R1105" t="str">
        <f>PROPER(TRIM(Table1[[#This Row],[ReferralSource]]))</f>
        <v>Facebook</v>
      </c>
      <c r="S1105" s="5">
        <f>Table1[[#This Row],[TotalPrice]]/Table1[[#This Row],[ItemsInCart]]</f>
        <v>292.41333333333336</v>
      </c>
    </row>
    <row r="1106" spans="1:19" x14ac:dyDescent="0.3">
      <c r="A1106" t="s">
        <v>259</v>
      </c>
      <c r="B1106" s="1">
        <v>45767</v>
      </c>
      <c r="C1106" t="s">
        <v>1459</v>
      </c>
      <c r="D1106" t="s">
        <v>2408</v>
      </c>
      <c r="E1106">
        <v>1</v>
      </c>
      <c r="F1106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>
        <v>1</v>
      </c>
      <c r="L1106" t="s">
        <v>4283</v>
      </c>
      <c r="M1106" t="s">
        <v>4281</v>
      </c>
      <c r="N1106" s="5">
        <v>223.3</v>
      </c>
      <c r="O1106" t="str">
        <f>IF(ABS(Table1[[#This Row],[TotalPrice]]-Table1[[#This Row],[Quantity]]*Table1[[#This Row],[UnitPrice]]) &lt;0.01, "ok",)</f>
        <v>ok</v>
      </c>
      <c r="P1106" t="str">
        <f>PROPER(TRIM(Table1[[#This Row],[ShippingAddress]]))</f>
        <v>306 Main St</v>
      </c>
      <c r="Q1106" t="str">
        <f>PROPER(TRIM((Table1[[#This Row],[PaymentMethod]])))</f>
        <v>Online</v>
      </c>
      <c r="R1106" t="str">
        <f>PROPER(TRIM(Table1[[#This Row],[ReferralSource]]))</f>
        <v>Facebook</v>
      </c>
      <c r="S1106" s="5">
        <f>Table1[[#This Row],[TotalPrice]]/Table1[[#This Row],[ItemsInCart]]</f>
        <v>223.3</v>
      </c>
    </row>
    <row r="1107" spans="1:19" x14ac:dyDescent="0.3">
      <c r="A1107" t="s">
        <v>58</v>
      </c>
      <c r="B1107" s="1">
        <v>45768</v>
      </c>
      <c r="C1107" t="s">
        <v>1258</v>
      </c>
      <c r="D1107" t="s">
        <v>2404</v>
      </c>
      <c r="E1107">
        <v>2</v>
      </c>
      <c r="F110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>
        <v>3</v>
      </c>
      <c r="L1107" t="s">
        <v>4276</v>
      </c>
      <c r="M1107" t="s">
        <v>4279</v>
      </c>
      <c r="N1107" s="5">
        <v>1100.3599999999999</v>
      </c>
      <c r="O1107" t="str">
        <f>IF(ABS(Table1[[#This Row],[TotalPrice]]-Table1[[#This Row],[Quantity]]*Table1[[#This Row],[UnitPrice]]) &lt;0.01, "ok",)</f>
        <v>ok</v>
      </c>
      <c r="P1107" t="str">
        <f>PROPER(TRIM(Table1[[#This Row],[ShippingAddress]]))</f>
        <v>996 Main St</v>
      </c>
      <c r="Q1107" t="str">
        <f>PROPER(TRIM((Table1[[#This Row],[PaymentMethod]])))</f>
        <v>Gift Card</v>
      </c>
      <c r="R1107" t="str">
        <f>PROPER(TRIM(Table1[[#This Row],[ReferralSource]]))</f>
        <v>Referral</v>
      </c>
      <c r="S1107" s="5">
        <f>Table1[[#This Row],[TotalPrice]]/Table1[[#This Row],[ItemsInCart]]</f>
        <v>366.78666666666663</v>
      </c>
    </row>
    <row r="1108" spans="1:19" x14ac:dyDescent="0.3">
      <c r="A1108" t="s">
        <v>296</v>
      </c>
      <c r="B1108" s="1">
        <v>45769</v>
      </c>
      <c r="C1108" t="s">
        <v>1496</v>
      </c>
      <c r="D1108" t="s">
        <v>2407</v>
      </c>
      <c r="E1108">
        <v>4</v>
      </c>
      <c r="F1108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>
        <v>9</v>
      </c>
      <c r="L1108" t="s">
        <v>4276</v>
      </c>
      <c r="M1108" t="s">
        <v>4282</v>
      </c>
      <c r="N1108" s="5">
        <v>2551.16</v>
      </c>
      <c r="O1108" t="str">
        <f>IF(ABS(Table1[[#This Row],[TotalPrice]]-Table1[[#This Row],[Quantity]]*Table1[[#This Row],[UnitPrice]]) &lt;0.01, "ok",)</f>
        <v>ok</v>
      </c>
      <c r="P1108" t="str">
        <f>PROPER(TRIM(Table1[[#This Row],[ShippingAddress]]))</f>
        <v>375 Main St</v>
      </c>
      <c r="Q1108" t="str">
        <f>PROPER(TRIM((Table1[[#This Row],[PaymentMethod]])))</f>
        <v>Gift Card</v>
      </c>
      <c r="R1108" t="str">
        <f>PROPER(TRIM(Table1[[#This Row],[ReferralSource]]))</f>
        <v>Google</v>
      </c>
      <c r="S1108" s="5">
        <f>Table1[[#This Row],[TotalPrice]]/Table1[[#This Row],[ItemsInCart]]</f>
        <v>283.46222222222218</v>
      </c>
    </row>
    <row r="1109" spans="1:19" x14ac:dyDescent="0.3">
      <c r="A1109" t="s">
        <v>913</v>
      </c>
      <c r="B1109" s="1">
        <v>45770</v>
      </c>
      <c r="C1109" t="s">
        <v>2109</v>
      </c>
      <c r="D1109" t="s">
        <v>2407</v>
      </c>
      <c r="E1109">
        <v>2</v>
      </c>
      <c r="F1109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>
        <v>3</v>
      </c>
      <c r="L1109" t="s">
        <v>4275</v>
      </c>
      <c r="M1109" t="s">
        <v>4278</v>
      </c>
      <c r="N1109" s="5">
        <v>646.74</v>
      </c>
      <c r="O1109" t="str">
        <f>IF(ABS(Table1[[#This Row],[TotalPrice]]-Table1[[#This Row],[Quantity]]*Table1[[#This Row],[UnitPrice]]) &lt;0.01, "ok",)</f>
        <v>ok</v>
      </c>
      <c r="P1109" t="str">
        <f>PROPER(TRIM(Table1[[#This Row],[ShippingAddress]]))</f>
        <v>552 Main St</v>
      </c>
      <c r="Q1109" t="str">
        <f>PROPER(TRIM((Table1[[#This Row],[PaymentMethod]])))</f>
        <v>Online</v>
      </c>
      <c r="R1109" t="str">
        <f>PROPER(TRIM(Table1[[#This Row],[ReferralSource]]))</f>
        <v>Instagram</v>
      </c>
      <c r="S1109" s="5">
        <f>Table1[[#This Row],[TotalPrice]]/Table1[[#This Row],[ItemsInCart]]</f>
        <v>215.58</v>
      </c>
    </row>
    <row r="1110" spans="1:19" x14ac:dyDescent="0.3">
      <c r="A1110" t="s">
        <v>661</v>
      </c>
      <c r="B1110" s="1">
        <v>45771</v>
      </c>
      <c r="C1110" t="s">
        <v>1860</v>
      </c>
      <c r="D1110" t="s">
        <v>2409</v>
      </c>
      <c r="E1110">
        <v>3</v>
      </c>
      <c r="F1110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>
        <v>7</v>
      </c>
      <c r="L1110" t="s">
        <v>4276</v>
      </c>
      <c r="M1110" t="s">
        <v>4282</v>
      </c>
      <c r="N1110" s="5">
        <v>1018.17</v>
      </c>
      <c r="O1110" t="str">
        <f>IF(ABS(Table1[[#This Row],[TotalPrice]]-Table1[[#This Row],[Quantity]]*Table1[[#This Row],[UnitPrice]]) &lt;0.01, "ok",)</f>
        <v>ok</v>
      </c>
      <c r="P1110" t="str">
        <f>PROPER(TRIM(Table1[[#This Row],[ShippingAddress]]))</f>
        <v>667 Main St</v>
      </c>
      <c r="Q1110" t="str">
        <f>PROPER(TRIM((Table1[[#This Row],[PaymentMethod]])))</f>
        <v>Cash</v>
      </c>
      <c r="R1110" t="str">
        <f>PROPER(TRIM(Table1[[#This Row],[ReferralSource]]))</f>
        <v>Google</v>
      </c>
      <c r="S1110" s="5">
        <f>Table1[[#This Row],[TotalPrice]]/Table1[[#This Row],[ItemsInCart]]</f>
        <v>145.45285714285714</v>
      </c>
    </row>
    <row r="1111" spans="1:19" x14ac:dyDescent="0.3">
      <c r="A1111" t="s">
        <v>409</v>
      </c>
      <c r="B1111" s="1">
        <v>45772</v>
      </c>
      <c r="C1111" t="s">
        <v>1609</v>
      </c>
      <c r="D1111" t="s">
        <v>2404</v>
      </c>
      <c r="E1111">
        <v>3</v>
      </c>
      <c r="F1111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>
        <v>7</v>
      </c>
      <c r="L1111" t="s">
        <v>4275</v>
      </c>
      <c r="M1111" t="s">
        <v>4279</v>
      </c>
      <c r="N1111" s="5">
        <v>382.23</v>
      </c>
      <c r="O1111" t="str">
        <f>IF(ABS(Table1[[#This Row],[TotalPrice]]-Table1[[#This Row],[Quantity]]*Table1[[#This Row],[UnitPrice]]) &lt;0.01, "ok",)</f>
        <v>ok</v>
      </c>
      <c r="P1111" t="str">
        <f>PROPER(TRIM(Table1[[#This Row],[ShippingAddress]]))</f>
        <v>830 Main St</v>
      </c>
      <c r="Q1111" t="str">
        <f>PROPER(TRIM((Table1[[#This Row],[PaymentMethod]])))</f>
        <v>Gift Card</v>
      </c>
      <c r="R1111" t="str">
        <f>PROPER(TRIM(Table1[[#This Row],[ReferralSource]]))</f>
        <v>Referral</v>
      </c>
      <c r="S1111" s="5">
        <f>Table1[[#This Row],[TotalPrice]]/Table1[[#This Row],[ItemsInCart]]</f>
        <v>54.604285714285716</v>
      </c>
    </row>
    <row r="1112" spans="1:19" x14ac:dyDescent="0.3">
      <c r="A1112" t="s">
        <v>1027</v>
      </c>
      <c r="B1112" s="1">
        <v>45773</v>
      </c>
      <c r="C1112" t="s">
        <v>2219</v>
      </c>
      <c r="D1112" t="s">
        <v>2408</v>
      </c>
      <c r="E1112">
        <v>4</v>
      </c>
      <c r="F1112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>
        <v>9</v>
      </c>
      <c r="L1112" t="s">
        <v>4276</v>
      </c>
      <c r="M1112" t="s">
        <v>4281</v>
      </c>
      <c r="N1112" s="5">
        <v>1202.24</v>
      </c>
      <c r="O1112" t="str">
        <f>IF(ABS(Table1[[#This Row],[TotalPrice]]-Table1[[#This Row],[Quantity]]*Table1[[#This Row],[UnitPrice]]) &lt;0.01, "ok",)</f>
        <v>ok</v>
      </c>
      <c r="P1112" t="str">
        <f>PROPER(TRIM(Table1[[#This Row],[ShippingAddress]]))</f>
        <v>842 Main St</v>
      </c>
      <c r="Q1112" t="str">
        <f>PROPER(TRIM((Table1[[#This Row],[PaymentMethod]])))</f>
        <v>Cash</v>
      </c>
      <c r="R1112" t="str">
        <f>PROPER(TRIM(Table1[[#This Row],[ReferralSource]]))</f>
        <v>Facebook</v>
      </c>
      <c r="S1112" s="5">
        <f>Table1[[#This Row],[TotalPrice]]/Table1[[#This Row],[ItemsInCart]]</f>
        <v>133.58222222222221</v>
      </c>
    </row>
    <row r="1113" spans="1:19" x14ac:dyDescent="0.3">
      <c r="A1113" t="s">
        <v>864</v>
      </c>
      <c r="B1113" s="1">
        <v>45774</v>
      </c>
      <c r="C1113" t="s">
        <v>2060</v>
      </c>
      <c r="D1113" t="s">
        <v>2403</v>
      </c>
      <c r="E1113">
        <v>3</v>
      </c>
      <c r="F1113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>
        <v>4</v>
      </c>
      <c r="L1113" t="s">
        <v>4276</v>
      </c>
      <c r="M1113" t="s">
        <v>4278</v>
      </c>
      <c r="N1113" s="5">
        <v>1915.5</v>
      </c>
      <c r="O1113" t="str">
        <f>IF(ABS(Table1[[#This Row],[TotalPrice]]-Table1[[#This Row],[Quantity]]*Table1[[#This Row],[UnitPrice]]) &lt;0.01, "ok",)</f>
        <v>ok</v>
      </c>
      <c r="P1113" t="str">
        <f>PROPER(TRIM(Table1[[#This Row],[ShippingAddress]]))</f>
        <v>890 Main St</v>
      </c>
      <c r="Q1113" t="str">
        <f>PROPER(TRIM((Table1[[#This Row],[PaymentMethod]])))</f>
        <v>Debit Card</v>
      </c>
      <c r="R1113" t="str">
        <f>PROPER(TRIM(Table1[[#This Row],[ReferralSource]]))</f>
        <v>Instagram</v>
      </c>
      <c r="S1113" s="5">
        <f>Table1[[#This Row],[TotalPrice]]/Table1[[#This Row],[ItemsInCart]]</f>
        <v>478.875</v>
      </c>
    </row>
    <row r="1114" spans="1:19" x14ac:dyDescent="0.3">
      <c r="A1114" t="s">
        <v>810</v>
      </c>
      <c r="B1114" s="1">
        <v>45776</v>
      </c>
      <c r="C1114" t="s">
        <v>2007</v>
      </c>
      <c r="D1114" t="s">
        <v>2404</v>
      </c>
      <c r="E1114">
        <v>3</v>
      </c>
      <c r="F1114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>
        <v>8</v>
      </c>
      <c r="L1114" t="s">
        <v>4277</v>
      </c>
      <c r="M1114" t="s">
        <v>4281</v>
      </c>
      <c r="N1114" s="5">
        <v>1738.65</v>
      </c>
      <c r="O1114" t="str">
        <f>IF(ABS(Table1[[#This Row],[TotalPrice]]-Table1[[#This Row],[Quantity]]*Table1[[#This Row],[UnitPrice]]) &lt;0.01, "ok",)</f>
        <v>ok</v>
      </c>
      <c r="P1114" t="str">
        <f>PROPER(TRIM(Table1[[#This Row],[ShippingAddress]]))</f>
        <v>882 Main St</v>
      </c>
      <c r="Q1114" t="str">
        <f>PROPER(TRIM((Table1[[#This Row],[PaymentMethod]])))</f>
        <v>Gift Card</v>
      </c>
      <c r="R1114" t="str">
        <f>PROPER(TRIM(Table1[[#This Row],[ReferralSource]]))</f>
        <v>Facebook</v>
      </c>
      <c r="S1114" s="5">
        <f>Table1[[#This Row],[TotalPrice]]/Table1[[#This Row],[ItemsInCart]]</f>
        <v>217.33125000000001</v>
      </c>
    </row>
    <row r="1115" spans="1:19" x14ac:dyDescent="0.3">
      <c r="A1115" t="s">
        <v>160</v>
      </c>
      <c r="B1115" s="1">
        <v>45777</v>
      </c>
      <c r="C1115" t="s">
        <v>1360</v>
      </c>
      <c r="D1115" t="s">
        <v>2405</v>
      </c>
      <c r="E1115">
        <v>2</v>
      </c>
      <c r="F1115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>
        <v>4</v>
      </c>
      <c r="L1115" t="s">
        <v>4283</v>
      </c>
      <c r="M1115" t="s">
        <v>4278</v>
      </c>
      <c r="N1115" s="5">
        <v>822.98</v>
      </c>
      <c r="O1115" t="str">
        <f>IF(ABS(Table1[[#This Row],[TotalPrice]]-Table1[[#This Row],[Quantity]]*Table1[[#This Row],[UnitPrice]]) &lt;0.01, "ok",)</f>
        <v>ok</v>
      </c>
      <c r="P1115" t="str">
        <f>PROPER(TRIM(Table1[[#This Row],[ShippingAddress]]))</f>
        <v>404 Main St</v>
      </c>
      <c r="Q1115" t="str">
        <f>PROPER(TRIM((Table1[[#This Row],[PaymentMethod]])))</f>
        <v>Credit Card</v>
      </c>
      <c r="R1115" t="str">
        <f>PROPER(TRIM(Table1[[#This Row],[ReferralSource]]))</f>
        <v>Instagram</v>
      </c>
      <c r="S1115" s="5">
        <f>Table1[[#This Row],[TotalPrice]]/Table1[[#This Row],[ItemsInCart]]</f>
        <v>205.745</v>
      </c>
    </row>
    <row r="1116" spans="1:19" x14ac:dyDescent="0.3">
      <c r="A1116" t="s">
        <v>233</v>
      </c>
      <c r="B1116" s="1">
        <v>45779</v>
      </c>
      <c r="C1116" t="s">
        <v>1433</v>
      </c>
      <c r="D1116" t="s">
        <v>2408</v>
      </c>
      <c r="E1116">
        <v>5</v>
      </c>
      <c r="F1116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>
        <v>6</v>
      </c>
      <c r="L1116" t="s">
        <v>4275</v>
      </c>
      <c r="M1116" t="s">
        <v>4280</v>
      </c>
      <c r="N1116" s="5">
        <v>309.85000000000002</v>
      </c>
      <c r="O1116" t="str">
        <f>IF(ABS(Table1[[#This Row],[TotalPrice]]-Table1[[#This Row],[Quantity]]*Table1[[#This Row],[UnitPrice]]) &lt;0.01, "ok",)</f>
        <v>ok</v>
      </c>
      <c r="P1116" t="str">
        <f>PROPER(TRIM(Table1[[#This Row],[ShippingAddress]]))</f>
        <v>457 Main St</v>
      </c>
      <c r="Q1116" t="str">
        <f>PROPER(TRIM((Table1[[#This Row],[PaymentMethod]])))</f>
        <v>Cash</v>
      </c>
      <c r="R1116" t="str">
        <f>PROPER(TRIM(Table1[[#This Row],[ReferralSource]]))</f>
        <v>Email</v>
      </c>
      <c r="S1116" s="5">
        <f>Table1[[#This Row],[TotalPrice]]/Table1[[#This Row],[ItemsInCart]]</f>
        <v>51.641666666666673</v>
      </c>
    </row>
    <row r="1117" spans="1:19" x14ac:dyDescent="0.3">
      <c r="A1117" t="s">
        <v>467</v>
      </c>
      <c r="B1117" s="1">
        <v>45779</v>
      </c>
      <c r="C1117" t="s">
        <v>1667</v>
      </c>
      <c r="D1117" t="s">
        <v>2405</v>
      </c>
      <c r="E1117">
        <v>1</v>
      </c>
      <c r="F111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>
        <v>1</v>
      </c>
      <c r="L1117" t="s">
        <v>4277</v>
      </c>
      <c r="M1117" t="s">
        <v>4281</v>
      </c>
      <c r="N1117" s="5">
        <v>675.57</v>
      </c>
      <c r="O1117" t="str">
        <f>IF(ABS(Table1[[#This Row],[TotalPrice]]-Table1[[#This Row],[Quantity]]*Table1[[#This Row],[UnitPrice]]) &lt;0.01, "ok",)</f>
        <v>ok</v>
      </c>
      <c r="P1117" t="str">
        <f>PROPER(TRIM(Table1[[#This Row],[ShippingAddress]]))</f>
        <v>492 Main St</v>
      </c>
      <c r="Q1117" t="str">
        <f>PROPER(TRIM((Table1[[#This Row],[PaymentMethod]])))</f>
        <v>Cash</v>
      </c>
      <c r="R1117" t="str">
        <f>PROPER(TRIM(Table1[[#This Row],[ReferralSource]]))</f>
        <v>Facebook</v>
      </c>
      <c r="S1117" s="5">
        <f>Table1[[#This Row],[TotalPrice]]/Table1[[#This Row],[ItemsInCart]]</f>
        <v>675.57</v>
      </c>
    </row>
    <row r="1118" spans="1:19" x14ac:dyDescent="0.3">
      <c r="A1118" t="s">
        <v>140</v>
      </c>
      <c r="B1118" s="1">
        <v>45780</v>
      </c>
      <c r="C1118" t="s">
        <v>1340</v>
      </c>
      <c r="D1118" t="s">
        <v>2409</v>
      </c>
      <c r="E1118">
        <v>4</v>
      </c>
      <c r="F1118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>
        <v>8</v>
      </c>
      <c r="L1118" t="s">
        <v>4276</v>
      </c>
      <c r="M1118" t="s">
        <v>4282</v>
      </c>
      <c r="N1118" s="5">
        <v>1102</v>
      </c>
      <c r="O1118" t="str">
        <f>IF(ABS(Table1[[#This Row],[TotalPrice]]-Table1[[#This Row],[Quantity]]*Table1[[#This Row],[UnitPrice]]) &lt;0.01, "ok",)</f>
        <v>ok</v>
      </c>
      <c r="P1118" t="str">
        <f>PROPER(TRIM(Table1[[#This Row],[ShippingAddress]]))</f>
        <v>353 Main St</v>
      </c>
      <c r="Q1118" t="str">
        <f>PROPER(TRIM((Table1[[#This Row],[PaymentMethod]])))</f>
        <v>Gift Card</v>
      </c>
      <c r="R1118" t="str">
        <f>PROPER(TRIM(Table1[[#This Row],[ReferralSource]]))</f>
        <v>Google</v>
      </c>
      <c r="S1118" s="5">
        <f>Table1[[#This Row],[TotalPrice]]/Table1[[#This Row],[ItemsInCart]]</f>
        <v>137.75</v>
      </c>
    </row>
    <row r="1119" spans="1:19" x14ac:dyDescent="0.3">
      <c r="A1119" t="s">
        <v>384</v>
      </c>
      <c r="B1119" s="1">
        <v>45780</v>
      </c>
      <c r="C1119" t="s">
        <v>1584</v>
      </c>
      <c r="D1119" t="s">
        <v>2404</v>
      </c>
      <c r="E1119">
        <v>1</v>
      </c>
      <c r="F1119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>
        <v>4</v>
      </c>
      <c r="L1119" t="s">
        <v>4277</v>
      </c>
      <c r="M1119" t="s">
        <v>4281</v>
      </c>
      <c r="N1119" s="5">
        <v>312.11</v>
      </c>
      <c r="O1119" t="str">
        <f>IF(ABS(Table1[[#This Row],[TotalPrice]]-Table1[[#This Row],[Quantity]]*Table1[[#This Row],[UnitPrice]]) &lt;0.01, "ok",)</f>
        <v>ok</v>
      </c>
      <c r="P1119" t="str">
        <f>PROPER(TRIM(Table1[[#This Row],[ShippingAddress]]))</f>
        <v>870 Main St</v>
      </c>
      <c r="Q1119" t="str">
        <f>PROPER(TRIM((Table1[[#This Row],[PaymentMethod]])))</f>
        <v>Online</v>
      </c>
      <c r="R1119" t="str">
        <f>PROPER(TRIM(Table1[[#This Row],[ReferralSource]]))</f>
        <v>Facebook</v>
      </c>
      <c r="S1119" s="5">
        <f>Table1[[#This Row],[TotalPrice]]/Table1[[#This Row],[ItemsInCart]]</f>
        <v>78.027500000000003</v>
      </c>
    </row>
    <row r="1120" spans="1:19" x14ac:dyDescent="0.3">
      <c r="A1120" t="s">
        <v>546</v>
      </c>
      <c r="B1120" s="1">
        <v>45780</v>
      </c>
      <c r="C1120" t="s">
        <v>1746</v>
      </c>
      <c r="D1120" t="s">
        <v>2408</v>
      </c>
      <c r="E1120">
        <v>2</v>
      </c>
      <c r="F1120">
        <v>41</v>
      </c>
      <c r="G1120" t="s">
        <v>2806</v>
      </c>
      <c r="H1120" t="s">
        <v>3066</v>
      </c>
      <c r="I1120" t="s">
        <v>3073</v>
      </c>
      <c r="J1120" t="s">
        <v>3607</v>
      </c>
      <c r="K1120">
        <v>7</v>
      </c>
      <c r="L1120" t="s">
        <v>4283</v>
      </c>
      <c r="M1120" t="s">
        <v>4280</v>
      </c>
      <c r="N1120" s="5">
        <v>82</v>
      </c>
      <c r="O1120" t="str">
        <f>IF(ABS(Table1[[#This Row],[TotalPrice]]-Table1[[#This Row],[Quantity]]*Table1[[#This Row],[UnitPrice]]) &lt;0.01, "ok",)</f>
        <v>ok</v>
      </c>
      <c r="P1120" t="str">
        <f>PROPER(TRIM(Table1[[#This Row],[ShippingAddress]]))</f>
        <v>369 Main St</v>
      </c>
      <c r="Q1120" t="str">
        <f>PROPER(TRIM((Table1[[#This Row],[PaymentMethod]])))</f>
        <v>Online</v>
      </c>
      <c r="R1120" t="str">
        <f>PROPER(TRIM(Table1[[#This Row],[ReferralSource]]))</f>
        <v>Email</v>
      </c>
      <c r="S1120" s="5">
        <f>Table1[[#This Row],[TotalPrice]]/Table1[[#This Row],[ItemsInCart]]</f>
        <v>11.714285714285714</v>
      </c>
    </row>
    <row r="1121" spans="1:19" x14ac:dyDescent="0.3">
      <c r="A1121" t="s">
        <v>1110</v>
      </c>
      <c r="B1121" s="1">
        <v>45780</v>
      </c>
      <c r="C1121" t="s">
        <v>2302</v>
      </c>
      <c r="D1121" t="s">
        <v>2405</v>
      </c>
      <c r="E1121">
        <v>2</v>
      </c>
      <c r="F1121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>
        <v>2</v>
      </c>
      <c r="L1121" t="s">
        <v>4283</v>
      </c>
      <c r="M1121" t="s">
        <v>4281</v>
      </c>
      <c r="N1121" s="5">
        <v>929.84</v>
      </c>
      <c r="O1121" t="str">
        <f>IF(ABS(Table1[[#This Row],[TotalPrice]]-Table1[[#This Row],[Quantity]]*Table1[[#This Row],[UnitPrice]]) &lt;0.01, "ok",)</f>
        <v>ok</v>
      </c>
      <c r="P1121" t="str">
        <f>PROPER(TRIM(Table1[[#This Row],[ShippingAddress]]))</f>
        <v>782 Main St</v>
      </c>
      <c r="Q1121" t="str">
        <f>PROPER(TRIM((Table1[[#This Row],[PaymentMethod]])))</f>
        <v>Debit Card</v>
      </c>
      <c r="R1121" t="str">
        <f>PROPER(TRIM(Table1[[#This Row],[ReferralSource]]))</f>
        <v>Facebook</v>
      </c>
      <c r="S1121" s="5">
        <f>Table1[[#This Row],[TotalPrice]]/Table1[[#This Row],[ItemsInCart]]</f>
        <v>464.92</v>
      </c>
    </row>
    <row r="1122" spans="1:19" x14ac:dyDescent="0.3">
      <c r="A1122" t="s">
        <v>428</v>
      </c>
      <c r="B1122" s="1">
        <v>45781</v>
      </c>
      <c r="C1122" t="s">
        <v>1628</v>
      </c>
      <c r="D1122" t="s">
        <v>2409</v>
      </c>
      <c r="E1122">
        <v>2</v>
      </c>
      <c r="F1122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>
        <v>4</v>
      </c>
      <c r="L1122" t="s">
        <v>4277</v>
      </c>
      <c r="M1122" t="s">
        <v>4281</v>
      </c>
      <c r="N1122" s="5">
        <v>279.14</v>
      </c>
      <c r="O1122" t="str">
        <f>IF(ABS(Table1[[#This Row],[TotalPrice]]-Table1[[#This Row],[Quantity]]*Table1[[#This Row],[UnitPrice]]) &lt;0.01, "ok",)</f>
        <v>ok</v>
      </c>
      <c r="P1122" t="str">
        <f>PROPER(TRIM(Table1[[#This Row],[ShippingAddress]]))</f>
        <v>797 Main St</v>
      </c>
      <c r="Q1122" t="str">
        <f>PROPER(TRIM((Table1[[#This Row],[PaymentMethod]])))</f>
        <v>Cash</v>
      </c>
      <c r="R1122" t="str">
        <f>PROPER(TRIM(Table1[[#This Row],[ReferralSource]]))</f>
        <v>Facebook</v>
      </c>
      <c r="S1122" s="5">
        <f>Table1[[#This Row],[TotalPrice]]/Table1[[#This Row],[ItemsInCart]]</f>
        <v>69.784999999999997</v>
      </c>
    </row>
    <row r="1123" spans="1:19" x14ac:dyDescent="0.3">
      <c r="A1123" t="s">
        <v>161</v>
      </c>
      <c r="B1123" s="1">
        <v>45783</v>
      </c>
      <c r="C1123" t="s">
        <v>1361</v>
      </c>
      <c r="D1123" t="s">
        <v>2408</v>
      </c>
      <c r="E1123">
        <v>2</v>
      </c>
      <c r="F1123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>
        <v>2</v>
      </c>
      <c r="L1123" t="s">
        <v>4275</v>
      </c>
      <c r="M1123" t="s">
        <v>4282</v>
      </c>
      <c r="N1123" s="5">
        <v>930.36</v>
      </c>
      <c r="O1123" t="str">
        <f>IF(ABS(Table1[[#This Row],[TotalPrice]]-Table1[[#This Row],[Quantity]]*Table1[[#This Row],[UnitPrice]]) &lt;0.01, "ok",)</f>
        <v>ok</v>
      </c>
      <c r="P1123" t="str">
        <f>PROPER(TRIM(Table1[[#This Row],[ShippingAddress]]))</f>
        <v>893 Main St</v>
      </c>
      <c r="Q1123" t="str">
        <f>PROPER(TRIM((Table1[[#This Row],[PaymentMethod]])))</f>
        <v>Credit Card</v>
      </c>
      <c r="R1123" t="str">
        <f>PROPER(TRIM(Table1[[#This Row],[ReferralSource]]))</f>
        <v>Google</v>
      </c>
      <c r="S1123" s="5">
        <f>Table1[[#This Row],[TotalPrice]]/Table1[[#This Row],[ItemsInCart]]</f>
        <v>465.18</v>
      </c>
    </row>
    <row r="1124" spans="1:19" x14ac:dyDescent="0.3">
      <c r="A1124" t="s">
        <v>922</v>
      </c>
      <c r="B1124" s="1">
        <v>45783</v>
      </c>
      <c r="C1124" t="s">
        <v>2118</v>
      </c>
      <c r="D1124" t="s">
        <v>2409</v>
      </c>
      <c r="E1124">
        <v>2</v>
      </c>
      <c r="F1124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>
        <v>2</v>
      </c>
      <c r="L1124" t="s">
        <v>4275</v>
      </c>
      <c r="M1124" t="s">
        <v>4282</v>
      </c>
      <c r="N1124" s="5">
        <v>1395.86</v>
      </c>
      <c r="O1124" t="str">
        <f>IF(ABS(Table1[[#This Row],[TotalPrice]]-Table1[[#This Row],[Quantity]]*Table1[[#This Row],[UnitPrice]]) &lt;0.01, "ok",)</f>
        <v>ok</v>
      </c>
      <c r="P1124" t="str">
        <f>PROPER(TRIM(Table1[[#This Row],[ShippingAddress]]))</f>
        <v>332 Main St</v>
      </c>
      <c r="Q1124" t="str">
        <f>PROPER(TRIM((Table1[[#This Row],[PaymentMethod]])))</f>
        <v>Credit Card</v>
      </c>
      <c r="R1124" t="str">
        <f>PROPER(TRIM(Table1[[#This Row],[ReferralSource]]))</f>
        <v>Google</v>
      </c>
      <c r="S1124" s="5">
        <f>Table1[[#This Row],[TotalPrice]]/Table1[[#This Row],[ItemsInCart]]</f>
        <v>697.93</v>
      </c>
    </row>
    <row r="1125" spans="1:19" x14ac:dyDescent="0.3">
      <c r="A1125" t="s">
        <v>981</v>
      </c>
      <c r="B1125" s="1">
        <v>45783</v>
      </c>
      <c r="C1125" t="s">
        <v>2174</v>
      </c>
      <c r="D1125" t="s">
        <v>2405</v>
      </c>
      <c r="E1125">
        <v>5</v>
      </c>
      <c r="F1125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>
        <v>5</v>
      </c>
      <c r="L1125" t="s">
        <v>4276</v>
      </c>
      <c r="M1125" t="s">
        <v>4282</v>
      </c>
      <c r="N1125" s="5">
        <v>3194.6</v>
      </c>
      <c r="O1125" t="str">
        <f>IF(ABS(Table1[[#This Row],[TotalPrice]]-Table1[[#This Row],[Quantity]]*Table1[[#This Row],[UnitPrice]]) &lt;0.01, "ok",)</f>
        <v>ok</v>
      </c>
      <c r="P1125" t="str">
        <f>PROPER(TRIM(Table1[[#This Row],[ShippingAddress]]))</f>
        <v>502 Main St</v>
      </c>
      <c r="Q1125" t="str">
        <f>PROPER(TRIM((Table1[[#This Row],[PaymentMethod]])))</f>
        <v>Credit Card</v>
      </c>
      <c r="R1125" t="str">
        <f>PROPER(TRIM(Table1[[#This Row],[ReferralSource]]))</f>
        <v>Google</v>
      </c>
      <c r="S1125" s="5">
        <f>Table1[[#This Row],[TotalPrice]]/Table1[[#This Row],[ItemsInCart]]</f>
        <v>638.91999999999996</v>
      </c>
    </row>
    <row r="1126" spans="1:19" x14ac:dyDescent="0.3">
      <c r="A1126" t="s">
        <v>125</v>
      </c>
      <c r="B1126" s="1">
        <v>45784</v>
      </c>
      <c r="C1126" t="s">
        <v>1325</v>
      </c>
      <c r="D1126" t="s">
        <v>2409</v>
      </c>
      <c r="E1126">
        <v>3</v>
      </c>
      <c r="F1126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>
        <v>7</v>
      </c>
      <c r="L1126" t="s">
        <v>4276</v>
      </c>
      <c r="M1126" t="s">
        <v>4282</v>
      </c>
      <c r="N1126" s="5">
        <v>927.66000000000008</v>
      </c>
      <c r="O1126" t="str">
        <f>IF(ABS(Table1[[#This Row],[TotalPrice]]-Table1[[#This Row],[Quantity]]*Table1[[#This Row],[UnitPrice]]) &lt;0.01, "ok",)</f>
        <v>ok</v>
      </c>
      <c r="P1126" t="str">
        <f>PROPER(TRIM(Table1[[#This Row],[ShippingAddress]]))</f>
        <v>620 Main St</v>
      </c>
      <c r="Q1126" t="str">
        <f>PROPER(TRIM((Table1[[#This Row],[PaymentMethod]])))</f>
        <v>Online</v>
      </c>
      <c r="R1126" t="str">
        <f>PROPER(TRIM(Table1[[#This Row],[ReferralSource]]))</f>
        <v>Google</v>
      </c>
      <c r="S1126" s="5">
        <f>Table1[[#This Row],[TotalPrice]]/Table1[[#This Row],[ItemsInCart]]</f>
        <v>132.52285714285716</v>
      </c>
    </row>
    <row r="1127" spans="1:19" x14ac:dyDescent="0.3">
      <c r="A1127" t="s">
        <v>856</v>
      </c>
      <c r="B1127" s="1">
        <v>45784</v>
      </c>
      <c r="C1127" t="s">
        <v>2052</v>
      </c>
      <c r="D1127" t="s">
        <v>2408</v>
      </c>
      <c r="E1127">
        <v>3</v>
      </c>
      <c r="F112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>
        <v>7</v>
      </c>
      <c r="L1127" t="s">
        <v>4277</v>
      </c>
      <c r="M1127" t="s">
        <v>4279</v>
      </c>
      <c r="N1127" s="5">
        <v>1092.42</v>
      </c>
      <c r="O1127" t="str">
        <f>IF(ABS(Table1[[#This Row],[TotalPrice]]-Table1[[#This Row],[Quantity]]*Table1[[#This Row],[UnitPrice]]) &lt;0.01, "ok",)</f>
        <v>ok</v>
      </c>
      <c r="P1127" t="str">
        <f>PROPER(TRIM(Table1[[#This Row],[ShippingAddress]]))</f>
        <v>396 Main St</v>
      </c>
      <c r="Q1127" t="str">
        <f>PROPER(TRIM((Table1[[#This Row],[PaymentMethod]])))</f>
        <v>Online</v>
      </c>
      <c r="R1127" t="str">
        <f>PROPER(TRIM(Table1[[#This Row],[ReferralSource]]))</f>
        <v>Referral</v>
      </c>
      <c r="S1127" s="5">
        <f>Table1[[#This Row],[TotalPrice]]/Table1[[#This Row],[ItemsInCart]]</f>
        <v>156.06</v>
      </c>
    </row>
    <row r="1128" spans="1:19" x14ac:dyDescent="0.3">
      <c r="A1128" t="s">
        <v>18</v>
      </c>
      <c r="B1128" s="1">
        <v>45785</v>
      </c>
      <c r="C1128" t="s">
        <v>1218</v>
      </c>
      <c r="D1128" t="s">
        <v>2407</v>
      </c>
      <c r="E1128">
        <v>4</v>
      </c>
      <c r="F1128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>
        <v>8</v>
      </c>
      <c r="L1128" t="s">
        <v>4275</v>
      </c>
      <c r="M1128" t="s">
        <v>4280</v>
      </c>
      <c r="N1128" s="5">
        <v>2504.04</v>
      </c>
      <c r="O1128" t="str">
        <f>IF(ABS(Table1[[#This Row],[TotalPrice]]-Table1[[#This Row],[Quantity]]*Table1[[#This Row],[UnitPrice]]) &lt;0.01, "ok",)</f>
        <v>ok</v>
      </c>
      <c r="P1128" t="str">
        <f>PROPER(TRIM(Table1[[#This Row],[ShippingAddress]]))</f>
        <v>668 Main St</v>
      </c>
      <c r="Q1128" t="str">
        <f>PROPER(TRIM((Table1[[#This Row],[PaymentMethod]])))</f>
        <v>Online</v>
      </c>
      <c r="R1128" t="str">
        <f>PROPER(TRIM(Table1[[#This Row],[ReferralSource]]))</f>
        <v>Email</v>
      </c>
      <c r="S1128" s="5">
        <f>Table1[[#This Row],[TotalPrice]]/Table1[[#This Row],[ItemsInCart]]</f>
        <v>313.005</v>
      </c>
    </row>
    <row r="1129" spans="1:19" x14ac:dyDescent="0.3">
      <c r="A1129" t="s">
        <v>50</v>
      </c>
      <c r="B1129" s="1">
        <v>45785</v>
      </c>
      <c r="C1129" t="s">
        <v>1250</v>
      </c>
      <c r="D1129" t="s">
        <v>2408</v>
      </c>
      <c r="E1129">
        <v>2</v>
      </c>
      <c r="F1129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>
        <v>5</v>
      </c>
      <c r="L1129" t="s">
        <v>4283</v>
      </c>
      <c r="M1129" t="s">
        <v>4281</v>
      </c>
      <c r="N1129" s="5">
        <v>1068.8599999999999</v>
      </c>
      <c r="O1129" t="str">
        <f>IF(ABS(Table1[[#This Row],[TotalPrice]]-Table1[[#This Row],[Quantity]]*Table1[[#This Row],[UnitPrice]]) &lt;0.01, "ok",)</f>
        <v>ok</v>
      </c>
      <c r="P1129" t="str">
        <f>PROPER(TRIM(Table1[[#This Row],[ShippingAddress]]))</f>
        <v>465 Main St</v>
      </c>
      <c r="Q1129" t="str">
        <f>PROPER(TRIM((Table1[[#This Row],[PaymentMethod]])))</f>
        <v>Debit Card</v>
      </c>
      <c r="R1129" t="str">
        <f>PROPER(TRIM(Table1[[#This Row],[ReferralSource]]))</f>
        <v>Facebook</v>
      </c>
      <c r="S1129" s="5">
        <f>Table1[[#This Row],[TotalPrice]]/Table1[[#This Row],[ItemsInCart]]</f>
        <v>213.77199999999999</v>
      </c>
    </row>
    <row r="1130" spans="1:19" x14ac:dyDescent="0.3">
      <c r="A1130" t="s">
        <v>257</v>
      </c>
      <c r="B1130" s="1">
        <v>45786</v>
      </c>
      <c r="C1130" t="s">
        <v>1457</v>
      </c>
      <c r="D1130" t="s">
        <v>2406</v>
      </c>
      <c r="E1130">
        <v>2</v>
      </c>
      <c r="F1130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>
        <v>7</v>
      </c>
      <c r="L1130" t="s">
        <v>4276</v>
      </c>
      <c r="M1130" t="s">
        <v>4282</v>
      </c>
      <c r="N1130" s="5">
        <v>289.32</v>
      </c>
      <c r="O1130" t="str">
        <f>IF(ABS(Table1[[#This Row],[TotalPrice]]-Table1[[#This Row],[Quantity]]*Table1[[#This Row],[UnitPrice]]) &lt;0.01, "ok",)</f>
        <v>ok</v>
      </c>
      <c r="P1130" t="str">
        <f>PROPER(TRIM(Table1[[#This Row],[ShippingAddress]]))</f>
        <v>506 Main St</v>
      </c>
      <c r="Q1130" t="str">
        <f>PROPER(TRIM((Table1[[#This Row],[PaymentMethod]])))</f>
        <v>Online</v>
      </c>
      <c r="R1130" t="str">
        <f>PROPER(TRIM(Table1[[#This Row],[ReferralSource]]))</f>
        <v>Google</v>
      </c>
      <c r="S1130" s="5">
        <f>Table1[[#This Row],[TotalPrice]]/Table1[[#This Row],[ItemsInCart]]</f>
        <v>41.331428571428567</v>
      </c>
    </row>
    <row r="1131" spans="1:19" x14ac:dyDescent="0.3">
      <c r="A1131" t="s">
        <v>533</v>
      </c>
      <c r="B1131" s="1">
        <v>45787</v>
      </c>
      <c r="C1131" t="s">
        <v>1733</v>
      </c>
      <c r="D1131" t="s">
        <v>2408</v>
      </c>
      <c r="E1131">
        <v>4</v>
      </c>
      <c r="F1131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>
        <v>5</v>
      </c>
      <c r="L1131" t="s">
        <v>4275</v>
      </c>
      <c r="M1131" t="s">
        <v>4280</v>
      </c>
      <c r="N1131" s="5">
        <v>1857.16</v>
      </c>
      <c r="O1131" t="str">
        <f>IF(ABS(Table1[[#This Row],[TotalPrice]]-Table1[[#This Row],[Quantity]]*Table1[[#This Row],[UnitPrice]]) &lt;0.01, "ok",)</f>
        <v>ok</v>
      </c>
      <c r="P1131" t="str">
        <f>PROPER(TRIM(Table1[[#This Row],[ShippingAddress]]))</f>
        <v>941 Main St</v>
      </c>
      <c r="Q1131" t="str">
        <f>PROPER(TRIM((Table1[[#This Row],[PaymentMethod]])))</f>
        <v>Debit Card</v>
      </c>
      <c r="R1131" t="str">
        <f>PROPER(TRIM(Table1[[#This Row],[ReferralSource]]))</f>
        <v>Email</v>
      </c>
      <c r="S1131" s="5">
        <f>Table1[[#This Row],[TotalPrice]]/Table1[[#This Row],[ItemsInCart]]</f>
        <v>371.43200000000002</v>
      </c>
    </row>
    <row r="1132" spans="1:19" x14ac:dyDescent="0.3">
      <c r="A1132" t="s">
        <v>1134</v>
      </c>
      <c r="B1132" s="1">
        <v>45787</v>
      </c>
      <c r="C1132" t="s">
        <v>2325</v>
      </c>
      <c r="D1132" t="s">
        <v>2405</v>
      </c>
      <c r="E1132">
        <v>1</v>
      </c>
      <c r="F1132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>
        <v>3</v>
      </c>
      <c r="L1132" t="s">
        <v>4283</v>
      </c>
      <c r="M1132" t="s">
        <v>4281</v>
      </c>
      <c r="N1132" s="5">
        <v>195.86</v>
      </c>
      <c r="O1132" t="str">
        <f>IF(ABS(Table1[[#This Row],[TotalPrice]]-Table1[[#This Row],[Quantity]]*Table1[[#This Row],[UnitPrice]]) &lt;0.01, "ok",)</f>
        <v>ok</v>
      </c>
      <c r="P1132" t="str">
        <f>PROPER(TRIM(Table1[[#This Row],[ShippingAddress]]))</f>
        <v>267 Main St</v>
      </c>
      <c r="Q1132" t="str">
        <f>PROPER(TRIM((Table1[[#This Row],[PaymentMethod]])))</f>
        <v>Online</v>
      </c>
      <c r="R1132" t="str">
        <f>PROPER(TRIM(Table1[[#This Row],[ReferralSource]]))</f>
        <v>Facebook</v>
      </c>
      <c r="S1132" s="5">
        <f>Table1[[#This Row],[TotalPrice]]/Table1[[#This Row],[ItemsInCart]]</f>
        <v>65.286666666666676</v>
      </c>
    </row>
    <row r="1133" spans="1:19" x14ac:dyDescent="0.3">
      <c r="A1133" t="s">
        <v>329</v>
      </c>
      <c r="B1133" s="1">
        <v>45789</v>
      </c>
      <c r="C1133" t="s">
        <v>1529</v>
      </c>
      <c r="D1133" t="s">
        <v>2405</v>
      </c>
      <c r="E1133">
        <v>5</v>
      </c>
      <c r="F1133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>
        <v>9</v>
      </c>
      <c r="L1133" t="s">
        <v>4276</v>
      </c>
      <c r="M1133" t="s">
        <v>4280</v>
      </c>
      <c r="N1133" s="5">
        <v>458.35</v>
      </c>
      <c r="O1133" t="str">
        <f>IF(ABS(Table1[[#This Row],[TotalPrice]]-Table1[[#This Row],[Quantity]]*Table1[[#This Row],[UnitPrice]]) &lt;0.01, "ok",)</f>
        <v>ok</v>
      </c>
      <c r="P1133" t="str">
        <f>PROPER(TRIM(Table1[[#This Row],[ShippingAddress]]))</f>
        <v>301 Main St</v>
      </c>
      <c r="Q1133" t="str">
        <f>PROPER(TRIM((Table1[[#This Row],[PaymentMethod]])))</f>
        <v>Online</v>
      </c>
      <c r="R1133" t="str">
        <f>PROPER(TRIM(Table1[[#This Row],[ReferralSource]]))</f>
        <v>Email</v>
      </c>
      <c r="S1133" s="5">
        <f>Table1[[#This Row],[TotalPrice]]/Table1[[#This Row],[ItemsInCart]]</f>
        <v>50.927777777777777</v>
      </c>
    </row>
    <row r="1134" spans="1:19" x14ac:dyDescent="0.3">
      <c r="A1134" t="s">
        <v>1159</v>
      </c>
      <c r="B1134" s="1">
        <v>45789</v>
      </c>
      <c r="C1134" t="s">
        <v>2348</v>
      </c>
      <c r="D1134" t="s">
        <v>2409</v>
      </c>
      <c r="E1134">
        <v>3</v>
      </c>
      <c r="F1134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>
        <v>6</v>
      </c>
      <c r="L1134" t="s">
        <v>4276</v>
      </c>
      <c r="M1134" t="s">
        <v>4281</v>
      </c>
      <c r="N1134" s="5">
        <v>1714.59</v>
      </c>
      <c r="O1134" t="str">
        <f>IF(ABS(Table1[[#This Row],[TotalPrice]]-Table1[[#This Row],[Quantity]]*Table1[[#This Row],[UnitPrice]]) &lt;0.01, "ok",)</f>
        <v>ok</v>
      </c>
      <c r="P1134" t="str">
        <f>PROPER(TRIM(Table1[[#This Row],[ShippingAddress]]))</f>
        <v>821 Main St</v>
      </c>
      <c r="Q1134" t="str">
        <f>PROPER(TRIM((Table1[[#This Row],[PaymentMethod]])))</f>
        <v>Debit Card</v>
      </c>
      <c r="R1134" t="str">
        <f>PROPER(TRIM(Table1[[#This Row],[ReferralSource]]))</f>
        <v>Facebook</v>
      </c>
      <c r="S1134" s="5">
        <f>Table1[[#This Row],[TotalPrice]]/Table1[[#This Row],[ItemsInCart]]</f>
        <v>285.76499999999999</v>
      </c>
    </row>
    <row r="1135" spans="1:19" x14ac:dyDescent="0.3">
      <c r="A1135" t="s">
        <v>857</v>
      </c>
      <c r="B1135" s="1">
        <v>45790</v>
      </c>
      <c r="C1135" t="s">
        <v>2053</v>
      </c>
      <c r="D1135" t="s">
        <v>2409</v>
      </c>
      <c r="E1135">
        <v>3</v>
      </c>
      <c r="F1135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>
        <v>8</v>
      </c>
      <c r="L1135" t="s">
        <v>4276</v>
      </c>
      <c r="M1135" t="s">
        <v>4278</v>
      </c>
      <c r="N1135" s="5">
        <v>1290.18</v>
      </c>
      <c r="O1135" t="str">
        <f>IF(ABS(Table1[[#This Row],[TotalPrice]]-Table1[[#This Row],[Quantity]]*Table1[[#This Row],[UnitPrice]]) &lt;0.01, "ok",)</f>
        <v>ok</v>
      </c>
      <c r="P1135" t="str">
        <f>PROPER(TRIM(Table1[[#This Row],[ShippingAddress]]))</f>
        <v>534 Main St</v>
      </c>
      <c r="Q1135" t="str">
        <f>PROPER(TRIM((Table1[[#This Row],[PaymentMethod]])))</f>
        <v>Gift Card</v>
      </c>
      <c r="R1135" t="str">
        <f>PROPER(TRIM(Table1[[#This Row],[ReferralSource]]))</f>
        <v>Instagram</v>
      </c>
      <c r="S1135" s="5">
        <f>Table1[[#This Row],[TotalPrice]]/Table1[[#This Row],[ItemsInCart]]</f>
        <v>161.27250000000001</v>
      </c>
    </row>
    <row r="1136" spans="1:19" x14ac:dyDescent="0.3">
      <c r="A1136" t="s">
        <v>897</v>
      </c>
      <c r="B1136" s="1">
        <v>45790</v>
      </c>
      <c r="C1136" t="s">
        <v>2093</v>
      </c>
      <c r="D1136" t="s">
        <v>2407</v>
      </c>
      <c r="E1136">
        <v>5</v>
      </c>
      <c r="F1136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>
        <v>9</v>
      </c>
      <c r="L1136" t="s">
        <v>4276</v>
      </c>
      <c r="M1136" t="s">
        <v>4281</v>
      </c>
      <c r="N1136" s="5">
        <v>2807.4</v>
      </c>
      <c r="O1136" t="str">
        <f>IF(ABS(Table1[[#This Row],[TotalPrice]]-Table1[[#This Row],[Quantity]]*Table1[[#This Row],[UnitPrice]]) &lt;0.01, "ok",)</f>
        <v>ok</v>
      </c>
      <c r="P1136" t="str">
        <f>PROPER(TRIM(Table1[[#This Row],[ShippingAddress]]))</f>
        <v>451 Main St</v>
      </c>
      <c r="Q1136" t="str">
        <f>PROPER(TRIM((Table1[[#This Row],[PaymentMethod]])))</f>
        <v>Online</v>
      </c>
      <c r="R1136" t="str">
        <f>PROPER(TRIM(Table1[[#This Row],[ReferralSource]]))</f>
        <v>Facebook</v>
      </c>
      <c r="S1136" s="5">
        <f>Table1[[#This Row],[TotalPrice]]/Table1[[#This Row],[ItemsInCart]]</f>
        <v>311.93333333333334</v>
      </c>
    </row>
    <row r="1137" spans="1:19" x14ac:dyDescent="0.3">
      <c r="A1137" t="s">
        <v>522</v>
      </c>
      <c r="B1137" s="1">
        <v>45791</v>
      </c>
      <c r="C1137" t="s">
        <v>1722</v>
      </c>
      <c r="D1137" t="s">
        <v>2404</v>
      </c>
      <c r="E1137">
        <v>1</v>
      </c>
      <c r="F113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>
        <v>1</v>
      </c>
      <c r="L1137" t="s">
        <v>4283</v>
      </c>
      <c r="M1137" t="s">
        <v>4279</v>
      </c>
      <c r="N1137" s="5">
        <v>558.27</v>
      </c>
      <c r="O1137" t="str">
        <f>IF(ABS(Table1[[#This Row],[TotalPrice]]-Table1[[#This Row],[Quantity]]*Table1[[#This Row],[UnitPrice]]) &lt;0.01, "ok",)</f>
        <v>ok</v>
      </c>
      <c r="P1137" t="str">
        <f>PROPER(TRIM(Table1[[#This Row],[ShippingAddress]]))</f>
        <v>976 Main St</v>
      </c>
      <c r="Q1137" t="str">
        <f>PROPER(TRIM((Table1[[#This Row],[PaymentMethod]])))</f>
        <v>Online</v>
      </c>
      <c r="R1137" t="str">
        <f>PROPER(TRIM(Table1[[#This Row],[ReferralSource]]))</f>
        <v>Referral</v>
      </c>
      <c r="S1137" s="5">
        <f>Table1[[#This Row],[TotalPrice]]/Table1[[#This Row],[ItemsInCart]]</f>
        <v>558.27</v>
      </c>
    </row>
    <row r="1138" spans="1:19" x14ac:dyDescent="0.3">
      <c r="A1138" t="s">
        <v>265</v>
      </c>
      <c r="B1138" s="1">
        <v>45792</v>
      </c>
      <c r="C1138" t="s">
        <v>1465</v>
      </c>
      <c r="D1138" t="s">
        <v>2403</v>
      </c>
      <c r="E1138">
        <v>4</v>
      </c>
      <c r="F1138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>
        <v>9</v>
      </c>
      <c r="L1138" t="s">
        <v>4283</v>
      </c>
      <c r="M1138" t="s">
        <v>4280</v>
      </c>
      <c r="N1138" s="5">
        <v>58.76</v>
      </c>
      <c r="O1138" t="str">
        <f>IF(ABS(Table1[[#This Row],[TotalPrice]]-Table1[[#This Row],[Quantity]]*Table1[[#This Row],[UnitPrice]]) &lt;0.01, "ok",)</f>
        <v>ok</v>
      </c>
      <c r="P1138" t="str">
        <f>PROPER(TRIM(Table1[[#This Row],[ShippingAddress]]))</f>
        <v>814 Main St</v>
      </c>
      <c r="Q1138" t="str">
        <f>PROPER(TRIM((Table1[[#This Row],[PaymentMethod]])))</f>
        <v>Cash</v>
      </c>
      <c r="R1138" t="str">
        <f>PROPER(TRIM(Table1[[#This Row],[ReferralSource]]))</f>
        <v>Email</v>
      </c>
      <c r="S1138" s="5">
        <f>Table1[[#This Row],[TotalPrice]]/Table1[[#This Row],[ItemsInCart]]</f>
        <v>6.528888888888889</v>
      </c>
    </row>
    <row r="1139" spans="1:19" x14ac:dyDescent="0.3">
      <c r="A1139" t="s">
        <v>798</v>
      </c>
      <c r="B1139" s="1">
        <v>45793</v>
      </c>
      <c r="C1139" t="s">
        <v>1995</v>
      </c>
      <c r="D1139" t="s">
        <v>2408</v>
      </c>
      <c r="E1139">
        <v>1</v>
      </c>
      <c r="F1139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>
        <v>1</v>
      </c>
      <c r="L1139" t="s">
        <v>4277</v>
      </c>
      <c r="M1139" t="s">
        <v>4279</v>
      </c>
      <c r="N1139" s="5">
        <v>325.81</v>
      </c>
      <c r="O1139" t="str">
        <f>IF(ABS(Table1[[#This Row],[TotalPrice]]-Table1[[#This Row],[Quantity]]*Table1[[#This Row],[UnitPrice]]) &lt;0.01, "ok",)</f>
        <v>ok</v>
      </c>
      <c r="P1139" t="str">
        <f>PROPER(TRIM(Table1[[#This Row],[ShippingAddress]]))</f>
        <v>232 Main St</v>
      </c>
      <c r="Q1139" t="str">
        <f>PROPER(TRIM((Table1[[#This Row],[PaymentMethod]])))</f>
        <v>Credit Card</v>
      </c>
      <c r="R1139" t="str">
        <f>PROPER(TRIM(Table1[[#This Row],[ReferralSource]]))</f>
        <v>Referral</v>
      </c>
      <c r="S1139" s="5">
        <f>Table1[[#This Row],[TotalPrice]]/Table1[[#This Row],[ItemsInCart]]</f>
        <v>325.81</v>
      </c>
    </row>
    <row r="1140" spans="1:19" x14ac:dyDescent="0.3">
      <c r="A1140" t="s">
        <v>325</v>
      </c>
      <c r="B1140" s="1">
        <v>45794</v>
      </c>
      <c r="C1140" t="s">
        <v>1525</v>
      </c>
      <c r="D1140" t="s">
        <v>2409</v>
      </c>
      <c r="E1140">
        <v>5</v>
      </c>
      <c r="F1140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>
        <v>8</v>
      </c>
      <c r="L1140" t="s">
        <v>4283</v>
      </c>
      <c r="M1140" t="s">
        <v>4278</v>
      </c>
      <c r="N1140" s="5">
        <v>2446.85</v>
      </c>
      <c r="O1140" t="str">
        <f>IF(ABS(Table1[[#This Row],[TotalPrice]]-Table1[[#This Row],[Quantity]]*Table1[[#This Row],[UnitPrice]]) &lt;0.01, "ok",)</f>
        <v>ok</v>
      </c>
      <c r="P1140" t="str">
        <f>PROPER(TRIM(Table1[[#This Row],[ShippingAddress]]))</f>
        <v>274 Main St</v>
      </c>
      <c r="Q1140" t="str">
        <f>PROPER(TRIM((Table1[[#This Row],[PaymentMethod]])))</f>
        <v>Online</v>
      </c>
      <c r="R1140" t="str">
        <f>PROPER(TRIM(Table1[[#This Row],[ReferralSource]]))</f>
        <v>Instagram</v>
      </c>
      <c r="S1140" s="5">
        <f>Table1[[#This Row],[TotalPrice]]/Table1[[#This Row],[ItemsInCart]]</f>
        <v>305.85624999999999</v>
      </c>
    </row>
    <row r="1141" spans="1:19" x14ac:dyDescent="0.3">
      <c r="A1141" t="s">
        <v>1039</v>
      </c>
      <c r="B1141" s="1">
        <v>45794</v>
      </c>
      <c r="C1141" t="s">
        <v>2231</v>
      </c>
      <c r="D1141" t="s">
        <v>2406</v>
      </c>
      <c r="E1141">
        <v>1</v>
      </c>
      <c r="F1141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>
        <v>2</v>
      </c>
      <c r="L1141" t="s">
        <v>4276</v>
      </c>
      <c r="M1141" t="s">
        <v>4278</v>
      </c>
      <c r="N1141" s="5">
        <v>23.53</v>
      </c>
      <c r="O1141" t="str">
        <f>IF(ABS(Table1[[#This Row],[TotalPrice]]-Table1[[#This Row],[Quantity]]*Table1[[#This Row],[UnitPrice]]) &lt;0.01, "ok",)</f>
        <v>ok</v>
      </c>
      <c r="P1141" t="str">
        <f>PROPER(TRIM(Table1[[#This Row],[ShippingAddress]]))</f>
        <v>174 Main St</v>
      </c>
      <c r="Q1141" t="str">
        <f>PROPER(TRIM((Table1[[#This Row],[PaymentMethod]])))</f>
        <v>Gift Card</v>
      </c>
      <c r="R1141" t="str">
        <f>PROPER(TRIM(Table1[[#This Row],[ReferralSource]]))</f>
        <v>Instagram</v>
      </c>
      <c r="S1141" s="5">
        <f>Table1[[#This Row],[TotalPrice]]/Table1[[#This Row],[ItemsInCart]]</f>
        <v>11.765000000000001</v>
      </c>
    </row>
    <row r="1142" spans="1:19" x14ac:dyDescent="0.3">
      <c r="A1142" t="s">
        <v>697</v>
      </c>
      <c r="B1142" s="1">
        <v>45795</v>
      </c>
      <c r="C1142" t="s">
        <v>1895</v>
      </c>
      <c r="D1142" t="s">
        <v>2409</v>
      </c>
      <c r="E1142">
        <v>4</v>
      </c>
      <c r="F1142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>
        <v>5</v>
      </c>
      <c r="L1142" t="s">
        <v>4276</v>
      </c>
      <c r="M1142" t="s">
        <v>4278</v>
      </c>
      <c r="N1142" s="5">
        <v>2609.92</v>
      </c>
      <c r="O1142" t="str">
        <f>IF(ABS(Table1[[#This Row],[TotalPrice]]-Table1[[#This Row],[Quantity]]*Table1[[#This Row],[UnitPrice]]) &lt;0.01, "ok",)</f>
        <v>ok</v>
      </c>
      <c r="P1142" t="str">
        <f>PROPER(TRIM(Table1[[#This Row],[ShippingAddress]]))</f>
        <v>887 Main St</v>
      </c>
      <c r="Q1142" t="str">
        <f>PROPER(TRIM((Table1[[#This Row],[PaymentMethod]])))</f>
        <v>Cash</v>
      </c>
      <c r="R1142" t="str">
        <f>PROPER(TRIM(Table1[[#This Row],[ReferralSource]]))</f>
        <v>Instagram</v>
      </c>
      <c r="S1142" s="5">
        <f>Table1[[#This Row],[TotalPrice]]/Table1[[#This Row],[ItemsInCart]]</f>
        <v>521.98400000000004</v>
      </c>
    </row>
    <row r="1143" spans="1:19" x14ac:dyDescent="0.3">
      <c r="A1143" t="s">
        <v>812</v>
      </c>
      <c r="B1143" s="1">
        <v>45796</v>
      </c>
      <c r="C1143" t="s">
        <v>2009</v>
      </c>
      <c r="D1143" t="s">
        <v>2404</v>
      </c>
      <c r="E1143">
        <v>5</v>
      </c>
      <c r="F1143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>
        <v>9</v>
      </c>
      <c r="L1143" t="s">
        <v>4276</v>
      </c>
      <c r="M1143" t="s">
        <v>4280</v>
      </c>
      <c r="N1143" s="5">
        <v>2441.75</v>
      </c>
      <c r="O1143" t="str">
        <f>IF(ABS(Table1[[#This Row],[TotalPrice]]-Table1[[#This Row],[Quantity]]*Table1[[#This Row],[UnitPrice]]) &lt;0.01, "ok",)</f>
        <v>ok</v>
      </c>
      <c r="P1143" t="str">
        <f>PROPER(TRIM(Table1[[#This Row],[ShippingAddress]]))</f>
        <v>968 Main St</v>
      </c>
      <c r="Q1143" t="str">
        <f>PROPER(TRIM((Table1[[#This Row],[PaymentMethod]])))</f>
        <v>Debit Card</v>
      </c>
      <c r="R1143" t="str">
        <f>PROPER(TRIM(Table1[[#This Row],[ReferralSource]]))</f>
        <v>Email</v>
      </c>
      <c r="S1143" s="5">
        <f>Table1[[#This Row],[TotalPrice]]/Table1[[#This Row],[ItemsInCart]]</f>
        <v>271.30555555555554</v>
      </c>
    </row>
    <row r="1144" spans="1:19" x14ac:dyDescent="0.3">
      <c r="A1144" t="s">
        <v>980</v>
      </c>
      <c r="B1144" s="1">
        <v>45797</v>
      </c>
      <c r="C1144" t="s">
        <v>2173</v>
      </c>
      <c r="D1144" t="s">
        <v>2403</v>
      </c>
      <c r="E1144">
        <v>5</v>
      </c>
      <c r="F1144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>
        <v>7</v>
      </c>
      <c r="L1144" t="s">
        <v>4277</v>
      </c>
      <c r="M1144" t="s">
        <v>4281</v>
      </c>
      <c r="N1144" s="5">
        <v>1402.6</v>
      </c>
      <c r="O1144" t="str">
        <f>IF(ABS(Table1[[#This Row],[TotalPrice]]-Table1[[#This Row],[Quantity]]*Table1[[#This Row],[UnitPrice]]) &lt;0.01, "ok",)</f>
        <v>ok</v>
      </c>
      <c r="P1144" t="str">
        <f>PROPER(TRIM(Table1[[#This Row],[ShippingAddress]]))</f>
        <v>290 Main St</v>
      </c>
      <c r="Q1144" t="str">
        <f>PROPER(TRIM((Table1[[#This Row],[PaymentMethod]])))</f>
        <v>Credit Card</v>
      </c>
      <c r="R1144" t="str">
        <f>PROPER(TRIM(Table1[[#This Row],[ReferralSource]]))</f>
        <v>Facebook</v>
      </c>
      <c r="S1144" s="5">
        <f>Table1[[#This Row],[TotalPrice]]/Table1[[#This Row],[ItemsInCart]]</f>
        <v>200.37142857142857</v>
      </c>
    </row>
    <row r="1145" spans="1:19" x14ac:dyDescent="0.3">
      <c r="A1145" t="s">
        <v>326</v>
      </c>
      <c r="B1145" s="1">
        <v>45801</v>
      </c>
      <c r="C1145" t="s">
        <v>1526</v>
      </c>
      <c r="D1145" t="s">
        <v>2407</v>
      </c>
      <c r="E1145">
        <v>5</v>
      </c>
      <c r="F1145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>
        <v>7</v>
      </c>
      <c r="L1145" t="s">
        <v>4276</v>
      </c>
      <c r="M1145" t="s">
        <v>4279</v>
      </c>
      <c r="N1145" s="5">
        <v>331.55</v>
      </c>
      <c r="O1145" t="str">
        <f>IF(ABS(Table1[[#This Row],[TotalPrice]]-Table1[[#This Row],[Quantity]]*Table1[[#This Row],[UnitPrice]]) &lt;0.01, "ok",)</f>
        <v>ok</v>
      </c>
      <c r="P1145" t="str">
        <f>PROPER(TRIM(Table1[[#This Row],[ShippingAddress]]))</f>
        <v>579 Main St</v>
      </c>
      <c r="Q1145" t="str">
        <f>PROPER(TRIM((Table1[[#This Row],[PaymentMethod]])))</f>
        <v>Gift Card</v>
      </c>
      <c r="R1145" t="str">
        <f>PROPER(TRIM(Table1[[#This Row],[ReferralSource]]))</f>
        <v>Referral</v>
      </c>
      <c r="S1145" s="5">
        <f>Table1[[#This Row],[TotalPrice]]/Table1[[#This Row],[ItemsInCart]]</f>
        <v>47.364285714285714</v>
      </c>
    </row>
    <row r="1146" spans="1:19" x14ac:dyDescent="0.3">
      <c r="A1146" t="s">
        <v>471</v>
      </c>
      <c r="B1146" s="1">
        <v>45802</v>
      </c>
      <c r="C1146" t="s">
        <v>1671</v>
      </c>
      <c r="D1146" t="s">
        <v>2409</v>
      </c>
      <c r="E1146">
        <v>4</v>
      </c>
      <c r="F1146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>
        <v>4</v>
      </c>
      <c r="L1146" t="s">
        <v>4277</v>
      </c>
      <c r="M1146" t="s">
        <v>4278</v>
      </c>
      <c r="N1146" s="5">
        <v>2463.3200000000002</v>
      </c>
      <c r="O1146" t="str">
        <f>IF(ABS(Table1[[#This Row],[TotalPrice]]-Table1[[#This Row],[Quantity]]*Table1[[#This Row],[UnitPrice]]) &lt;0.01, "ok",)</f>
        <v>ok</v>
      </c>
      <c r="P1146" t="str">
        <f>PROPER(TRIM(Table1[[#This Row],[ShippingAddress]]))</f>
        <v>545 Main St</v>
      </c>
      <c r="Q1146" t="str">
        <f>PROPER(TRIM((Table1[[#This Row],[PaymentMethod]])))</f>
        <v>Online</v>
      </c>
      <c r="R1146" t="str">
        <f>PROPER(TRIM(Table1[[#This Row],[ReferralSource]]))</f>
        <v>Instagram</v>
      </c>
      <c r="S1146" s="5">
        <f>Table1[[#This Row],[TotalPrice]]/Table1[[#This Row],[ItemsInCart]]</f>
        <v>615.83000000000004</v>
      </c>
    </row>
    <row r="1147" spans="1:19" x14ac:dyDescent="0.3">
      <c r="A1147" t="s">
        <v>797</v>
      </c>
      <c r="B1147" s="1">
        <v>45803</v>
      </c>
      <c r="C1147" t="s">
        <v>1994</v>
      </c>
      <c r="D1147" t="s">
        <v>2407</v>
      </c>
      <c r="E1147">
        <v>1</v>
      </c>
      <c r="F114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>
        <v>5</v>
      </c>
      <c r="L1147" t="s">
        <v>4276</v>
      </c>
      <c r="M1147" t="s">
        <v>4281</v>
      </c>
      <c r="N1147" s="5">
        <v>438.34</v>
      </c>
      <c r="O1147" t="str">
        <f>IF(ABS(Table1[[#This Row],[TotalPrice]]-Table1[[#This Row],[Quantity]]*Table1[[#This Row],[UnitPrice]]) &lt;0.01, "ok",)</f>
        <v>ok</v>
      </c>
      <c r="P1147" t="str">
        <f>PROPER(TRIM(Table1[[#This Row],[ShippingAddress]]))</f>
        <v>281 Main St</v>
      </c>
      <c r="Q1147" t="str">
        <f>PROPER(TRIM((Table1[[#This Row],[PaymentMethod]])))</f>
        <v>Gift Card</v>
      </c>
      <c r="R1147" t="str">
        <f>PROPER(TRIM(Table1[[#This Row],[ReferralSource]]))</f>
        <v>Facebook</v>
      </c>
      <c r="S1147" s="5">
        <f>Table1[[#This Row],[TotalPrice]]/Table1[[#This Row],[ItemsInCart]]</f>
        <v>87.667999999999992</v>
      </c>
    </row>
    <row r="1148" spans="1:19" x14ac:dyDescent="0.3">
      <c r="A1148" t="s">
        <v>275</v>
      </c>
      <c r="B1148" s="1">
        <v>45805</v>
      </c>
      <c r="C1148" t="s">
        <v>1475</v>
      </c>
      <c r="D1148" t="s">
        <v>2404</v>
      </c>
      <c r="E1148">
        <v>5</v>
      </c>
      <c r="F1148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>
        <v>9</v>
      </c>
      <c r="L1148" t="s">
        <v>4275</v>
      </c>
      <c r="M1148" t="s">
        <v>4280</v>
      </c>
      <c r="N1148" s="5">
        <v>868.25</v>
      </c>
      <c r="O1148" t="str">
        <f>IF(ABS(Table1[[#This Row],[TotalPrice]]-Table1[[#This Row],[Quantity]]*Table1[[#This Row],[UnitPrice]]) &lt;0.01, "ok",)</f>
        <v>ok</v>
      </c>
      <c r="P1148" t="str">
        <f>PROPER(TRIM(Table1[[#This Row],[ShippingAddress]]))</f>
        <v>460 Main St</v>
      </c>
      <c r="Q1148" t="str">
        <f>PROPER(TRIM((Table1[[#This Row],[PaymentMethod]])))</f>
        <v>Gift Card</v>
      </c>
      <c r="R1148" t="str">
        <f>PROPER(TRIM(Table1[[#This Row],[ReferralSource]]))</f>
        <v>Email</v>
      </c>
      <c r="S1148" s="5">
        <f>Table1[[#This Row],[TotalPrice]]/Table1[[#This Row],[ItemsInCart]]</f>
        <v>96.472222222222229</v>
      </c>
    </row>
    <row r="1149" spans="1:19" x14ac:dyDescent="0.3">
      <c r="A1149" t="s">
        <v>568</v>
      </c>
      <c r="B1149" s="1">
        <v>45807</v>
      </c>
      <c r="C1149" t="s">
        <v>1768</v>
      </c>
      <c r="D1149" t="s">
        <v>2408</v>
      </c>
      <c r="E1149">
        <v>2</v>
      </c>
      <c r="F1149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>
        <v>5</v>
      </c>
      <c r="L1149" t="s">
        <v>4276</v>
      </c>
      <c r="M1149" t="s">
        <v>4278</v>
      </c>
      <c r="N1149" s="5">
        <v>985.8</v>
      </c>
      <c r="O1149" t="str">
        <f>IF(ABS(Table1[[#This Row],[TotalPrice]]-Table1[[#This Row],[Quantity]]*Table1[[#This Row],[UnitPrice]]) &lt;0.01, "ok",)</f>
        <v>ok</v>
      </c>
      <c r="P1149" t="str">
        <f>PROPER(TRIM(Table1[[#This Row],[ShippingAddress]]))</f>
        <v>610 Main St</v>
      </c>
      <c r="Q1149" t="str">
        <f>PROPER(TRIM((Table1[[#This Row],[PaymentMethod]])))</f>
        <v>Cash</v>
      </c>
      <c r="R1149" t="str">
        <f>PROPER(TRIM(Table1[[#This Row],[ReferralSource]]))</f>
        <v>Instagram</v>
      </c>
      <c r="S1149" s="5">
        <f>Table1[[#This Row],[TotalPrice]]/Table1[[#This Row],[ItemsInCart]]</f>
        <v>197.16</v>
      </c>
    </row>
    <row r="1150" spans="1:19" x14ac:dyDescent="0.3">
      <c r="A1150" t="s">
        <v>154</v>
      </c>
      <c r="B1150" s="1">
        <v>45808</v>
      </c>
      <c r="C1150" t="s">
        <v>1354</v>
      </c>
      <c r="D1150" t="s">
        <v>2406</v>
      </c>
      <c r="E1150">
        <v>3</v>
      </c>
      <c r="F1150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>
        <v>3</v>
      </c>
      <c r="L1150" t="s">
        <v>4276</v>
      </c>
      <c r="M1150" t="s">
        <v>4280</v>
      </c>
      <c r="N1150" s="5">
        <v>1584.42</v>
      </c>
      <c r="O1150" t="str">
        <f>IF(ABS(Table1[[#This Row],[TotalPrice]]-Table1[[#This Row],[Quantity]]*Table1[[#This Row],[UnitPrice]]) &lt;0.01, "ok",)</f>
        <v>ok</v>
      </c>
      <c r="P1150" t="str">
        <f>PROPER(TRIM(Table1[[#This Row],[ShippingAddress]]))</f>
        <v>388 Main St</v>
      </c>
      <c r="Q1150" t="str">
        <f>PROPER(TRIM((Table1[[#This Row],[PaymentMethod]])))</f>
        <v>Online</v>
      </c>
      <c r="R1150" t="str">
        <f>PROPER(TRIM(Table1[[#This Row],[ReferralSource]]))</f>
        <v>Email</v>
      </c>
      <c r="S1150" s="5">
        <f>Table1[[#This Row],[TotalPrice]]/Table1[[#This Row],[ItemsInCart]]</f>
        <v>528.14</v>
      </c>
    </row>
    <row r="1151" spans="1:19" x14ac:dyDescent="0.3">
      <c r="A1151" t="s">
        <v>621</v>
      </c>
      <c r="B1151" s="1">
        <v>45808</v>
      </c>
      <c r="C1151" t="s">
        <v>1820</v>
      </c>
      <c r="D1151" t="s">
        <v>2407</v>
      </c>
      <c r="E1151">
        <v>4</v>
      </c>
      <c r="F1151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>
        <v>6</v>
      </c>
      <c r="L1151" t="s">
        <v>4275</v>
      </c>
      <c r="M1151" t="s">
        <v>4282</v>
      </c>
      <c r="N1151" s="5">
        <v>2536.1999999999998</v>
      </c>
      <c r="O1151" t="str">
        <f>IF(ABS(Table1[[#This Row],[TotalPrice]]-Table1[[#This Row],[Quantity]]*Table1[[#This Row],[UnitPrice]]) &lt;0.01, "ok",)</f>
        <v>ok</v>
      </c>
      <c r="P1151" t="str">
        <f>PROPER(TRIM(Table1[[#This Row],[ShippingAddress]]))</f>
        <v>282 Main St</v>
      </c>
      <c r="Q1151" t="str">
        <f>PROPER(TRIM((Table1[[#This Row],[PaymentMethod]])))</f>
        <v>Cash</v>
      </c>
      <c r="R1151" t="str">
        <f>PROPER(TRIM(Table1[[#This Row],[ReferralSource]]))</f>
        <v>Google</v>
      </c>
      <c r="S1151" s="5">
        <f>Table1[[#This Row],[TotalPrice]]/Table1[[#This Row],[ItemsInCart]]</f>
        <v>422.7</v>
      </c>
    </row>
    <row r="1152" spans="1:19" x14ac:dyDescent="0.3">
      <c r="A1152" t="s">
        <v>768</v>
      </c>
      <c r="B1152" s="1">
        <v>45808</v>
      </c>
      <c r="C1152" t="s">
        <v>1965</v>
      </c>
      <c r="D1152" t="s">
        <v>2407</v>
      </c>
      <c r="E1152">
        <v>2</v>
      </c>
      <c r="F1152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>
        <v>3</v>
      </c>
      <c r="L1152" t="s">
        <v>4277</v>
      </c>
      <c r="M1152" t="s">
        <v>4280</v>
      </c>
      <c r="N1152" s="5">
        <v>904.1</v>
      </c>
      <c r="O1152" t="str">
        <f>IF(ABS(Table1[[#This Row],[TotalPrice]]-Table1[[#This Row],[Quantity]]*Table1[[#This Row],[UnitPrice]]) &lt;0.01, "ok",)</f>
        <v>ok</v>
      </c>
      <c r="P1152" t="str">
        <f>PROPER(TRIM(Table1[[#This Row],[ShippingAddress]]))</f>
        <v>983 Main St</v>
      </c>
      <c r="Q1152" t="str">
        <f>PROPER(TRIM((Table1[[#This Row],[PaymentMethod]])))</f>
        <v>Credit Card</v>
      </c>
      <c r="R1152" t="str">
        <f>PROPER(TRIM(Table1[[#This Row],[ReferralSource]]))</f>
        <v>Email</v>
      </c>
      <c r="S1152" s="5">
        <f>Table1[[#This Row],[TotalPrice]]/Table1[[#This Row],[ItemsInCart]]</f>
        <v>301.36666666666667</v>
      </c>
    </row>
    <row r="1153" spans="1:19" x14ac:dyDescent="0.3">
      <c r="A1153" t="s">
        <v>884</v>
      </c>
      <c r="B1153" s="1">
        <v>45809</v>
      </c>
      <c r="C1153" t="s">
        <v>2080</v>
      </c>
      <c r="D1153" t="s">
        <v>2404</v>
      </c>
      <c r="E1153">
        <v>4</v>
      </c>
      <c r="F1153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>
        <v>4</v>
      </c>
      <c r="L1153" t="s">
        <v>4276</v>
      </c>
      <c r="M1153" t="s">
        <v>4282</v>
      </c>
      <c r="N1153" s="5">
        <v>1880.36</v>
      </c>
      <c r="O1153" t="str">
        <f>IF(ABS(Table1[[#This Row],[TotalPrice]]-Table1[[#This Row],[Quantity]]*Table1[[#This Row],[UnitPrice]]) &lt;0.01, "ok",)</f>
        <v>ok</v>
      </c>
      <c r="P1153" t="str">
        <f>PROPER(TRIM(Table1[[#This Row],[ShippingAddress]]))</f>
        <v>541 Main St</v>
      </c>
      <c r="Q1153" t="str">
        <f>PROPER(TRIM((Table1[[#This Row],[PaymentMethod]])))</f>
        <v>Debit Card</v>
      </c>
      <c r="R1153" t="str">
        <f>PROPER(TRIM(Table1[[#This Row],[ReferralSource]]))</f>
        <v>Google</v>
      </c>
      <c r="S1153" s="5">
        <f>Table1[[#This Row],[TotalPrice]]/Table1[[#This Row],[ItemsInCart]]</f>
        <v>470.09</v>
      </c>
    </row>
    <row r="1154" spans="1:19" x14ac:dyDescent="0.3">
      <c r="A1154" t="s">
        <v>948</v>
      </c>
      <c r="B1154" s="1">
        <v>45809</v>
      </c>
      <c r="C1154" t="s">
        <v>2144</v>
      </c>
      <c r="D1154" t="s">
        <v>2408</v>
      </c>
      <c r="E1154">
        <v>4</v>
      </c>
      <c r="F1154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>
        <v>8</v>
      </c>
      <c r="L1154" t="s">
        <v>4276</v>
      </c>
      <c r="M1154" t="s">
        <v>4279</v>
      </c>
      <c r="N1154" s="5">
        <v>479.36</v>
      </c>
      <c r="O1154" t="str">
        <f>IF(ABS(Table1[[#This Row],[TotalPrice]]-Table1[[#This Row],[Quantity]]*Table1[[#This Row],[UnitPrice]]) &lt;0.01, "ok",)</f>
        <v>ok</v>
      </c>
      <c r="P1154" t="str">
        <f>PROPER(TRIM(Table1[[#This Row],[ShippingAddress]]))</f>
        <v>692 Main St</v>
      </c>
      <c r="Q1154" t="str">
        <f>PROPER(TRIM((Table1[[#This Row],[PaymentMethod]])))</f>
        <v>Gift Card</v>
      </c>
      <c r="R1154" t="str">
        <f>PROPER(TRIM(Table1[[#This Row],[ReferralSource]]))</f>
        <v>Referral</v>
      </c>
      <c r="S1154" s="5">
        <f>Table1[[#This Row],[TotalPrice]]/Table1[[#This Row],[ItemsInCart]]</f>
        <v>59.92</v>
      </c>
    </row>
    <row r="1155" spans="1:19" x14ac:dyDescent="0.3">
      <c r="A1155" t="s">
        <v>369</v>
      </c>
      <c r="B1155" s="1">
        <v>45811</v>
      </c>
      <c r="C1155" t="s">
        <v>1569</v>
      </c>
      <c r="D1155" t="s">
        <v>2405</v>
      </c>
      <c r="E1155">
        <v>3</v>
      </c>
      <c r="F1155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>
        <v>4</v>
      </c>
      <c r="L1155" t="s">
        <v>4276</v>
      </c>
      <c r="M1155" t="s">
        <v>4279</v>
      </c>
      <c r="N1155" s="5">
        <v>1299.99</v>
      </c>
      <c r="O1155" t="str">
        <f>IF(ABS(Table1[[#This Row],[TotalPrice]]-Table1[[#This Row],[Quantity]]*Table1[[#This Row],[UnitPrice]]) &lt;0.01, "ok",)</f>
        <v>ok</v>
      </c>
      <c r="P1155" t="str">
        <f>PROPER(TRIM(Table1[[#This Row],[ShippingAddress]]))</f>
        <v>677 Main St</v>
      </c>
      <c r="Q1155" t="str">
        <f>PROPER(TRIM((Table1[[#This Row],[PaymentMethod]])))</f>
        <v>Credit Card</v>
      </c>
      <c r="R1155" t="str">
        <f>PROPER(TRIM(Table1[[#This Row],[ReferralSource]]))</f>
        <v>Referral</v>
      </c>
      <c r="S1155" s="5">
        <f>Table1[[#This Row],[TotalPrice]]/Table1[[#This Row],[ItemsInCart]]</f>
        <v>324.9975</v>
      </c>
    </row>
    <row r="1156" spans="1:19" x14ac:dyDescent="0.3">
      <c r="A1156" t="s">
        <v>752</v>
      </c>
      <c r="B1156" s="1">
        <v>45812</v>
      </c>
      <c r="C1156" t="s">
        <v>1949</v>
      </c>
      <c r="D1156" t="s">
        <v>2404</v>
      </c>
      <c r="E1156">
        <v>2</v>
      </c>
      <c r="F1156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>
        <v>5</v>
      </c>
      <c r="L1156" t="s">
        <v>4275</v>
      </c>
      <c r="M1156" t="s">
        <v>4280</v>
      </c>
      <c r="N1156" s="5">
        <v>970.74</v>
      </c>
      <c r="O1156" t="str">
        <f>IF(ABS(Table1[[#This Row],[TotalPrice]]-Table1[[#This Row],[Quantity]]*Table1[[#This Row],[UnitPrice]]) &lt;0.01, "ok",)</f>
        <v>ok</v>
      </c>
      <c r="P1156" t="str">
        <f>PROPER(TRIM(Table1[[#This Row],[ShippingAddress]]))</f>
        <v>264 Main St</v>
      </c>
      <c r="Q1156" t="str">
        <f>PROPER(TRIM((Table1[[#This Row],[PaymentMethod]])))</f>
        <v>Credit Card</v>
      </c>
      <c r="R1156" t="str">
        <f>PROPER(TRIM(Table1[[#This Row],[ReferralSource]]))</f>
        <v>Email</v>
      </c>
      <c r="S1156" s="5">
        <f>Table1[[#This Row],[TotalPrice]]/Table1[[#This Row],[ItemsInCart]]</f>
        <v>194.148</v>
      </c>
    </row>
    <row r="1157" spans="1:19" x14ac:dyDescent="0.3">
      <c r="A1157" t="s">
        <v>102</v>
      </c>
      <c r="B1157" s="1">
        <v>45813</v>
      </c>
      <c r="C1157" t="s">
        <v>1302</v>
      </c>
      <c r="D1157" t="s">
        <v>2409</v>
      </c>
      <c r="E1157">
        <v>3</v>
      </c>
      <c r="F115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>
        <v>7</v>
      </c>
      <c r="L1157" t="s">
        <v>4283</v>
      </c>
      <c r="M1157" t="s">
        <v>4282</v>
      </c>
      <c r="N1157" s="5">
        <v>344.43</v>
      </c>
      <c r="O1157" t="str">
        <f>IF(ABS(Table1[[#This Row],[TotalPrice]]-Table1[[#This Row],[Quantity]]*Table1[[#This Row],[UnitPrice]]) &lt;0.01, "ok",)</f>
        <v>ok</v>
      </c>
      <c r="P1157" t="str">
        <f>PROPER(TRIM(Table1[[#This Row],[ShippingAddress]]))</f>
        <v>318 Main St</v>
      </c>
      <c r="Q1157" t="str">
        <f>PROPER(TRIM((Table1[[#This Row],[PaymentMethod]])))</f>
        <v>Gift Card</v>
      </c>
      <c r="R1157" t="str">
        <f>PROPER(TRIM(Table1[[#This Row],[ReferralSource]]))</f>
        <v>Google</v>
      </c>
      <c r="S1157" s="5">
        <f>Table1[[#This Row],[TotalPrice]]/Table1[[#This Row],[ItemsInCart]]</f>
        <v>49.204285714285717</v>
      </c>
    </row>
    <row r="1158" spans="1:19" x14ac:dyDescent="0.3">
      <c r="A1158" t="s">
        <v>509</v>
      </c>
      <c r="B1158" s="1">
        <v>45813</v>
      </c>
      <c r="C1158" t="s">
        <v>1709</v>
      </c>
      <c r="D1158" t="s">
        <v>2404</v>
      </c>
      <c r="E1158">
        <v>4</v>
      </c>
      <c r="F1158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>
        <v>6</v>
      </c>
      <c r="L1158" t="s">
        <v>4275</v>
      </c>
      <c r="M1158" t="s">
        <v>4281</v>
      </c>
      <c r="N1158" s="5">
        <v>1974.92</v>
      </c>
      <c r="O1158" t="str">
        <f>IF(ABS(Table1[[#This Row],[TotalPrice]]-Table1[[#This Row],[Quantity]]*Table1[[#This Row],[UnitPrice]]) &lt;0.01, "ok",)</f>
        <v>ok</v>
      </c>
      <c r="P1158" t="str">
        <f>PROPER(TRIM(Table1[[#This Row],[ShippingAddress]]))</f>
        <v>947 Main St</v>
      </c>
      <c r="Q1158" t="str">
        <f>PROPER(TRIM((Table1[[#This Row],[PaymentMethod]])))</f>
        <v>Debit Card</v>
      </c>
      <c r="R1158" t="str">
        <f>PROPER(TRIM(Table1[[#This Row],[ReferralSource]]))</f>
        <v>Facebook</v>
      </c>
      <c r="S1158" s="5">
        <f>Table1[[#This Row],[TotalPrice]]/Table1[[#This Row],[ItemsInCart]]</f>
        <v>329.15333333333336</v>
      </c>
    </row>
    <row r="1159" spans="1:19" x14ac:dyDescent="0.3">
      <c r="A1159" t="s">
        <v>983</v>
      </c>
      <c r="B1159" s="1">
        <v>45813</v>
      </c>
      <c r="C1159" t="s">
        <v>2176</v>
      </c>
      <c r="D1159" t="s">
        <v>2409</v>
      </c>
      <c r="E1159">
        <v>1</v>
      </c>
      <c r="F1159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>
        <v>2</v>
      </c>
      <c r="L1159" t="s">
        <v>4277</v>
      </c>
      <c r="M1159" t="s">
        <v>4281</v>
      </c>
      <c r="N1159" s="5">
        <v>440.34</v>
      </c>
      <c r="O1159" t="str">
        <f>IF(ABS(Table1[[#This Row],[TotalPrice]]-Table1[[#This Row],[Quantity]]*Table1[[#This Row],[UnitPrice]]) &lt;0.01, "ok",)</f>
        <v>ok</v>
      </c>
      <c r="P1159" t="str">
        <f>PROPER(TRIM(Table1[[#This Row],[ShippingAddress]]))</f>
        <v>675 Main St</v>
      </c>
      <c r="Q1159" t="str">
        <f>PROPER(TRIM((Table1[[#This Row],[PaymentMethod]])))</f>
        <v>Gift Card</v>
      </c>
      <c r="R1159" t="str">
        <f>PROPER(TRIM(Table1[[#This Row],[ReferralSource]]))</f>
        <v>Facebook</v>
      </c>
      <c r="S1159" s="5">
        <f>Table1[[#This Row],[TotalPrice]]/Table1[[#This Row],[ItemsInCart]]</f>
        <v>220.17</v>
      </c>
    </row>
    <row r="1160" spans="1:19" x14ac:dyDescent="0.3">
      <c r="A1160" t="s">
        <v>1001</v>
      </c>
      <c r="B1160" s="1">
        <v>45813</v>
      </c>
      <c r="C1160" t="s">
        <v>2194</v>
      </c>
      <c r="D1160" t="s">
        <v>2404</v>
      </c>
      <c r="E1160">
        <v>5</v>
      </c>
      <c r="F1160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>
        <v>8</v>
      </c>
      <c r="L1160" t="s">
        <v>4276</v>
      </c>
      <c r="M1160" t="s">
        <v>4278</v>
      </c>
      <c r="N1160" s="5">
        <v>1418.65</v>
      </c>
      <c r="O1160" t="str">
        <f>IF(ABS(Table1[[#This Row],[TotalPrice]]-Table1[[#This Row],[Quantity]]*Table1[[#This Row],[UnitPrice]]) &lt;0.01, "ok",)</f>
        <v>ok</v>
      </c>
      <c r="P1160" t="str">
        <f>PROPER(TRIM(Table1[[#This Row],[ShippingAddress]]))</f>
        <v>436 Main St</v>
      </c>
      <c r="Q1160" t="str">
        <f>PROPER(TRIM((Table1[[#This Row],[PaymentMethod]])))</f>
        <v>Gift Card</v>
      </c>
      <c r="R1160" t="str">
        <f>PROPER(TRIM(Table1[[#This Row],[ReferralSource]]))</f>
        <v>Instagram</v>
      </c>
      <c r="S1160" s="5">
        <f>Table1[[#This Row],[TotalPrice]]/Table1[[#This Row],[ItemsInCart]]</f>
        <v>177.33125000000001</v>
      </c>
    </row>
    <row r="1161" spans="1:19" x14ac:dyDescent="0.3">
      <c r="A1161" t="s">
        <v>214</v>
      </c>
      <c r="B1161" s="1">
        <v>45815</v>
      </c>
      <c r="C1161" t="s">
        <v>1414</v>
      </c>
      <c r="D1161" t="s">
        <v>2405</v>
      </c>
      <c r="E1161">
        <v>5</v>
      </c>
      <c r="F1161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>
        <v>9</v>
      </c>
      <c r="L1161" t="s">
        <v>4275</v>
      </c>
      <c r="M1161" t="s">
        <v>4282</v>
      </c>
      <c r="N1161" s="5">
        <v>2166.3000000000002</v>
      </c>
      <c r="O1161" t="str">
        <f>IF(ABS(Table1[[#This Row],[TotalPrice]]-Table1[[#This Row],[Quantity]]*Table1[[#This Row],[UnitPrice]]) &lt;0.01, "ok",)</f>
        <v>ok</v>
      </c>
      <c r="P1161" t="str">
        <f>PROPER(TRIM(Table1[[#This Row],[ShippingAddress]]))</f>
        <v>895 Main St</v>
      </c>
      <c r="Q1161" t="str">
        <f>PROPER(TRIM((Table1[[#This Row],[PaymentMethod]])))</f>
        <v>Credit Card</v>
      </c>
      <c r="R1161" t="str">
        <f>PROPER(TRIM(Table1[[#This Row],[ReferralSource]]))</f>
        <v>Google</v>
      </c>
      <c r="S1161" s="5">
        <f>Table1[[#This Row],[TotalPrice]]/Table1[[#This Row],[ItemsInCart]]</f>
        <v>240.70000000000002</v>
      </c>
    </row>
    <row r="1162" spans="1:19" x14ac:dyDescent="0.3">
      <c r="A1162" t="s">
        <v>1115</v>
      </c>
      <c r="B1162" s="1">
        <v>45816</v>
      </c>
      <c r="C1162" t="s">
        <v>2307</v>
      </c>
      <c r="D1162" t="s">
        <v>2403</v>
      </c>
      <c r="E1162">
        <v>3</v>
      </c>
      <c r="F1162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>
        <v>4</v>
      </c>
      <c r="L1162" t="s">
        <v>4275</v>
      </c>
      <c r="M1162" t="s">
        <v>4280</v>
      </c>
      <c r="N1162" s="5">
        <v>485.91</v>
      </c>
      <c r="O1162" t="str">
        <f>IF(ABS(Table1[[#This Row],[TotalPrice]]-Table1[[#This Row],[Quantity]]*Table1[[#This Row],[UnitPrice]]) &lt;0.01, "ok",)</f>
        <v>ok</v>
      </c>
      <c r="P1162" t="str">
        <f>PROPER(TRIM(Table1[[#This Row],[ShippingAddress]]))</f>
        <v>904 Main St</v>
      </c>
      <c r="Q1162" t="str">
        <f>PROPER(TRIM((Table1[[#This Row],[PaymentMethod]])))</f>
        <v>Cash</v>
      </c>
      <c r="R1162" t="str">
        <f>PROPER(TRIM(Table1[[#This Row],[ReferralSource]]))</f>
        <v>Email</v>
      </c>
      <c r="S1162" s="5">
        <f>Table1[[#This Row],[TotalPrice]]/Table1[[#This Row],[ItemsInCart]]</f>
        <v>121.47750000000001</v>
      </c>
    </row>
    <row r="1163" spans="1:19" x14ac:dyDescent="0.3">
      <c r="A1163" t="s">
        <v>1204</v>
      </c>
      <c r="B1163" s="1">
        <v>45816</v>
      </c>
      <c r="C1163" t="s">
        <v>2393</v>
      </c>
      <c r="D1163" t="s">
        <v>2409</v>
      </c>
      <c r="E1163">
        <v>3</v>
      </c>
      <c r="F1163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>
        <v>6</v>
      </c>
      <c r="L1163" t="s">
        <v>4276</v>
      </c>
      <c r="M1163" t="s">
        <v>4278</v>
      </c>
      <c r="N1163" s="5">
        <v>1849.17</v>
      </c>
      <c r="O1163" t="str">
        <f>IF(ABS(Table1[[#This Row],[TotalPrice]]-Table1[[#This Row],[Quantity]]*Table1[[#This Row],[UnitPrice]]) &lt;0.01, "ok",)</f>
        <v>ok</v>
      </c>
      <c r="P1163" t="str">
        <f>PROPER(TRIM(Table1[[#This Row],[ShippingAddress]]))</f>
        <v>754 Main St</v>
      </c>
      <c r="Q1163" t="str">
        <f>PROPER(TRIM((Table1[[#This Row],[PaymentMethod]])))</f>
        <v>Credit Card</v>
      </c>
      <c r="R1163" t="str">
        <f>PROPER(TRIM(Table1[[#This Row],[ReferralSource]]))</f>
        <v>Instagram</v>
      </c>
      <c r="S1163" s="5">
        <f>Table1[[#This Row],[TotalPrice]]/Table1[[#This Row],[ItemsInCart]]</f>
        <v>308.19499999999999</v>
      </c>
    </row>
    <row r="1164" spans="1:19" x14ac:dyDescent="0.3">
      <c r="A1164" t="s">
        <v>863</v>
      </c>
      <c r="B1164" s="1">
        <v>45817</v>
      </c>
      <c r="C1164" t="s">
        <v>2059</v>
      </c>
      <c r="D1164" t="s">
        <v>2407</v>
      </c>
      <c r="E1164">
        <v>4</v>
      </c>
      <c r="F1164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>
        <v>7</v>
      </c>
      <c r="L1164" t="s">
        <v>4277</v>
      </c>
      <c r="M1164" t="s">
        <v>4279</v>
      </c>
      <c r="N1164" s="5">
        <v>857.4</v>
      </c>
      <c r="O1164" t="str">
        <f>IF(ABS(Table1[[#This Row],[TotalPrice]]-Table1[[#This Row],[Quantity]]*Table1[[#This Row],[UnitPrice]]) &lt;0.01, "ok",)</f>
        <v>ok</v>
      </c>
      <c r="P1164" t="str">
        <f>PROPER(TRIM(Table1[[#This Row],[ShippingAddress]]))</f>
        <v>664 Main St</v>
      </c>
      <c r="Q1164" t="str">
        <f>PROPER(TRIM((Table1[[#This Row],[PaymentMethod]])))</f>
        <v>Debit Card</v>
      </c>
      <c r="R1164" t="str">
        <f>PROPER(TRIM(Table1[[#This Row],[ReferralSource]]))</f>
        <v>Referral</v>
      </c>
      <c r="S1164" s="5">
        <f>Table1[[#This Row],[TotalPrice]]/Table1[[#This Row],[ItemsInCart]]</f>
        <v>122.48571428571428</v>
      </c>
    </row>
    <row r="1165" spans="1:19" x14ac:dyDescent="0.3">
      <c r="A1165" t="s">
        <v>987</v>
      </c>
      <c r="B1165" s="1">
        <v>45817</v>
      </c>
      <c r="C1165" t="s">
        <v>2180</v>
      </c>
      <c r="D1165" t="s">
        <v>2409</v>
      </c>
      <c r="E1165">
        <v>5</v>
      </c>
      <c r="F1165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>
        <v>10</v>
      </c>
      <c r="L1165" t="s">
        <v>4277</v>
      </c>
      <c r="M1165" t="s">
        <v>4279</v>
      </c>
      <c r="N1165" s="5">
        <v>1153.8499999999999</v>
      </c>
      <c r="O1165" t="str">
        <f>IF(ABS(Table1[[#This Row],[TotalPrice]]-Table1[[#This Row],[Quantity]]*Table1[[#This Row],[UnitPrice]]) &lt;0.01, "ok",)</f>
        <v>ok</v>
      </c>
      <c r="P1165" t="str">
        <f>PROPER(TRIM(Table1[[#This Row],[ShippingAddress]]))</f>
        <v>141 Main St</v>
      </c>
      <c r="Q1165" t="str">
        <f>PROPER(TRIM((Table1[[#This Row],[PaymentMethod]])))</f>
        <v>Online</v>
      </c>
      <c r="R1165" t="str">
        <f>PROPER(TRIM(Table1[[#This Row],[ReferralSource]]))</f>
        <v>Referral</v>
      </c>
      <c r="S1165" s="5">
        <f>Table1[[#This Row],[TotalPrice]]/Table1[[#This Row],[ItemsInCart]]</f>
        <v>115.38499999999999</v>
      </c>
    </row>
    <row r="1166" spans="1:19" x14ac:dyDescent="0.3">
      <c r="A1166" t="s">
        <v>1018</v>
      </c>
      <c r="B1166" s="1">
        <v>45817</v>
      </c>
      <c r="C1166" t="s">
        <v>2211</v>
      </c>
      <c r="D1166" t="s">
        <v>2406</v>
      </c>
      <c r="E1166">
        <v>4</v>
      </c>
      <c r="F1166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>
        <v>8</v>
      </c>
      <c r="L1166" t="s">
        <v>4275</v>
      </c>
      <c r="M1166" t="s">
        <v>4279</v>
      </c>
      <c r="N1166" s="5">
        <v>987.64</v>
      </c>
      <c r="O1166" t="str">
        <f>IF(ABS(Table1[[#This Row],[TotalPrice]]-Table1[[#This Row],[Quantity]]*Table1[[#This Row],[UnitPrice]]) &lt;0.01, "ok",)</f>
        <v>ok</v>
      </c>
      <c r="P1166" t="str">
        <f>PROPER(TRIM(Table1[[#This Row],[ShippingAddress]]))</f>
        <v>296 Main St</v>
      </c>
      <c r="Q1166" t="str">
        <f>PROPER(TRIM((Table1[[#This Row],[PaymentMethod]])))</f>
        <v>Online</v>
      </c>
      <c r="R1166" t="str">
        <f>PROPER(TRIM(Table1[[#This Row],[ReferralSource]]))</f>
        <v>Referral</v>
      </c>
      <c r="S1166" s="5">
        <f>Table1[[#This Row],[TotalPrice]]/Table1[[#This Row],[ItemsInCart]]</f>
        <v>123.455</v>
      </c>
    </row>
    <row r="1167" spans="1:19" x14ac:dyDescent="0.3">
      <c r="A1167" t="s">
        <v>85</v>
      </c>
      <c r="B1167" s="1">
        <v>45818</v>
      </c>
      <c r="C1167" t="s">
        <v>1285</v>
      </c>
      <c r="D1167" t="s">
        <v>2403</v>
      </c>
      <c r="E1167">
        <v>3</v>
      </c>
      <c r="F116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>
        <v>4</v>
      </c>
      <c r="L1167" t="s">
        <v>4283</v>
      </c>
      <c r="M1167" t="s">
        <v>4279</v>
      </c>
      <c r="N1167" s="5">
        <v>1303.3499999999999</v>
      </c>
      <c r="O1167" t="str">
        <f>IF(ABS(Table1[[#This Row],[TotalPrice]]-Table1[[#This Row],[Quantity]]*Table1[[#This Row],[UnitPrice]]) &lt;0.01, "ok",)</f>
        <v>ok</v>
      </c>
      <c r="P1167" t="str">
        <f>PROPER(TRIM(Table1[[#This Row],[ShippingAddress]]))</f>
        <v>923 Main St</v>
      </c>
      <c r="Q1167" t="str">
        <f>PROPER(TRIM((Table1[[#This Row],[PaymentMethod]])))</f>
        <v>Credit Card</v>
      </c>
      <c r="R1167" t="str">
        <f>PROPER(TRIM(Table1[[#This Row],[ReferralSource]]))</f>
        <v>Referral</v>
      </c>
      <c r="S1167" s="5">
        <f>Table1[[#This Row],[TotalPrice]]/Table1[[#This Row],[ItemsInCart]]</f>
        <v>325.83749999999998</v>
      </c>
    </row>
    <row r="1168" spans="1:19" x14ac:dyDescent="0.3">
      <c r="A1168" t="s">
        <v>299</v>
      </c>
      <c r="B1168" s="1">
        <v>45818</v>
      </c>
      <c r="C1168" t="s">
        <v>1499</v>
      </c>
      <c r="D1168" t="s">
        <v>2404</v>
      </c>
      <c r="E1168">
        <v>1</v>
      </c>
      <c r="F1168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>
        <v>3</v>
      </c>
      <c r="L1168" t="s">
        <v>4283</v>
      </c>
      <c r="M1168" t="s">
        <v>4282</v>
      </c>
      <c r="N1168" s="5">
        <v>338.31</v>
      </c>
      <c r="O1168" t="str">
        <f>IF(ABS(Table1[[#This Row],[TotalPrice]]-Table1[[#This Row],[Quantity]]*Table1[[#This Row],[UnitPrice]]) &lt;0.01, "ok",)</f>
        <v>ok</v>
      </c>
      <c r="P1168" t="str">
        <f>PROPER(TRIM(Table1[[#This Row],[ShippingAddress]]))</f>
        <v>974 Main St</v>
      </c>
      <c r="Q1168" t="str">
        <f>PROPER(TRIM((Table1[[#This Row],[PaymentMethod]])))</f>
        <v>Online</v>
      </c>
      <c r="R1168" t="str">
        <f>PROPER(TRIM(Table1[[#This Row],[ReferralSource]]))</f>
        <v>Google</v>
      </c>
      <c r="S1168" s="5">
        <f>Table1[[#This Row],[TotalPrice]]/Table1[[#This Row],[ItemsInCart]]</f>
        <v>112.77</v>
      </c>
    </row>
    <row r="1169" spans="1:19" x14ac:dyDescent="0.3">
      <c r="A1169" t="s">
        <v>133</v>
      </c>
      <c r="B1169" s="1">
        <v>45819</v>
      </c>
      <c r="C1169" t="s">
        <v>1333</v>
      </c>
      <c r="D1169" t="s">
        <v>2409</v>
      </c>
      <c r="E1169">
        <v>2</v>
      </c>
      <c r="F1169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>
        <v>7</v>
      </c>
      <c r="L1169" t="s">
        <v>4276</v>
      </c>
      <c r="M1169" t="s">
        <v>4279</v>
      </c>
      <c r="N1169" s="5">
        <v>1069.3399999999999</v>
      </c>
      <c r="O1169" t="str">
        <f>IF(ABS(Table1[[#This Row],[TotalPrice]]-Table1[[#This Row],[Quantity]]*Table1[[#This Row],[UnitPrice]]) &lt;0.01, "ok",)</f>
        <v>ok</v>
      </c>
      <c r="P1169" t="str">
        <f>PROPER(TRIM(Table1[[#This Row],[ShippingAddress]]))</f>
        <v>187 Main St</v>
      </c>
      <c r="Q1169" t="str">
        <f>PROPER(TRIM((Table1[[#This Row],[PaymentMethod]])))</f>
        <v>Debit Card</v>
      </c>
      <c r="R1169" t="str">
        <f>PROPER(TRIM(Table1[[#This Row],[ReferralSource]]))</f>
        <v>Referral</v>
      </c>
      <c r="S1169" s="5">
        <f>Table1[[#This Row],[TotalPrice]]/Table1[[#This Row],[ItemsInCart]]</f>
        <v>152.76285714285714</v>
      </c>
    </row>
    <row r="1170" spans="1:19" x14ac:dyDescent="0.3">
      <c r="A1170" t="s">
        <v>518</v>
      </c>
      <c r="B1170" s="1">
        <v>45819</v>
      </c>
      <c r="C1170" t="s">
        <v>1718</v>
      </c>
      <c r="D1170" t="s">
        <v>2403</v>
      </c>
      <c r="E1170">
        <v>2</v>
      </c>
      <c r="F1170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>
        <v>2</v>
      </c>
      <c r="L1170" t="s">
        <v>4277</v>
      </c>
      <c r="M1170" t="s">
        <v>4278</v>
      </c>
      <c r="N1170" s="5">
        <v>929</v>
      </c>
      <c r="O1170" t="str">
        <f>IF(ABS(Table1[[#This Row],[TotalPrice]]-Table1[[#This Row],[Quantity]]*Table1[[#This Row],[UnitPrice]]) &lt;0.01, "ok",)</f>
        <v>ok</v>
      </c>
      <c r="P1170" t="str">
        <f>PROPER(TRIM(Table1[[#This Row],[ShippingAddress]]))</f>
        <v>805 Main St</v>
      </c>
      <c r="Q1170" t="str">
        <f>PROPER(TRIM((Table1[[#This Row],[PaymentMethod]])))</f>
        <v>Online</v>
      </c>
      <c r="R1170" t="str">
        <f>PROPER(TRIM(Table1[[#This Row],[ReferralSource]]))</f>
        <v>Instagram</v>
      </c>
      <c r="S1170" s="5">
        <f>Table1[[#This Row],[TotalPrice]]/Table1[[#This Row],[ItemsInCart]]</f>
        <v>464.5</v>
      </c>
    </row>
    <row r="1171" spans="1:19" x14ac:dyDescent="0.3">
      <c r="A1171" t="s">
        <v>1168</v>
      </c>
      <c r="B1171" s="1">
        <v>45819</v>
      </c>
      <c r="C1171" t="s">
        <v>2357</v>
      </c>
      <c r="D1171" t="s">
        <v>2403</v>
      </c>
      <c r="E1171">
        <v>3</v>
      </c>
      <c r="F1171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>
        <v>8</v>
      </c>
      <c r="L1171" t="s">
        <v>4275</v>
      </c>
      <c r="M1171" t="s">
        <v>4278</v>
      </c>
      <c r="N1171" s="5">
        <v>595.89</v>
      </c>
      <c r="O1171" t="str">
        <f>IF(ABS(Table1[[#This Row],[TotalPrice]]-Table1[[#This Row],[Quantity]]*Table1[[#This Row],[UnitPrice]]) &lt;0.01, "ok",)</f>
        <v>ok</v>
      </c>
      <c r="P1171" t="str">
        <f>PROPER(TRIM(Table1[[#This Row],[ShippingAddress]]))</f>
        <v>593 Main St</v>
      </c>
      <c r="Q1171" t="str">
        <f>PROPER(TRIM((Table1[[#This Row],[PaymentMethod]])))</f>
        <v>Cash</v>
      </c>
      <c r="R1171" t="str">
        <f>PROPER(TRIM(Table1[[#This Row],[ReferralSource]]))</f>
        <v>Instagram</v>
      </c>
      <c r="S1171" s="5">
        <f>Table1[[#This Row],[TotalPrice]]/Table1[[#This Row],[ItemsInCart]]</f>
        <v>74.486249999999998</v>
      </c>
    </row>
    <row r="1172" spans="1:19" x14ac:dyDescent="0.3">
      <c r="A1172" t="s">
        <v>532</v>
      </c>
      <c r="B1172" s="1">
        <v>45821</v>
      </c>
      <c r="C1172" t="s">
        <v>1732</v>
      </c>
      <c r="D1172" t="s">
        <v>2407</v>
      </c>
      <c r="E1172">
        <v>4</v>
      </c>
      <c r="F1172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>
        <v>9</v>
      </c>
      <c r="L1172" t="s">
        <v>4275</v>
      </c>
      <c r="M1172" t="s">
        <v>4279</v>
      </c>
      <c r="N1172" s="5">
        <v>1614.32</v>
      </c>
      <c r="O1172" t="str">
        <f>IF(ABS(Table1[[#This Row],[TotalPrice]]-Table1[[#This Row],[Quantity]]*Table1[[#This Row],[UnitPrice]]) &lt;0.01, "ok",)</f>
        <v>ok</v>
      </c>
      <c r="P1172" t="str">
        <f>PROPER(TRIM(Table1[[#This Row],[ShippingAddress]]))</f>
        <v>319 Main St</v>
      </c>
      <c r="Q1172" t="str">
        <f>PROPER(TRIM((Table1[[#This Row],[PaymentMethod]])))</f>
        <v>Online</v>
      </c>
      <c r="R1172" t="str">
        <f>PROPER(TRIM(Table1[[#This Row],[ReferralSource]]))</f>
        <v>Referral</v>
      </c>
      <c r="S1172" s="5">
        <f>Table1[[#This Row],[TotalPrice]]/Table1[[#This Row],[ItemsInCart]]</f>
        <v>179.36888888888888</v>
      </c>
    </row>
    <row r="1173" spans="1:19" x14ac:dyDescent="0.3">
      <c r="A1173" t="s">
        <v>868</v>
      </c>
      <c r="B1173" s="1">
        <v>45821</v>
      </c>
      <c r="C1173" t="s">
        <v>2064</v>
      </c>
      <c r="D1173" t="s">
        <v>2408</v>
      </c>
      <c r="E1173">
        <v>3</v>
      </c>
      <c r="F1173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>
        <v>7</v>
      </c>
      <c r="L1173" t="s">
        <v>4277</v>
      </c>
      <c r="M1173" t="s">
        <v>4279</v>
      </c>
      <c r="N1173" s="5">
        <v>1117.8</v>
      </c>
      <c r="O1173" t="str">
        <f>IF(ABS(Table1[[#This Row],[TotalPrice]]-Table1[[#This Row],[Quantity]]*Table1[[#This Row],[UnitPrice]]) &lt;0.01, "ok",)</f>
        <v>ok</v>
      </c>
      <c r="P1173" t="str">
        <f>PROPER(TRIM(Table1[[#This Row],[ShippingAddress]]))</f>
        <v>356 Main St</v>
      </c>
      <c r="Q1173" t="str">
        <f>PROPER(TRIM((Table1[[#This Row],[PaymentMethod]])))</f>
        <v>Credit Card</v>
      </c>
      <c r="R1173" t="str">
        <f>PROPER(TRIM(Table1[[#This Row],[ReferralSource]]))</f>
        <v>Referral</v>
      </c>
      <c r="S1173" s="5">
        <f>Table1[[#This Row],[TotalPrice]]/Table1[[#This Row],[ItemsInCart]]</f>
        <v>159.68571428571428</v>
      </c>
    </row>
    <row r="1174" spans="1:19" x14ac:dyDescent="0.3">
      <c r="A1174" t="s">
        <v>851</v>
      </c>
      <c r="B1174" s="1">
        <v>45822</v>
      </c>
      <c r="C1174" t="s">
        <v>2047</v>
      </c>
      <c r="D1174" t="s">
        <v>2406</v>
      </c>
      <c r="E1174">
        <v>5</v>
      </c>
      <c r="F1174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>
        <v>5</v>
      </c>
      <c r="L1174" t="s">
        <v>4283</v>
      </c>
      <c r="M1174" t="s">
        <v>4280</v>
      </c>
      <c r="N1174" s="5">
        <v>3277.75</v>
      </c>
      <c r="O1174" t="str">
        <f>IF(ABS(Table1[[#This Row],[TotalPrice]]-Table1[[#This Row],[Quantity]]*Table1[[#This Row],[UnitPrice]]) &lt;0.01, "ok",)</f>
        <v>ok</v>
      </c>
      <c r="P1174" t="str">
        <f>PROPER(TRIM(Table1[[#This Row],[ShippingAddress]]))</f>
        <v>282 Main St</v>
      </c>
      <c r="Q1174" t="str">
        <f>PROPER(TRIM((Table1[[#This Row],[PaymentMethod]])))</f>
        <v>Online</v>
      </c>
      <c r="R1174" t="str">
        <f>PROPER(TRIM(Table1[[#This Row],[ReferralSource]]))</f>
        <v>Email</v>
      </c>
      <c r="S1174" s="5">
        <f>Table1[[#This Row],[TotalPrice]]/Table1[[#This Row],[ItemsInCart]]</f>
        <v>655.55</v>
      </c>
    </row>
    <row r="1175" spans="1:19" x14ac:dyDescent="0.3">
      <c r="A1175" t="s">
        <v>1196</v>
      </c>
      <c r="B1175" s="1">
        <v>45822</v>
      </c>
      <c r="C1175" t="s">
        <v>2385</v>
      </c>
      <c r="D1175" t="s">
        <v>2406</v>
      </c>
      <c r="E1175">
        <v>2</v>
      </c>
      <c r="F1175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>
        <v>3</v>
      </c>
      <c r="L1175" t="s">
        <v>4275</v>
      </c>
      <c r="M1175" t="s">
        <v>4282</v>
      </c>
      <c r="N1175" s="5">
        <v>840.58</v>
      </c>
      <c r="O1175" t="str">
        <f>IF(ABS(Table1[[#This Row],[TotalPrice]]-Table1[[#This Row],[Quantity]]*Table1[[#This Row],[UnitPrice]]) &lt;0.01, "ok",)</f>
        <v>ok</v>
      </c>
      <c r="P1175" t="str">
        <f>PROPER(TRIM(Table1[[#This Row],[ShippingAddress]]))</f>
        <v>700 Main St</v>
      </c>
      <c r="Q1175" t="str">
        <f>PROPER(TRIM((Table1[[#This Row],[PaymentMethod]])))</f>
        <v>Gift Card</v>
      </c>
      <c r="R1175" t="str">
        <f>PROPER(TRIM(Table1[[#This Row],[ReferralSource]]))</f>
        <v>Google</v>
      </c>
      <c r="S1175" s="5">
        <f>Table1[[#This Row],[TotalPrice]]/Table1[[#This Row],[ItemsInCart]]</f>
        <v>280.19333333333333</v>
      </c>
    </row>
    <row r="1176" spans="1:19" x14ac:dyDescent="0.3">
      <c r="A1176" t="s">
        <v>597</v>
      </c>
      <c r="B1176" s="1">
        <v>45823</v>
      </c>
      <c r="C1176" t="s">
        <v>1797</v>
      </c>
      <c r="D1176" t="s">
        <v>2406</v>
      </c>
      <c r="E1176">
        <v>3</v>
      </c>
      <c r="F1176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>
        <v>4</v>
      </c>
      <c r="L1176" t="s">
        <v>4283</v>
      </c>
      <c r="M1176" t="s">
        <v>4278</v>
      </c>
      <c r="N1176" s="5">
        <v>463.11</v>
      </c>
      <c r="O1176" t="str">
        <f>IF(ABS(Table1[[#This Row],[TotalPrice]]-Table1[[#This Row],[Quantity]]*Table1[[#This Row],[UnitPrice]]) &lt;0.01, "ok",)</f>
        <v>ok</v>
      </c>
      <c r="P1176" t="str">
        <f>PROPER(TRIM(Table1[[#This Row],[ShippingAddress]]))</f>
        <v>996 Main St</v>
      </c>
      <c r="Q1176" t="str">
        <f>PROPER(TRIM((Table1[[#This Row],[PaymentMethod]])))</f>
        <v>Gift Card</v>
      </c>
      <c r="R1176" t="str">
        <f>PROPER(TRIM(Table1[[#This Row],[ReferralSource]]))</f>
        <v>Instagram</v>
      </c>
      <c r="S1176" s="5">
        <f>Table1[[#This Row],[TotalPrice]]/Table1[[#This Row],[ItemsInCart]]</f>
        <v>115.7775</v>
      </c>
    </row>
    <row r="1177" spans="1:19" x14ac:dyDescent="0.3">
      <c r="A1177" t="s">
        <v>1207</v>
      </c>
      <c r="B1177" s="1">
        <v>45824</v>
      </c>
      <c r="C1177" t="s">
        <v>2396</v>
      </c>
      <c r="D1177" t="s">
        <v>2405</v>
      </c>
      <c r="E1177">
        <v>1</v>
      </c>
      <c r="F117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>
        <v>1</v>
      </c>
      <c r="L1177" t="s">
        <v>4276</v>
      </c>
      <c r="M1177" t="s">
        <v>4280</v>
      </c>
      <c r="N1177" s="5">
        <v>687.89</v>
      </c>
      <c r="O1177" t="str">
        <f>IF(ABS(Table1[[#This Row],[TotalPrice]]-Table1[[#This Row],[Quantity]]*Table1[[#This Row],[UnitPrice]]) &lt;0.01, "ok",)</f>
        <v>ok</v>
      </c>
      <c r="P1177" t="str">
        <f>PROPER(TRIM(Table1[[#This Row],[ShippingAddress]]))</f>
        <v>348 Main St</v>
      </c>
      <c r="Q1177" t="str">
        <f>PROPER(TRIM((Table1[[#This Row],[PaymentMethod]])))</f>
        <v>Cash</v>
      </c>
      <c r="R1177" t="str">
        <f>PROPER(TRIM(Table1[[#This Row],[ReferralSource]]))</f>
        <v>Email</v>
      </c>
      <c r="S1177" s="5">
        <f>Table1[[#This Row],[TotalPrice]]/Table1[[#This Row],[ItemsInCart]]</f>
        <v>687.89</v>
      </c>
    </row>
    <row r="1178" spans="1:19" x14ac:dyDescent="0.3">
      <c r="A1178" t="s">
        <v>20</v>
      </c>
      <c r="B1178" s="1">
        <v>45825</v>
      </c>
      <c r="C1178" t="s">
        <v>1220</v>
      </c>
      <c r="D1178" t="s">
        <v>2408</v>
      </c>
      <c r="E1178">
        <v>1</v>
      </c>
      <c r="F1178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>
        <v>6</v>
      </c>
      <c r="L1178" t="s">
        <v>4275</v>
      </c>
      <c r="M1178" t="s">
        <v>4281</v>
      </c>
      <c r="N1178" s="5">
        <v>664.42</v>
      </c>
      <c r="O1178" t="str">
        <f>IF(ABS(Table1[[#This Row],[TotalPrice]]-Table1[[#This Row],[Quantity]]*Table1[[#This Row],[UnitPrice]]) &lt;0.01, "ok",)</f>
        <v>ok</v>
      </c>
      <c r="P1178" t="str">
        <f>PROPER(TRIM(Table1[[#This Row],[ShippingAddress]]))</f>
        <v>986 Main St</v>
      </c>
      <c r="Q1178" t="str">
        <f>PROPER(TRIM((Table1[[#This Row],[PaymentMethod]])))</f>
        <v>Gift Card</v>
      </c>
      <c r="R1178" t="str">
        <f>PROPER(TRIM(Table1[[#This Row],[ReferralSource]]))</f>
        <v>Facebook</v>
      </c>
      <c r="S1178" s="5">
        <f>Table1[[#This Row],[TotalPrice]]/Table1[[#This Row],[ItemsInCart]]</f>
        <v>110.73666666666666</v>
      </c>
    </row>
    <row r="1179" spans="1:19" x14ac:dyDescent="0.3">
      <c r="A1179" t="s">
        <v>979</v>
      </c>
      <c r="B1179" s="1">
        <v>45826</v>
      </c>
      <c r="C1179" t="s">
        <v>2172</v>
      </c>
      <c r="D1179" t="s">
        <v>2408</v>
      </c>
      <c r="E1179">
        <v>4</v>
      </c>
      <c r="F1179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>
        <v>5</v>
      </c>
      <c r="L1179" t="s">
        <v>4276</v>
      </c>
      <c r="M1179" t="s">
        <v>4280</v>
      </c>
      <c r="N1179" s="5">
        <v>2313.12</v>
      </c>
      <c r="O1179" t="str">
        <f>IF(ABS(Table1[[#This Row],[TotalPrice]]-Table1[[#This Row],[Quantity]]*Table1[[#This Row],[UnitPrice]]) &lt;0.01, "ok",)</f>
        <v>ok</v>
      </c>
      <c r="P1179" t="str">
        <f>PROPER(TRIM(Table1[[#This Row],[ShippingAddress]]))</f>
        <v>791 Main St</v>
      </c>
      <c r="Q1179" t="str">
        <f>PROPER(TRIM((Table1[[#This Row],[PaymentMethod]])))</f>
        <v>Gift Card</v>
      </c>
      <c r="R1179" t="str">
        <f>PROPER(TRIM(Table1[[#This Row],[ReferralSource]]))</f>
        <v>Email</v>
      </c>
      <c r="S1179" s="5">
        <f>Table1[[#This Row],[TotalPrice]]/Table1[[#This Row],[ItemsInCart]]</f>
        <v>462.62399999999997</v>
      </c>
    </row>
    <row r="1180" spans="1:19" x14ac:dyDescent="0.3">
      <c r="A1180" t="s">
        <v>1016</v>
      </c>
      <c r="B1180" s="1">
        <v>45827</v>
      </c>
      <c r="C1180" t="s">
        <v>2209</v>
      </c>
      <c r="D1180" t="s">
        <v>2405</v>
      </c>
      <c r="E1180">
        <v>4</v>
      </c>
      <c r="F1180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>
        <v>5</v>
      </c>
      <c r="L1180" t="s">
        <v>4277</v>
      </c>
      <c r="M1180" t="s">
        <v>4279</v>
      </c>
      <c r="N1180" s="5">
        <v>2799.52</v>
      </c>
      <c r="O1180" t="str">
        <f>IF(ABS(Table1[[#This Row],[TotalPrice]]-Table1[[#This Row],[Quantity]]*Table1[[#This Row],[UnitPrice]]) &lt;0.01, "ok",)</f>
        <v>ok</v>
      </c>
      <c r="P1180" t="str">
        <f>PROPER(TRIM(Table1[[#This Row],[ShippingAddress]]))</f>
        <v>944 Main St</v>
      </c>
      <c r="Q1180" t="str">
        <f>PROPER(TRIM((Table1[[#This Row],[PaymentMethod]])))</f>
        <v>Cash</v>
      </c>
      <c r="R1180" t="str">
        <f>PROPER(TRIM(Table1[[#This Row],[ReferralSource]]))</f>
        <v>Referral</v>
      </c>
      <c r="S1180" s="5">
        <f>Table1[[#This Row],[TotalPrice]]/Table1[[#This Row],[ItemsInCart]]</f>
        <v>559.904</v>
      </c>
    </row>
    <row r="1181" spans="1:19" x14ac:dyDescent="0.3">
      <c r="A1181" t="s">
        <v>147</v>
      </c>
      <c r="B1181" s="1">
        <v>45828</v>
      </c>
      <c r="C1181" t="s">
        <v>1347</v>
      </c>
      <c r="D1181" t="s">
        <v>2406</v>
      </c>
      <c r="E1181">
        <v>4</v>
      </c>
      <c r="F1181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>
        <v>6</v>
      </c>
      <c r="L1181" t="s">
        <v>4275</v>
      </c>
      <c r="M1181" t="s">
        <v>4282</v>
      </c>
      <c r="N1181" s="5">
        <v>1208.2</v>
      </c>
      <c r="O1181" t="str">
        <f>IF(ABS(Table1[[#This Row],[TotalPrice]]-Table1[[#This Row],[Quantity]]*Table1[[#This Row],[UnitPrice]]) &lt;0.01, "ok",)</f>
        <v>ok</v>
      </c>
      <c r="P1181" t="str">
        <f>PROPER(TRIM(Table1[[#This Row],[ShippingAddress]]))</f>
        <v>636 Main St</v>
      </c>
      <c r="Q1181" t="str">
        <f>PROPER(TRIM((Table1[[#This Row],[PaymentMethod]])))</f>
        <v>Debit Card</v>
      </c>
      <c r="R1181" t="str">
        <f>PROPER(TRIM(Table1[[#This Row],[ReferralSource]]))</f>
        <v>Google</v>
      </c>
      <c r="S1181" s="5">
        <f>Table1[[#This Row],[TotalPrice]]/Table1[[#This Row],[ItemsInCart]]</f>
        <v>201.36666666666667</v>
      </c>
    </row>
    <row r="1182" spans="1:19" x14ac:dyDescent="0.3">
      <c r="A1182" t="s">
        <v>1129</v>
      </c>
      <c r="B1182" s="1">
        <v>45828</v>
      </c>
      <c r="C1182" t="s">
        <v>2320</v>
      </c>
      <c r="D1182" t="s">
        <v>2408</v>
      </c>
      <c r="E1182">
        <v>2</v>
      </c>
      <c r="F1182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>
        <v>3</v>
      </c>
      <c r="L1182" t="s">
        <v>4283</v>
      </c>
      <c r="M1182" t="s">
        <v>4282</v>
      </c>
      <c r="N1182" s="5">
        <v>672.64</v>
      </c>
      <c r="O1182" t="str">
        <f>IF(ABS(Table1[[#This Row],[TotalPrice]]-Table1[[#This Row],[Quantity]]*Table1[[#This Row],[UnitPrice]]) &lt;0.01, "ok",)</f>
        <v>ok</v>
      </c>
      <c r="P1182" t="str">
        <f>PROPER(TRIM(Table1[[#This Row],[ShippingAddress]]))</f>
        <v>562 Main St</v>
      </c>
      <c r="Q1182" t="str">
        <f>PROPER(TRIM((Table1[[#This Row],[PaymentMethod]])))</f>
        <v>Online</v>
      </c>
      <c r="R1182" t="str">
        <f>PROPER(TRIM(Table1[[#This Row],[ReferralSource]]))</f>
        <v>Google</v>
      </c>
      <c r="S1182" s="5">
        <f>Table1[[#This Row],[TotalPrice]]/Table1[[#This Row],[ItemsInCart]]</f>
        <v>224.21333333333334</v>
      </c>
    </row>
    <row r="1183" spans="1:19" x14ac:dyDescent="0.3">
      <c r="A1183" t="s">
        <v>482</v>
      </c>
      <c r="B1183" s="1">
        <v>45829</v>
      </c>
      <c r="C1183" t="s">
        <v>1682</v>
      </c>
      <c r="D1183" t="s">
        <v>2404</v>
      </c>
      <c r="E1183">
        <v>1</v>
      </c>
      <c r="F1183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>
        <v>5</v>
      </c>
      <c r="L1183" t="s">
        <v>4276</v>
      </c>
      <c r="M1183" t="s">
        <v>4280</v>
      </c>
      <c r="N1183" s="5">
        <v>418.36</v>
      </c>
      <c r="O1183" t="str">
        <f>IF(ABS(Table1[[#This Row],[TotalPrice]]-Table1[[#This Row],[Quantity]]*Table1[[#This Row],[UnitPrice]]) &lt;0.01, "ok",)</f>
        <v>ok</v>
      </c>
      <c r="P1183" t="str">
        <f>PROPER(TRIM(Table1[[#This Row],[ShippingAddress]]))</f>
        <v>998 Main St</v>
      </c>
      <c r="Q1183" t="str">
        <f>PROPER(TRIM((Table1[[#This Row],[PaymentMethod]])))</f>
        <v>Credit Card</v>
      </c>
      <c r="R1183" t="str">
        <f>PROPER(TRIM(Table1[[#This Row],[ReferralSource]]))</f>
        <v>Email</v>
      </c>
      <c r="S1183" s="5">
        <f>Table1[[#This Row],[TotalPrice]]/Table1[[#This Row],[ItemsInCart]]</f>
        <v>83.671999999999997</v>
      </c>
    </row>
    <row r="1184" spans="1:19" x14ac:dyDescent="0.3">
      <c r="A1184" t="s">
        <v>727</v>
      </c>
      <c r="B1184" s="1">
        <v>45829</v>
      </c>
      <c r="C1184" t="s">
        <v>1924</v>
      </c>
      <c r="D1184" t="s">
        <v>2405</v>
      </c>
      <c r="E1184">
        <v>4</v>
      </c>
      <c r="F1184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>
        <v>6</v>
      </c>
      <c r="L1184" t="s">
        <v>4275</v>
      </c>
      <c r="M1184" t="s">
        <v>4281</v>
      </c>
      <c r="N1184" s="5">
        <v>2129.96</v>
      </c>
      <c r="O1184" t="str">
        <f>IF(ABS(Table1[[#This Row],[TotalPrice]]-Table1[[#This Row],[Quantity]]*Table1[[#This Row],[UnitPrice]]) &lt;0.01, "ok",)</f>
        <v>ok</v>
      </c>
      <c r="P1184" t="str">
        <f>PROPER(TRIM(Table1[[#This Row],[ShippingAddress]]))</f>
        <v>638 Main St</v>
      </c>
      <c r="Q1184" t="str">
        <f>PROPER(TRIM((Table1[[#This Row],[PaymentMethod]])))</f>
        <v>Online</v>
      </c>
      <c r="R1184" t="str">
        <f>PROPER(TRIM(Table1[[#This Row],[ReferralSource]]))</f>
        <v>Facebook</v>
      </c>
      <c r="S1184" s="5">
        <f>Table1[[#This Row],[TotalPrice]]/Table1[[#This Row],[ItemsInCart]]</f>
        <v>354.99333333333334</v>
      </c>
    </row>
    <row r="1185" spans="1:19" x14ac:dyDescent="0.3">
      <c r="A1185" t="s">
        <v>618</v>
      </c>
      <c r="B1185" s="1">
        <v>45830</v>
      </c>
      <c r="C1185" t="s">
        <v>1817</v>
      </c>
      <c r="D1185" t="s">
        <v>2406</v>
      </c>
      <c r="E1185">
        <v>3</v>
      </c>
      <c r="F1185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>
        <v>6</v>
      </c>
      <c r="L1185" t="s">
        <v>4283</v>
      </c>
      <c r="M1185" t="s">
        <v>4281</v>
      </c>
      <c r="N1185" s="5">
        <v>97.859999999999985</v>
      </c>
      <c r="O1185" t="str">
        <f>IF(ABS(Table1[[#This Row],[TotalPrice]]-Table1[[#This Row],[Quantity]]*Table1[[#This Row],[UnitPrice]]) &lt;0.01, "ok",)</f>
        <v>ok</v>
      </c>
      <c r="P1185" t="str">
        <f>PROPER(TRIM(Table1[[#This Row],[ShippingAddress]]))</f>
        <v>252 Main St</v>
      </c>
      <c r="Q1185" t="str">
        <f>PROPER(TRIM((Table1[[#This Row],[PaymentMethod]])))</f>
        <v>Debit Card</v>
      </c>
      <c r="R1185" t="str">
        <f>PROPER(TRIM(Table1[[#This Row],[ReferralSource]]))</f>
        <v>Facebook</v>
      </c>
      <c r="S1185" s="5">
        <f>Table1[[#This Row],[TotalPrice]]/Table1[[#This Row],[ItemsInCart]]</f>
        <v>16.309999999999999</v>
      </c>
    </row>
    <row r="1186" spans="1:19" x14ac:dyDescent="0.3">
      <c r="A1186" t="s">
        <v>1058</v>
      </c>
      <c r="B1186" s="1">
        <v>45830</v>
      </c>
      <c r="C1186" t="s">
        <v>2250</v>
      </c>
      <c r="D1186" t="s">
        <v>2407</v>
      </c>
      <c r="E1186">
        <v>1</v>
      </c>
      <c r="F1186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>
        <v>4</v>
      </c>
      <c r="L1186" t="s">
        <v>4276</v>
      </c>
      <c r="M1186" t="s">
        <v>4279</v>
      </c>
      <c r="N1186" s="5">
        <v>38.49</v>
      </c>
      <c r="O1186" t="str">
        <f>IF(ABS(Table1[[#This Row],[TotalPrice]]-Table1[[#This Row],[Quantity]]*Table1[[#This Row],[UnitPrice]]) &lt;0.01, "ok",)</f>
        <v>ok</v>
      </c>
      <c r="P1186" t="str">
        <f>PROPER(TRIM(Table1[[#This Row],[ShippingAddress]]))</f>
        <v>215 Main St</v>
      </c>
      <c r="Q1186" t="str">
        <f>PROPER(TRIM((Table1[[#This Row],[PaymentMethod]])))</f>
        <v>Credit Card</v>
      </c>
      <c r="R1186" t="str">
        <f>PROPER(TRIM(Table1[[#This Row],[ReferralSource]]))</f>
        <v>Referral</v>
      </c>
      <c r="S1186" s="5">
        <f>Table1[[#This Row],[TotalPrice]]/Table1[[#This Row],[ItemsInCart]]</f>
        <v>9.6225000000000005</v>
      </c>
    </row>
    <row r="1187" spans="1:19" x14ac:dyDescent="0.3">
      <c r="A1187" t="s">
        <v>148</v>
      </c>
      <c r="B1187" s="1">
        <v>45831</v>
      </c>
      <c r="C1187" t="s">
        <v>1348</v>
      </c>
      <c r="D1187" t="s">
        <v>2408</v>
      </c>
      <c r="E1187">
        <v>2</v>
      </c>
      <c r="F118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>
        <v>4</v>
      </c>
      <c r="L1187" t="s">
        <v>4283</v>
      </c>
      <c r="M1187" t="s">
        <v>4280</v>
      </c>
      <c r="N1187" s="5">
        <v>399.4</v>
      </c>
      <c r="O1187" t="str">
        <f>IF(ABS(Table1[[#This Row],[TotalPrice]]-Table1[[#This Row],[Quantity]]*Table1[[#This Row],[UnitPrice]]) &lt;0.01, "ok",)</f>
        <v>ok</v>
      </c>
      <c r="P1187" t="str">
        <f>PROPER(TRIM(Table1[[#This Row],[ShippingAddress]]))</f>
        <v>583 Main St</v>
      </c>
      <c r="Q1187" t="str">
        <f>PROPER(TRIM((Table1[[#This Row],[PaymentMethod]])))</f>
        <v>Cash</v>
      </c>
      <c r="R1187" t="str">
        <f>PROPER(TRIM(Table1[[#This Row],[ReferralSource]]))</f>
        <v>Email</v>
      </c>
      <c r="S1187" s="5">
        <f>Table1[[#This Row],[TotalPrice]]/Table1[[#This Row],[ItemsInCart]]</f>
        <v>99.85</v>
      </c>
    </row>
    <row r="1188" spans="1:19" x14ac:dyDescent="0.3">
      <c r="A1188" t="s">
        <v>690</v>
      </c>
      <c r="B1188" s="1">
        <v>45831</v>
      </c>
      <c r="C1188" t="s">
        <v>1888</v>
      </c>
      <c r="D1188" t="s">
        <v>2408</v>
      </c>
      <c r="E1188">
        <v>2</v>
      </c>
      <c r="F1188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>
        <v>4</v>
      </c>
      <c r="L1188" t="s">
        <v>4276</v>
      </c>
      <c r="M1188" t="s">
        <v>4278</v>
      </c>
      <c r="N1188" s="5">
        <v>844.68</v>
      </c>
      <c r="O1188" t="str">
        <f>IF(ABS(Table1[[#This Row],[TotalPrice]]-Table1[[#This Row],[Quantity]]*Table1[[#This Row],[UnitPrice]]) &lt;0.01, "ok",)</f>
        <v>ok</v>
      </c>
      <c r="P1188" t="str">
        <f>PROPER(TRIM(Table1[[#This Row],[ShippingAddress]]))</f>
        <v>985 Main St</v>
      </c>
      <c r="Q1188" t="str">
        <f>PROPER(TRIM((Table1[[#This Row],[PaymentMethod]])))</f>
        <v>Credit Card</v>
      </c>
      <c r="R1188" t="str">
        <f>PROPER(TRIM(Table1[[#This Row],[ReferralSource]]))</f>
        <v>Instagram</v>
      </c>
      <c r="S1188" s="5">
        <f>Table1[[#This Row],[TotalPrice]]/Table1[[#This Row],[ItemsInCart]]</f>
        <v>211.17</v>
      </c>
    </row>
    <row r="1189" spans="1:19" x14ac:dyDescent="0.3">
      <c r="A1189" t="s">
        <v>69</v>
      </c>
      <c r="B1189" s="1">
        <v>45832</v>
      </c>
      <c r="C1189" t="s">
        <v>1269</v>
      </c>
      <c r="D1189" t="s">
        <v>2407</v>
      </c>
      <c r="E1189">
        <v>3</v>
      </c>
      <c r="F1189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>
        <v>3</v>
      </c>
      <c r="L1189" t="s">
        <v>4283</v>
      </c>
      <c r="M1189" t="s">
        <v>4281</v>
      </c>
      <c r="N1189" s="5">
        <v>1033.2</v>
      </c>
      <c r="O1189" t="str">
        <f>IF(ABS(Table1[[#This Row],[TotalPrice]]-Table1[[#This Row],[Quantity]]*Table1[[#This Row],[UnitPrice]]) &lt;0.01, "ok",)</f>
        <v>ok</v>
      </c>
      <c r="P1189" t="str">
        <f>PROPER(TRIM(Table1[[#This Row],[ShippingAddress]]))</f>
        <v>565 Main St</v>
      </c>
      <c r="Q1189" t="str">
        <f>PROPER(TRIM((Table1[[#This Row],[PaymentMethod]])))</f>
        <v>Online</v>
      </c>
      <c r="R1189" t="str">
        <f>PROPER(TRIM(Table1[[#This Row],[ReferralSource]]))</f>
        <v>Facebook</v>
      </c>
      <c r="S1189" s="5">
        <f>Table1[[#This Row],[TotalPrice]]/Table1[[#This Row],[ItemsInCart]]</f>
        <v>344.40000000000003</v>
      </c>
    </row>
    <row r="1190" spans="1:19" x14ac:dyDescent="0.3">
      <c r="A1190" t="s">
        <v>177</v>
      </c>
      <c r="B1190" s="1">
        <v>45832</v>
      </c>
      <c r="C1190" t="s">
        <v>1377</v>
      </c>
      <c r="D1190" t="s">
        <v>2405</v>
      </c>
      <c r="E1190">
        <v>1</v>
      </c>
      <c r="F1190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>
        <v>1</v>
      </c>
      <c r="L1190" t="s">
        <v>4283</v>
      </c>
      <c r="M1190" t="s">
        <v>4279</v>
      </c>
      <c r="N1190" s="5">
        <v>641.39</v>
      </c>
      <c r="O1190" t="str">
        <f>IF(ABS(Table1[[#This Row],[TotalPrice]]-Table1[[#This Row],[Quantity]]*Table1[[#This Row],[UnitPrice]]) &lt;0.01, "ok",)</f>
        <v>ok</v>
      </c>
      <c r="P1190" t="str">
        <f>PROPER(TRIM(Table1[[#This Row],[ShippingAddress]]))</f>
        <v>277 Main St</v>
      </c>
      <c r="Q1190" t="str">
        <f>PROPER(TRIM((Table1[[#This Row],[PaymentMethod]])))</f>
        <v>Online</v>
      </c>
      <c r="R1190" t="str">
        <f>PROPER(TRIM(Table1[[#This Row],[ReferralSource]]))</f>
        <v>Referral</v>
      </c>
      <c r="S1190" s="5">
        <f>Table1[[#This Row],[TotalPrice]]/Table1[[#This Row],[ItemsInCart]]</f>
        <v>641.39</v>
      </c>
    </row>
    <row r="1191" spans="1:19" x14ac:dyDescent="0.3">
      <c r="A1191" t="s">
        <v>356</v>
      </c>
      <c r="B1191" s="1">
        <v>45832</v>
      </c>
      <c r="C1191" t="s">
        <v>1556</v>
      </c>
      <c r="D1191" t="s">
        <v>2403</v>
      </c>
      <c r="E1191">
        <v>5</v>
      </c>
      <c r="F1191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>
        <v>5</v>
      </c>
      <c r="L1191" t="s">
        <v>4283</v>
      </c>
      <c r="M1191" t="s">
        <v>4279</v>
      </c>
      <c r="N1191" s="5">
        <v>2332.1</v>
      </c>
      <c r="O1191" t="str">
        <f>IF(ABS(Table1[[#This Row],[TotalPrice]]-Table1[[#This Row],[Quantity]]*Table1[[#This Row],[UnitPrice]]) &lt;0.01, "ok",)</f>
        <v>ok</v>
      </c>
      <c r="P1191" t="str">
        <f>PROPER(TRIM(Table1[[#This Row],[ShippingAddress]]))</f>
        <v>619 Main St</v>
      </c>
      <c r="Q1191" t="str">
        <f>PROPER(TRIM((Table1[[#This Row],[PaymentMethod]])))</f>
        <v>Gift Card</v>
      </c>
      <c r="R1191" t="str">
        <f>PROPER(TRIM(Table1[[#This Row],[ReferralSource]]))</f>
        <v>Referral</v>
      </c>
      <c r="S1191" s="5">
        <f>Table1[[#This Row],[TotalPrice]]/Table1[[#This Row],[ItemsInCart]]</f>
        <v>466.41999999999996</v>
      </c>
    </row>
    <row r="1192" spans="1:19" x14ac:dyDescent="0.3">
      <c r="A1192" t="s">
        <v>932</v>
      </c>
      <c r="B1192" s="1">
        <v>45832</v>
      </c>
      <c r="C1192" t="s">
        <v>2128</v>
      </c>
      <c r="D1192" t="s">
        <v>2408</v>
      </c>
      <c r="E1192">
        <v>5</v>
      </c>
      <c r="F1192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>
        <v>5</v>
      </c>
      <c r="L1192" t="s">
        <v>4283</v>
      </c>
      <c r="M1192" t="s">
        <v>4278</v>
      </c>
      <c r="N1192" s="5">
        <v>1841.25</v>
      </c>
      <c r="O1192" t="str">
        <f>IF(ABS(Table1[[#This Row],[TotalPrice]]-Table1[[#This Row],[Quantity]]*Table1[[#This Row],[UnitPrice]]) &lt;0.01, "ok",)</f>
        <v>ok</v>
      </c>
      <c r="P1192" t="str">
        <f>PROPER(TRIM(Table1[[#This Row],[ShippingAddress]]))</f>
        <v>706 Main St</v>
      </c>
      <c r="Q1192" t="str">
        <f>PROPER(TRIM((Table1[[#This Row],[PaymentMethod]])))</f>
        <v>Online</v>
      </c>
      <c r="R1192" t="str">
        <f>PROPER(TRIM(Table1[[#This Row],[ReferralSource]]))</f>
        <v>Instagram</v>
      </c>
      <c r="S1192" s="5">
        <f>Table1[[#This Row],[TotalPrice]]/Table1[[#This Row],[ItemsInCart]]</f>
        <v>368.25</v>
      </c>
    </row>
    <row r="1193" spans="1:19" x14ac:dyDescent="0.3">
      <c r="A1193" t="s">
        <v>1085</v>
      </c>
      <c r="B1193" s="1">
        <v>45832</v>
      </c>
      <c r="C1193" t="s">
        <v>2277</v>
      </c>
      <c r="D1193" t="s">
        <v>2404</v>
      </c>
      <c r="E1193">
        <v>2</v>
      </c>
      <c r="F1193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>
        <v>2</v>
      </c>
      <c r="L1193" t="s">
        <v>4283</v>
      </c>
      <c r="M1193" t="s">
        <v>4282</v>
      </c>
      <c r="N1193" s="5">
        <v>510.28</v>
      </c>
      <c r="O1193" t="str">
        <f>IF(ABS(Table1[[#This Row],[TotalPrice]]-Table1[[#This Row],[Quantity]]*Table1[[#This Row],[UnitPrice]]) &lt;0.01, "ok",)</f>
        <v>ok</v>
      </c>
      <c r="P1193" t="str">
        <f>PROPER(TRIM(Table1[[#This Row],[ShippingAddress]]))</f>
        <v>216 Main St</v>
      </c>
      <c r="Q1193" t="str">
        <f>PROPER(TRIM((Table1[[#This Row],[PaymentMethod]])))</f>
        <v>Cash</v>
      </c>
      <c r="R1193" t="str">
        <f>PROPER(TRIM(Table1[[#This Row],[ReferralSource]]))</f>
        <v>Google</v>
      </c>
      <c r="S1193" s="5">
        <f>Table1[[#This Row],[TotalPrice]]/Table1[[#This Row],[ItemsInCart]]</f>
        <v>255.14</v>
      </c>
    </row>
    <row r="1194" spans="1:19" x14ac:dyDescent="0.3">
      <c r="A1194" t="s">
        <v>78</v>
      </c>
      <c r="B1194" s="1">
        <v>45833</v>
      </c>
      <c r="C1194" t="s">
        <v>1278</v>
      </c>
      <c r="D1194" t="s">
        <v>2407</v>
      </c>
      <c r="E1194">
        <v>3</v>
      </c>
      <c r="F1194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>
        <v>4</v>
      </c>
      <c r="L1194" t="s">
        <v>4276</v>
      </c>
      <c r="M1194" t="s">
        <v>4281</v>
      </c>
      <c r="N1194" s="5">
        <v>391.83</v>
      </c>
      <c r="O1194" t="str">
        <f>IF(ABS(Table1[[#This Row],[TotalPrice]]-Table1[[#This Row],[Quantity]]*Table1[[#This Row],[UnitPrice]]) &lt;0.01, "ok",)</f>
        <v>ok</v>
      </c>
      <c r="P1194" t="str">
        <f>PROPER(TRIM(Table1[[#This Row],[ShippingAddress]]))</f>
        <v>752 Main St</v>
      </c>
      <c r="Q1194" t="str">
        <f>PROPER(TRIM((Table1[[#This Row],[PaymentMethod]])))</f>
        <v>Debit Card</v>
      </c>
      <c r="R1194" t="str">
        <f>PROPER(TRIM(Table1[[#This Row],[ReferralSource]]))</f>
        <v>Facebook</v>
      </c>
      <c r="S1194" s="5">
        <f>Table1[[#This Row],[TotalPrice]]/Table1[[#This Row],[ItemsInCart]]</f>
        <v>97.957499999999996</v>
      </c>
    </row>
    <row r="1195" spans="1:19" x14ac:dyDescent="0.3">
      <c r="A1195" t="s">
        <v>240</v>
      </c>
      <c r="B1195" s="1">
        <v>45835</v>
      </c>
      <c r="C1195" t="s">
        <v>1440</v>
      </c>
      <c r="D1195" t="s">
        <v>2409</v>
      </c>
      <c r="E1195">
        <v>3</v>
      </c>
      <c r="F1195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>
        <v>8</v>
      </c>
      <c r="L1195" t="s">
        <v>4283</v>
      </c>
      <c r="M1195" t="s">
        <v>4278</v>
      </c>
      <c r="N1195" s="5">
        <v>1764.15</v>
      </c>
      <c r="O1195" t="str">
        <f>IF(ABS(Table1[[#This Row],[TotalPrice]]-Table1[[#This Row],[Quantity]]*Table1[[#This Row],[UnitPrice]]) &lt;0.01, "ok",)</f>
        <v>ok</v>
      </c>
      <c r="P1195" t="str">
        <f>PROPER(TRIM(Table1[[#This Row],[ShippingAddress]]))</f>
        <v>242 Main St</v>
      </c>
      <c r="Q1195" t="str">
        <f>PROPER(TRIM((Table1[[#This Row],[PaymentMethod]])))</f>
        <v>Gift Card</v>
      </c>
      <c r="R1195" t="str">
        <f>PROPER(TRIM(Table1[[#This Row],[ReferralSource]]))</f>
        <v>Instagram</v>
      </c>
      <c r="S1195" s="5">
        <f>Table1[[#This Row],[TotalPrice]]/Table1[[#This Row],[ItemsInCart]]</f>
        <v>220.51875000000001</v>
      </c>
    </row>
    <row r="1196" spans="1:19" x14ac:dyDescent="0.3">
      <c r="A1196" t="s">
        <v>190</v>
      </c>
      <c r="B1196" s="1">
        <v>45836</v>
      </c>
      <c r="C1196" t="s">
        <v>1390</v>
      </c>
      <c r="D1196" t="s">
        <v>2405</v>
      </c>
      <c r="E1196">
        <v>4</v>
      </c>
      <c r="F1196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>
        <v>8</v>
      </c>
      <c r="L1196" t="s">
        <v>4277</v>
      </c>
      <c r="M1196" t="s">
        <v>4279</v>
      </c>
      <c r="N1196" s="5">
        <v>1723.32</v>
      </c>
      <c r="O1196" t="str">
        <f>IF(ABS(Table1[[#This Row],[TotalPrice]]-Table1[[#This Row],[Quantity]]*Table1[[#This Row],[UnitPrice]]) &lt;0.01, "ok",)</f>
        <v>ok</v>
      </c>
      <c r="P1196" t="str">
        <f>PROPER(TRIM(Table1[[#This Row],[ShippingAddress]]))</f>
        <v>553 Main St</v>
      </c>
      <c r="Q1196" t="str">
        <f>PROPER(TRIM((Table1[[#This Row],[PaymentMethod]])))</f>
        <v>Gift Card</v>
      </c>
      <c r="R1196" t="str">
        <f>PROPER(TRIM(Table1[[#This Row],[ReferralSource]]))</f>
        <v>Referral</v>
      </c>
      <c r="S1196" s="5">
        <f>Table1[[#This Row],[TotalPrice]]/Table1[[#This Row],[ItemsInCart]]</f>
        <v>215.41499999999999</v>
      </c>
    </row>
    <row r="1197" spans="1:19" x14ac:dyDescent="0.3">
      <c r="A1197" t="s">
        <v>787</v>
      </c>
      <c r="B1197" s="1">
        <v>45836</v>
      </c>
      <c r="C1197" t="s">
        <v>1984</v>
      </c>
      <c r="D1197" t="s">
        <v>2404</v>
      </c>
      <c r="E1197">
        <v>2</v>
      </c>
      <c r="F119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>
        <v>7</v>
      </c>
      <c r="L1197" t="s">
        <v>4283</v>
      </c>
      <c r="M1197" t="s">
        <v>4281</v>
      </c>
      <c r="N1197" s="5">
        <v>1024.6600000000001</v>
      </c>
      <c r="O1197" t="str">
        <f>IF(ABS(Table1[[#This Row],[TotalPrice]]-Table1[[#This Row],[Quantity]]*Table1[[#This Row],[UnitPrice]]) &lt;0.01, "ok",)</f>
        <v>ok</v>
      </c>
      <c r="P1197" t="str">
        <f>PROPER(TRIM(Table1[[#This Row],[ShippingAddress]]))</f>
        <v>415 Main St</v>
      </c>
      <c r="Q1197" t="str">
        <f>PROPER(TRIM((Table1[[#This Row],[PaymentMethod]])))</f>
        <v>Cash</v>
      </c>
      <c r="R1197" t="str">
        <f>PROPER(TRIM(Table1[[#This Row],[ReferralSource]]))</f>
        <v>Facebook</v>
      </c>
      <c r="S1197" s="5">
        <f>Table1[[#This Row],[TotalPrice]]/Table1[[#This Row],[ItemsInCart]]</f>
        <v>146.38000000000002</v>
      </c>
    </row>
    <row r="1198" spans="1:19" x14ac:dyDescent="0.3">
      <c r="A1198" t="s">
        <v>896</v>
      </c>
      <c r="B1198" s="1">
        <v>45836</v>
      </c>
      <c r="C1198" t="s">
        <v>2092</v>
      </c>
      <c r="D1198" t="s">
        <v>2404</v>
      </c>
      <c r="E1198">
        <v>2</v>
      </c>
      <c r="F1198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>
        <v>6</v>
      </c>
      <c r="L1198" t="s">
        <v>4276</v>
      </c>
      <c r="M1198" t="s">
        <v>4279</v>
      </c>
      <c r="N1198" s="5">
        <v>548.24</v>
      </c>
      <c r="O1198" t="str">
        <f>IF(ABS(Table1[[#This Row],[TotalPrice]]-Table1[[#This Row],[Quantity]]*Table1[[#This Row],[UnitPrice]]) &lt;0.01, "ok",)</f>
        <v>ok</v>
      </c>
      <c r="P1198" t="str">
        <f>PROPER(TRIM(Table1[[#This Row],[ShippingAddress]]))</f>
        <v>533 Main St</v>
      </c>
      <c r="Q1198" t="str">
        <f>PROPER(TRIM((Table1[[#This Row],[PaymentMethod]])))</f>
        <v>Cash</v>
      </c>
      <c r="R1198" t="str">
        <f>PROPER(TRIM(Table1[[#This Row],[ReferralSource]]))</f>
        <v>Referral</v>
      </c>
      <c r="S1198" s="5">
        <f>Table1[[#This Row],[TotalPrice]]/Table1[[#This Row],[ItemsInCart]]</f>
        <v>91.373333333333335</v>
      </c>
    </row>
    <row r="1199" spans="1:19" x14ac:dyDescent="0.3">
      <c r="A1199" t="s">
        <v>1053</v>
      </c>
      <c r="B1199" s="1">
        <v>45836</v>
      </c>
      <c r="C1199" t="s">
        <v>2245</v>
      </c>
      <c r="D1199" t="s">
        <v>2409</v>
      </c>
      <c r="E1199">
        <v>2</v>
      </c>
      <c r="F1199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>
        <v>2</v>
      </c>
      <c r="L1199" t="s">
        <v>4277</v>
      </c>
      <c r="M1199" t="s">
        <v>4278</v>
      </c>
      <c r="N1199" s="5">
        <v>598.46</v>
      </c>
      <c r="O1199" t="str">
        <f>IF(ABS(Table1[[#This Row],[TotalPrice]]-Table1[[#This Row],[Quantity]]*Table1[[#This Row],[UnitPrice]]) &lt;0.01, "ok",)</f>
        <v>ok</v>
      </c>
      <c r="P1199" t="str">
        <f>PROPER(TRIM(Table1[[#This Row],[ShippingAddress]]))</f>
        <v>177 Main St</v>
      </c>
      <c r="Q1199" t="str">
        <f>PROPER(TRIM((Table1[[#This Row],[PaymentMethod]])))</f>
        <v>Credit Card</v>
      </c>
      <c r="R1199" t="str">
        <f>PROPER(TRIM(Table1[[#This Row],[ReferralSource]]))</f>
        <v>Instagram</v>
      </c>
      <c r="S1199" s="5">
        <f>Table1[[#This Row],[TotalPrice]]/Table1[[#This Row],[ItemsInCart]]</f>
        <v>299.23</v>
      </c>
    </row>
    <row r="1200" spans="1:19" x14ac:dyDescent="0.3">
      <c r="A1200" t="s">
        <v>270</v>
      </c>
      <c r="B1200" s="1">
        <v>45838</v>
      </c>
      <c r="C1200" t="s">
        <v>1470</v>
      </c>
      <c r="D1200" t="s">
        <v>2406</v>
      </c>
      <c r="E1200">
        <v>5</v>
      </c>
      <c r="F1200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>
        <v>10</v>
      </c>
      <c r="L1200" t="s">
        <v>4277</v>
      </c>
      <c r="M1200" t="s">
        <v>4278</v>
      </c>
      <c r="N1200" s="5">
        <v>379.05</v>
      </c>
      <c r="O1200" t="str">
        <f>IF(ABS(Table1[[#This Row],[TotalPrice]]-Table1[[#This Row],[Quantity]]*Table1[[#This Row],[UnitPrice]]) &lt;0.01, "ok",)</f>
        <v>ok</v>
      </c>
      <c r="P1200" t="str">
        <f>PROPER(TRIM(Table1[[#This Row],[ShippingAddress]]))</f>
        <v>463 Main St</v>
      </c>
      <c r="Q1200" t="str">
        <f>PROPER(TRIM((Table1[[#This Row],[PaymentMethod]])))</f>
        <v>Gift Card</v>
      </c>
      <c r="R1200" t="str">
        <f>PROPER(TRIM(Table1[[#This Row],[ReferralSource]]))</f>
        <v>Instagram</v>
      </c>
      <c r="S1200" s="5">
        <f>Table1[[#This Row],[TotalPrice]]/Table1[[#This Row],[ItemsInCart]]</f>
        <v>37.905000000000001</v>
      </c>
    </row>
    <row r="1201" spans="1:20" x14ac:dyDescent="0.3">
      <c r="A1201" t="s">
        <v>1121</v>
      </c>
      <c r="B1201" s="1">
        <v>45838</v>
      </c>
      <c r="C1201" t="s">
        <v>2312</v>
      </c>
      <c r="D1201" t="s">
        <v>2405</v>
      </c>
      <c r="E1201">
        <v>2</v>
      </c>
      <c r="F1201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>
        <v>4</v>
      </c>
      <c r="L1201" t="s">
        <v>4275</v>
      </c>
      <c r="M1201" t="s">
        <v>4282</v>
      </c>
      <c r="N1201" s="5">
        <v>126.42</v>
      </c>
      <c r="O1201" t="str">
        <f>IF(ABS(Table1[[#This Row],[TotalPrice]]-Table1[[#This Row],[Quantity]]*Table1[[#This Row],[UnitPrice]]) &lt;0.01, "ok",)</f>
        <v>ok</v>
      </c>
      <c r="P1201" t="str">
        <f>PROPER(TRIM(Table1[[#This Row],[ShippingAddress]]))</f>
        <v>282 Main St</v>
      </c>
      <c r="Q1201" t="str">
        <f>PROPER(TRIM((Table1[[#This Row],[PaymentMethod]])))</f>
        <v>Online</v>
      </c>
      <c r="R1201" t="str">
        <f>PROPER(TRIM(Table1[[#This Row],[ReferralSource]]))</f>
        <v>Google</v>
      </c>
      <c r="S1201" s="5">
        <f>Table1[[#This Row],[TotalPrice]]/Table1[[#This Row],[ItemsInCart]]</f>
        <v>31.605</v>
      </c>
    </row>
    <row r="1202" spans="1:20" x14ac:dyDescent="0.3">
      <c r="B1202" s="1"/>
      <c r="O1202" s="6"/>
      <c r="P1202" s="6"/>
      <c r="Q1202" s="6"/>
      <c r="R1202" s="6"/>
      <c r="T1202" s="6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48091-9788-41D8-BDBE-3B7CE9611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My Worksheet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2026-06-15T21:32:56Z</dcterms:modified>
</cp:coreProperties>
</file>